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6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8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9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1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12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13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14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15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16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17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18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19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20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21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22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23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24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25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26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27.xml" ContentType="application/vnd.openxmlformats-officedocument.themeOverrid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28.xml" ContentType="application/vnd.openxmlformats-officedocument.themeOverrid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theme/themeOverride29.xml" ContentType="application/vnd.openxmlformats-officedocument.themeOverrid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theme/themeOverride30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vill\Downloads\datos_lixiviados_260127\"/>
    </mc:Choice>
  </mc:AlternateContent>
  <xr:revisionPtr revIDLastSave="0" documentId="13_ncr:1_{718806EC-46D9-45F4-BF7B-A08886878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o Quingeo Q. Capelo" sheetId="15" r:id="rId1"/>
    <sheet name="Rio Quingeo Q. Capelo GRUNTEC" sheetId="16" r:id="rId2"/>
    <sheet name="Rio Quingeo GRUNT (DIC)" sheetId="17" r:id="rId3"/>
    <sheet name="P. Químicos" sheetId="5" r:id="rId4"/>
    <sheet name="P. Químicos Gráficos paul" sheetId="18" r:id="rId5"/>
    <sheet name="P. Químicos Gráficos" sheetId="6" r:id="rId6"/>
    <sheet name="P. Físicos" sheetId="7" r:id="rId7"/>
    <sheet name="P. Físico Gráficos" sheetId="8" r:id="rId8"/>
    <sheet name="P. Biológicos" sheetId="9" r:id="rId9"/>
    <sheet name="P. Biológicos Gráficos" sheetId="10" r:id="rId10"/>
    <sheet name="Base" sheetId="2" r:id="rId11"/>
  </sheets>
  <definedNames>
    <definedName name="_xlnm._FilterDatabase" localSheetId="10" hidden="1">Base!$A$11:$AX$283</definedName>
    <definedName name="_xlnm._FilterDatabase" localSheetId="3" hidden="1">'P. Químicos'!$A$11:$AO$283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2" i="18" l="1"/>
  <c r="E792" i="18"/>
  <c r="G792" i="18"/>
  <c r="F792" i="18"/>
  <c r="D792" i="18"/>
  <c r="B792" i="18"/>
  <c r="K46" i="16"/>
  <c r="G792" i="6" l="1"/>
  <c r="F792" i="6"/>
  <c r="E792" i="6"/>
  <c r="D792" i="6"/>
  <c r="C792" i="6"/>
  <c r="B792" i="6"/>
  <c r="KO58" i="15" l="1"/>
  <c r="KO52" i="15"/>
  <c r="KO51" i="15"/>
  <c r="KN52" i="15"/>
  <c r="KN51" i="15"/>
  <c r="KM58" i="15"/>
  <c r="KM52" i="15"/>
  <c r="KM51" i="15"/>
  <c r="KL58" i="15"/>
  <c r="KL52" i="15"/>
  <c r="KL51" i="15"/>
  <c r="KK58" i="15"/>
  <c r="KK52" i="15"/>
  <c r="KK51" i="15"/>
  <c r="KJ58" i="15"/>
  <c r="KJ52" i="15"/>
  <c r="KJ51" i="15"/>
  <c r="KI58" i="15" l="1"/>
  <c r="KI52" i="15"/>
  <c r="KI51" i="15"/>
  <c r="KH58" i="15"/>
  <c r="KH52" i="15"/>
  <c r="KH51" i="15"/>
  <c r="KG58" i="15"/>
  <c r="KG52" i="15"/>
  <c r="KG51" i="15"/>
  <c r="KF58" i="15"/>
  <c r="KF52" i="15"/>
  <c r="KF51" i="15"/>
  <c r="KE58" i="15"/>
  <c r="KE52" i="15"/>
  <c r="KE51" i="15"/>
  <c r="KD58" i="15"/>
  <c r="KD52" i="15"/>
  <c r="KD51" i="15"/>
  <c r="KC58" i="15"/>
  <c r="KC52" i="15"/>
  <c r="KC51" i="15"/>
  <c r="KB58" i="15"/>
  <c r="KB52" i="15"/>
  <c r="KB51" i="15"/>
  <c r="KA58" i="15"/>
  <c r="KA52" i="15"/>
  <c r="KA51" i="15"/>
  <c r="JZ58" i="15"/>
  <c r="JZ52" i="15"/>
  <c r="JZ51" i="15"/>
  <c r="JY52" i="15"/>
  <c r="JY51" i="15"/>
  <c r="JX58" i="15"/>
  <c r="JX52" i="15"/>
  <c r="JX51" i="15"/>
  <c r="JW58" i="15"/>
  <c r="JW52" i="15"/>
  <c r="JW51" i="15"/>
  <c r="JV58" i="15"/>
  <c r="JV52" i="15"/>
  <c r="JV51" i="15"/>
  <c r="JU58" i="15"/>
  <c r="JU52" i="15"/>
  <c r="JU51" i="15"/>
  <c r="JU59" i="15" l="1"/>
  <c r="JV59" i="15"/>
  <c r="JW59" i="15"/>
  <c r="JY59" i="15"/>
  <c r="JX59" i="15"/>
  <c r="JT59" i="15"/>
  <c r="JT58" i="15"/>
  <c r="JT52" i="15"/>
  <c r="JT51" i="15"/>
  <c r="JS58" i="15"/>
  <c r="JS52" i="15"/>
  <c r="JS51" i="15"/>
  <c r="JR58" i="15"/>
  <c r="JR52" i="15"/>
  <c r="JR51" i="15"/>
  <c r="JQ59" i="15"/>
  <c r="JR59" i="15"/>
  <c r="JS59" i="15"/>
  <c r="JQ58" i="15"/>
  <c r="JQ52" i="15"/>
  <c r="JQ51" i="15"/>
  <c r="JP59" i="15"/>
  <c r="JP58" i="15"/>
  <c r="JP52" i="15"/>
  <c r="JP51" i="15"/>
  <c r="JN59" i="15"/>
  <c r="JO59" i="15"/>
  <c r="JO58" i="15"/>
  <c r="JO52" i="15"/>
  <c r="JO51" i="15"/>
  <c r="JN58" i="15"/>
  <c r="JN52" i="15"/>
  <c r="JN51" i="15"/>
  <c r="AO283" i="5" l="1"/>
  <c r="AN283" i="5"/>
  <c r="AH283" i="5"/>
  <c r="AG283" i="5"/>
  <c r="AO282" i="5"/>
  <c r="AN282" i="5"/>
  <c r="AH282" i="5"/>
  <c r="AG282" i="5"/>
  <c r="AO281" i="5"/>
  <c r="AN281" i="5"/>
  <c r="AH281" i="5"/>
  <c r="AG281" i="5"/>
  <c r="AO280" i="5"/>
  <c r="AN280" i="5"/>
  <c r="AH280" i="5"/>
  <c r="AG280" i="5"/>
  <c r="AO279" i="5"/>
  <c r="AN279" i="5"/>
  <c r="AH279" i="5"/>
  <c r="AG279" i="5"/>
  <c r="AO278" i="5"/>
  <c r="AN278" i="5"/>
  <c r="AH278" i="5"/>
  <c r="AG278" i="5"/>
  <c r="AO277" i="5"/>
  <c r="AN277" i="5"/>
  <c r="AH277" i="5"/>
  <c r="AG277" i="5"/>
  <c r="AO276" i="5"/>
  <c r="AN276" i="5"/>
  <c r="AH276" i="5"/>
  <c r="AG276" i="5"/>
  <c r="AO275" i="5"/>
  <c r="AN275" i="5"/>
  <c r="AH275" i="5"/>
  <c r="AG275" i="5"/>
  <c r="AO274" i="5"/>
  <c r="AN274" i="5"/>
  <c r="AH274" i="5"/>
  <c r="AG274" i="5"/>
  <c r="AO273" i="5"/>
  <c r="AN273" i="5"/>
  <c r="AH273" i="5"/>
  <c r="AG273" i="5"/>
  <c r="AO272" i="5"/>
  <c r="AN272" i="5"/>
  <c r="AH272" i="5"/>
  <c r="AG272" i="5"/>
  <c r="AO271" i="5"/>
  <c r="AN271" i="5"/>
  <c r="AH271" i="5"/>
  <c r="AG271" i="5"/>
  <c r="AO270" i="5"/>
  <c r="AN270" i="5"/>
  <c r="AH270" i="5"/>
  <c r="AG270" i="5"/>
  <c r="AO269" i="5"/>
  <c r="AN269" i="5"/>
  <c r="AH269" i="5"/>
  <c r="AG269" i="5"/>
  <c r="AO268" i="5"/>
  <c r="AN268" i="5"/>
  <c r="AH268" i="5"/>
  <c r="AG268" i="5"/>
  <c r="AO267" i="5"/>
  <c r="AN267" i="5"/>
  <c r="AH267" i="5"/>
  <c r="AG267" i="5"/>
  <c r="AO266" i="5"/>
  <c r="AN266" i="5"/>
  <c r="AH266" i="5"/>
  <c r="AG266" i="5"/>
  <c r="AO265" i="5"/>
  <c r="AN265" i="5"/>
  <c r="AH265" i="5"/>
  <c r="AG265" i="5"/>
  <c r="AO264" i="5"/>
  <c r="AN264" i="5"/>
  <c r="AH264" i="5"/>
  <c r="AG264" i="5"/>
  <c r="AO263" i="5"/>
  <c r="AN263" i="5"/>
  <c r="AH263" i="5"/>
  <c r="AG263" i="5"/>
  <c r="AO262" i="5"/>
  <c r="AN262" i="5"/>
  <c r="AH262" i="5"/>
  <c r="AG262" i="5"/>
  <c r="AO261" i="5"/>
  <c r="AN261" i="5"/>
  <c r="AH261" i="5"/>
  <c r="AG261" i="5"/>
  <c r="AO260" i="5"/>
  <c r="AN260" i="5"/>
  <c r="AH260" i="5"/>
  <c r="AG260" i="5"/>
  <c r="AO259" i="5"/>
  <c r="AN259" i="5"/>
  <c r="AH259" i="5"/>
  <c r="AG259" i="5"/>
  <c r="AO258" i="5"/>
  <c r="AN258" i="5"/>
  <c r="AH258" i="5"/>
  <c r="AG258" i="5"/>
  <c r="AO257" i="5"/>
  <c r="AN257" i="5"/>
  <c r="AH257" i="5"/>
  <c r="AG257" i="5"/>
  <c r="AO256" i="5"/>
  <c r="AN256" i="5"/>
  <c r="AH256" i="5"/>
  <c r="AG256" i="5"/>
  <c r="AO255" i="5"/>
  <c r="AN255" i="5"/>
  <c r="AH255" i="5"/>
  <c r="AG255" i="5"/>
  <c r="AO254" i="5"/>
  <c r="AN254" i="5"/>
  <c r="AH254" i="5"/>
  <c r="AG254" i="5"/>
  <c r="AO253" i="5"/>
  <c r="AN253" i="5"/>
  <c r="AH253" i="5"/>
  <c r="AG253" i="5"/>
  <c r="AO252" i="5"/>
  <c r="AN252" i="5"/>
  <c r="AH252" i="5"/>
  <c r="AG252" i="5"/>
  <c r="AO251" i="5"/>
  <c r="AN251" i="5"/>
  <c r="AH251" i="5"/>
  <c r="AG251" i="5"/>
  <c r="AO250" i="5"/>
  <c r="AN250" i="5"/>
  <c r="AH250" i="5"/>
  <c r="AG250" i="5"/>
  <c r="AO249" i="5"/>
  <c r="AN249" i="5"/>
  <c r="AH249" i="5"/>
  <c r="AG249" i="5"/>
  <c r="AO248" i="5"/>
  <c r="AN248" i="5"/>
  <c r="AH248" i="5"/>
  <c r="AG248" i="5"/>
  <c r="AO247" i="5"/>
  <c r="AN247" i="5"/>
  <c r="AH247" i="5"/>
  <c r="AG247" i="5"/>
  <c r="AO246" i="5"/>
  <c r="AN246" i="5"/>
  <c r="AH246" i="5"/>
  <c r="AG246" i="5"/>
  <c r="AO245" i="5"/>
  <c r="AN245" i="5"/>
  <c r="AH245" i="5"/>
  <c r="AG245" i="5"/>
  <c r="AO244" i="5"/>
  <c r="AN244" i="5"/>
  <c r="AH244" i="5"/>
  <c r="AG244" i="5"/>
  <c r="AO243" i="5"/>
  <c r="AN243" i="5"/>
  <c r="AH243" i="5"/>
  <c r="AG243" i="5"/>
  <c r="AO242" i="5"/>
  <c r="AN242" i="5"/>
  <c r="AH242" i="5"/>
  <c r="AG242" i="5"/>
  <c r="AO241" i="5"/>
  <c r="AN241" i="5"/>
  <c r="AH241" i="5"/>
  <c r="AG241" i="5"/>
  <c r="AO240" i="5"/>
  <c r="AN240" i="5"/>
  <c r="AH240" i="5"/>
  <c r="AG240" i="5"/>
  <c r="AO239" i="5"/>
  <c r="AN239" i="5"/>
  <c r="AH239" i="5"/>
  <c r="AG239" i="5"/>
  <c r="AO238" i="5"/>
  <c r="AN238" i="5"/>
  <c r="AH238" i="5"/>
  <c r="AG238" i="5"/>
  <c r="AO237" i="5"/>
  <c r="AN237" i="5"/>
  <c r="AH237" i="5"/>
  <c r="AG237" i="5"/>
  <c r="AO236" i="5"/>
  <c r="AN236" i="5"/>
  <c r="AH236" i="5"/>
  <c r="AG236" i="5"/>
  <c r="AO235" i="5"/>
  <c r="AN235" i="5"/>
  <c r="AH235" i="5"/>
  <c r="AG235" i="5"/>
  <c r="AO234" i="5"/>
  <c r="AN234" i="5"/>
  <c r="AH234" i="5"/>
  <c r="AG234" i="5"/>
  <c r="AO233" i="5"/>
  <c r="AN233" i="5"/>
  <c r="AH233" i="5"/>
  <c r="AG233" i="5"/>
  <c r="AO232" i="5"/>
  <c r="AN232" i="5"/>
  <c r="AH232" i="5"/>
  <c r="AG232" i="5"/>
  <c r="AO231" i="5"/>
  <c r="AN231" i="5"/>
  <c r="AH231" i="5"/>
  <c r="AG231" i="5"/>
  <c r="AO230" i="5"/>
  <c r="AN230" i="5"/>
  <c r="AH230" i="5"/>
  <c r="AG230" i="5"/>
  <c r="AO229" i="5"/>
  <c r="AN229" i="5"/>
  <c r="AH229" i="5"/>
  <c r="AG229" i="5"/>
  <c r="AO228" i="5"/>
  <c r="AN228" i="5"/>
  <c r="AH228" i="5"/>
  <c r="AG228" i="5"/>
  <c r="AO227" i="5"/>
  <c r="AN227" i="5"/>
  <c r="AH227" i="5"/>
  <c r="AG227" i="5"/>
  <c r="AO226" i="5"/>
  <c r="AN226" i="5"/>
  <c r="AH226" i="5"/>
  <c r="AG226" i="5"/>
  <c r="AO225" i="5"/>
  <c r="AN225" i="5"/>
  <c r="AH225" i="5"/>
  <c r="AG225" i="5"/>
  <c r="AO224" i="5"/>
  <c r="AN224" i="5"/>
  <c r="AH224" i="5"/>
  <c r="AG224" i="5"/>
  <c r="AO223" i="5"/>
  <c r="AN223" i="5"/>
  <c r="AH223" i="5"/>
  <c r="AG223" i="5"/>
  <c r="AO222" i="5"/>
  <c r="AN222" i="5"/>
  <c r="AH222" i="5"/>
  <c r="AG222" i="5"/>
  <c r="AO221" i="5"/>
  <c r="AN221" i="5"/>
  <c r="AH221" i="5"/>
  <c r="AG221" i="5"/>
  <c r="AO220" i="5"/>
  <c r="AN220" i="5"/>
  <c r="AH220" i="5"/>
  <c r="AG220" i="5"/>
  <c r="AO219" i="5"/>
  <c r="AN219" i="5"/>
  <c r="AH219" i="5"/>
  <c r="AG219" i="5"/>
  <c r="AO218" i="5"/>
  <c r="AN218" i="5"/>
  <c r="AH218" i="5"/>
  <c r="AG218" i="5"/>
  <c r="AO217" i="5"/>
  <c r="AN217" i="5"/>
  <c r="AH217" i="5"/>
  <c r="AG217" i="5"/>
  <c r="AO216" i="5"/>
  <c r="AN216" i="5"/>
  <c r="AH216" i="5"/>
  <c r="AG216" i="5"/>
  <c r="AO215" i="5"/>
  <c r="AN215" i="5"/>
  <c r="AH215" i="5"/>
  <c r="AG215" i="5"/>
  <c r="AO214" i="5"/>
  <c r="AN214" i="5"/>
  <c r="AH214" i="5"/>
  <c r="AG214" i="5"/>
  <c r="AO213" i="5"/>
  <c r="AN213" i="5"/>
  <c r="AH213" i="5"/>
  <c r="AG213" i="5"/>
  <c r="AO212" i="5"/>
  <c r="AN212" i="5"/>
  <c r="AH212" i="5"/>
  <c r="AG212" i="5"/>
  <c r="AO211" i="5"/>
  <c r="AN211" i="5"/>
  <c r="AH211" i="5"/>
  <c r="AG211" i="5"/>
  <c r="AO210" i="5"/>
  <c r="AN210" i="5"/>
  <c r="AH210" i="5"/>
  <c r="AO209" i="5"/>
  <c r="AN209" i="5"/>
  <c r="AH209" i="5"/>
  <c r="AO208" i="5"/>
  <c r="AH208" i="5"/>
  <c r="AG208" i="5"/>
  <c r="AO207" i="5"/>
  <c r="AN207" i="5"/>
  <c r="AH207" i="5"/>
  <c r="AO206" i="5"/>
  <c r="AN206" i="5"/>
  <c r="AH206" i="5"/>
  <c r="AG206" i="5"/>
  <c r="AO205" i="5"/>
  <c r="AN205" i="5"/>
  <c r="AH205" i="5"/>
  <c r="AG205" i="5"/>
  <c r="AO204" i="5"/>
  <c r="AN204" i="5"/>
  <c r="AH204" i="5"/>
  <c r="AG204" i="5"/>
  <c r="AO203" i="5"/>
  <c r="AN203" i="5"/>
  <c r="AH203" i="5"/>
  <c r="AG203" i="5"/>
  <c r="AO202" i="5"/>
  <c r="AN202" i="5"/>
  <c r="AH202" i="5"/>
  <c r="AG202" i="5"/>
  <c r="AO201" i="5"/>
  <c r="AN201" i="5"/>
  <c r="AH201" i="5"/>
  <c r="AG201" i="5"/>
  <c r="AO200" i="5"/>
  <c r="AN200" i="5"/>
  <c r="AH200" i="5"/>
  <c r="AG200" i="5"/>
  <c r="AO199" i="5"/>
  <c r="AN199" i="5"/>
  <c r="AH199" i="5"/>
  <c r="AG199" i="5"/>
  <c r="AO198" i="5"/>
  <c r="AN198" i="5"/>
  <c r="AH198" i="5"/>
  <c r="AG198" i="5"/>
  <c r="AO197" i="5"/>
  <c r="AN197" i="5"/>
  <c r="AH197" i="5"/>
  <c r="AG197" i="5"/>
  <c r="AO196" i="5"/>
  <c r="AN196" i="5"/>
  <c r="AH196" i="5"/>
  <c r="AG196" i="5"/>
  <c r="AO195" i="5"/>
  <c r="AN195" i="5"/>
  <c r="AH195" i="5"/>
  <c r="AG195" i="5"/>
  <c r="AO194" i="5"/>
  <c r="AN194" i="5"/>
  <c r="AH194" i="5"/>
  <c r="AG194" i="5"/>
  <c r="AO193" i="5"/>
  <c r="AN193" i="5"/>
  <c r="AH193" i="5"/>
  <c r="AG193" i="5"/>
  <c r="AO192" i="5"/>
  <c r="AN192" i="5"/>
  <c r="AH192" i="5"/>
  <c r="AG192" i="5"/>
  <c r="AO191" i="5"/>
  <c r="AN191" i="5"/>
  <c r="AH191" i="5"/>
  <c r="AG191" i="5"/>
  <c r="AO190" i="5"/>
  <c r="AN190" i="5"/>
  <c r="AH190" i="5"/>
  <c r="AG190" i="5"/>
  <c r="AO189" i="5"/>
  <c r="AN189" i="5"/>
  <c r="AH189" i="5"/>
  <c r="AG189" i="5"/>
  <c r="AO188" i="5"/>
  <c r="AO187" i="5"/>
  <c r="AN187" i="5"/>
  <c r="AG187" i="5"/>
  <c r="AO186" i="5"/>
  <c r="AN186" i="5"/>
  <c r="AG186" i="5"/>
  <c r="AO185" i="5"/>
  <c r="AN185" i="5"/>
  <c r="AG185" i="5"/>
  <c r="AO184" i="5"/>
  <c r="AN184" i="5"/>
  <c r="AG184" i="5"/>
  <c r="AO183" i="5"/>
  <c r="AN183" i="5"/>
  <c r="AG183" i="5"/>
  <c r="AO182" i="5"/>
  <c r="AO181" i="5"/>
  <c r="AN181" i="5"/>
  <c r="AH181" i="5"/>
  <c r="AG181" i="5"/>
  <c r="AO180" i="5"/>
  <c r="AN180" i="5"/>
  <c r="AH180" i="5"/>
  <c r="AG180" i="5"/>
  <c r="AO179" i="5"/>
  <c r="AN179" i="5"/>
  <c r="AH179" i="5"/>
  <c r="AG179" i="5"/>
  <c r="AO178" i="5"/>
  <c r="AN178" i="5"/>
  <c r="AH178" i="5"/>
  <c r="AG178" i="5"/>
  <c r="AO177" i="5"/>
  <c r="AN177" i="5"/>
  <c r="AH177" i="5"/>
  <c r="AG177" i="5"/>
  <c r="AO176" i="5"/>
  <c r="AN176" i="5"/>
  <c r="AO175" i="5"/>
  <c r="AN175" i="5"/>
  <c r="AG175" i="5"/>
  <c r="AO174" i="5"/>
  <c r="AN174" i="5"/>
  <c r="AG174" i="5"/>
  <c r="AO173" i="5"/>
  <c r="AN173" i="5"/>
  <c r="AG173" i="5"/>
  <c r="AO172" i="5"/>
  <c r="AN172" i="5"/>
  <c r="AG172" i="5"/>
  <c r="AO171" i="5"/>
  <c r="AN171" i="5"/>
  <c r="AG171" i="5"/>
  <c r="AO170" i="5"/>
  <c r="AN170" i="5"/>
  <c r="AH170" i="5"/>
  <c r="AG170" i="5"/>
  <c r="AO169" i="5"/>
  <c r="AN169" i="5"/>
  <c r="AH169" i="5"/>
  <c r="AG169" i="5"/>
  <c r="AO168" i="5"/>
  <c r="AN168" i="5"/>
  <c r="AH168" i="5"/>
  <c r="AG168" i="5"/>
  <c r="AO167" i="5"/>
  <c r="AN167" i="5"/>
  <c r="AH167" i="5"/>
  <c r="AG167" i="5"/>
  <c r="AO166" i="5"/>
  <c r="AN166" i="5"/>
  <c r="AH166" i="5"/>
  <c r="AG166" i="5"/>
  <c r="AO165" i="5"/>
  <c r="AN165" i="5"/>
  <c r="AH165" i="5"/>
  <c r="AG165" i="5"/>
  <c r="AO164" i="5"/>
  <c r="AN164" i="5"/>
  <c r="AG164" i="5"/>
  <c r="AO163" i="5"/>
  <c r="AN163" i="5"/>
  <c r="AG163" i="5"/>
  <c r="AO162" i="5"/>
  <c r="AN162" i="5"/>
  <c r="AG162" i="5"/>
  <c r="AO161" i="5"/>
  <c r="AN161" i="5"/>
  <c r="AG161" i="5"/>
  <c r="AO160" i="5"/>
  <c r="AN160" i="5"/>
  <c r="AG160" i="5"/>
  <c r="AO159" i="5"/>
  <c r="AN159" i="5"/>
  <c r="AG159" i="5"/>
  <c r="AO158" i="5"/>
  <c r="AN158" i="5"/>
  <c r="AG158" i="5"/>
  <c r="AO157" i="5"/>
  <c r="AN157" i="5"/>
  <c r="AG157" i="5"/>
  <c r="AO156" i="5"/>
  <c r="AN156" i="5"/>
  <c r="AG156" i="5"/>
  <c r="AO155" i="5"/>
  <c r="AN155" i="5"/>
  <c r="AG155" i="5"/>
  <c r="AO154" i="5"/>
  <c r="AN154" i="5"/>
  <c r="AG154" i="5"/>
  <c r="AO153" i="5"/>
  <c r="AN153" i="5"/>
  <c r="AG153" i="5"/>
  <c r="AO152" i="5"/>
  <c r="AN152" i="5"/>
  <c r="AH152" i="5"/>
  <c r="AG152" i="5"/>
  <c r="AO151" i="5"/>
  <c r="AN151" i="5"/>
  <c r="AH151" i="5"/>
  <c r="AG151" i="5"/>
  <c r="AB151" i="5"/>
  <c r="AO150" i="5"/>
  <c r="AN150" i="5"/>
  <c r="AH150" i="5"/>
  <c r="AG150" i="5"/>
  <c r="AO149" i="5"/>
  <c r="AN149" i="5"/>
  <c r="AH149" i="5"/>
  <c r="AG149" i="5"/>
  <c r="AO148" i="5"/>
  <c r="AN148" i="5"/>
  <c r="AH148" i="5"/>
  <c r="AG148" i="5"/>
  <c r="AO147" i="5"/>
  <c r="AN147" i="5"/>
  <c r="AH147" i="5"/>
  <c r="AG147" i="5"/>
  <c r="AO146" i="5"/>
  <c r="AN146" i="5"/>
  <c r="AG146" i="5"/>
  <c r="AO145" i="5"/>
  <c r="AN145" i="5"/>
  <c r="AG145" i="5"/>
  <c r="AO144" i="5"/>
  <c r="AN144" i="5"/>
  <c r="AG144" i="5"/>
  <c r="AO143" i="5"/>
  <c r="AN143" i="5"/>
  <c r="AG143" i="5"/>
  <c r="AO142" i="5"/>
  <c r="AN142" i="5"/>
  <c r="AG142" i="5"/>
  <c r="AO141" i="5"/>
  <c r="AN141" i="5"/>
  <c r="AG141" i="5"/>
  <c r="AO140" i="5"/>
  <c r="AN140" i="5"/>
  <c r="AH140" i="5"/>
  <c r="AG140" i="5"/>
  <c r="AO139" i="5"/>
  <c r="AN139" i="5"/>
  <c r="AH139" i="5"/>
  <c r="AG139" i="5"/>
  <c r="AO138" i="5"/>
  <c r="AN138" i="5"/>
  <c r="AH138" i="5"/>
  <c r="AG138" i="5"/>
  <c r="AO137" i="5"/>
  <c r="AN137" i="5"/>
  <c r="AH137" i="5"/>
  <c r="AG137" i="5"/>
  <c r="AO136" i="5"/>
  <c r="AN136" i="5"/>
  <c r="AH136" i="5"/>
  <c r="AG136" i="5"/>
  <c r="AO135" i="5"/>
  <c r="AN135" i="5"/>
  <c r="AH135" i="5"/>
  <c r="AG135" i="5"/>
  <c r="AO134" i="5"/>
  <c r="AN134" i="5"/>
  <c r="AG134" i="5"/>
  <c r="AO133" i="5"/>
  <c r="AN133" i="5"/>
  <c r="AG133" i="5"/>
  <c r="AO132" i="5"/>
  <c r="AN132" i="5"/>
  <c r="AG132" i="5"/>
  <c r="AO131" i="5"/>
  <c r="AN131" i="5"/>
  <c r="AG131" i="5"/>
  <c r="AO130" i="5"/>
  <c r="AN130" i="5"/>
  <c r="AG130" i="5"/>
  <c r="AO129" i="5"/>
  <c r="AN129" i="5"/>
  <c r="AG129" i="5"/>
  <c r="AO128" i="5"/>
  <c r="AN128" i="5"/>
  <c r="AH128" i="5"/>
  <c r="AG128" i="5"/>
  <c r="AO127" i="5"/>
  <c r="AN127" i="5"/>
  <c r="AH127" i="5"/>
  <c r="AG127" i="5"/>
  <c r="AO126" i="5"/>
  <c r="AN126" i="5"/>
  <c r="AH126" i="5"/>
  <c r="AG126" i="5"/>
  <c r="AO125" i="5"/>
  <c r="AN125" i="5"/>
  <c r="AH125" i="5"/>
  <c r="AG125" i="5"/>
  <c r="AO124" i="5"/>
  <c r="AN124" i="5"/>
  <c r="AH124" i="5"/>
  <c r="AG124" i="5"/>
  <c r="AO123" i="5"/>
  <c r="AN123" i="5"/>
  <c r="AH123" i="5"/>
  <c r="AG123" i="5"/>
  <c r="AO122" i="5"/>
  <c r="AN122" i="5"/>
  <c r="AG122" i="5"/>
  <c r="AO121" i="5"/>
  <c r="AN121" i="5"/>
  <c r="AG121" i="5"/>
  <c r="AO120" i="5"/>
  <c r="AN120" i="5"/>
  <c r="AG120" i="5"/>
  <c r="AO119" i="5"/>
  <c r="AN119" i="5"/>
  <c r="AG119" i="5"/>
  <c r="AO118" i="5"/>
  <c r="AN118" i="5"/>
  <c r="AG118" i="5"/>
  <c r="AO117" i="5"/>
  <c r="AN117" i="5"/>
  <c r="AG117" i="5"/>
  <c r="AO116" i="5"/>
  <c r="AN116" i="5"/>
  <c r="AH116" i="5"/>
  <c r="AG116" i="5"/>
  <c r="AO115" i="5"/>
  <c r="AN115" i="5"/>
  <c r="AH115" i="5"/>
  <c r="AG115" i="5"/>
  <c r="AO114" i="5"/>
  <c r="AN114" i="5"/>
  <c r="AH114" i="5"/>
  <c r="AG114" i="5"/>
  <c r="AO113" i="5"/>
  <c r="AN113" i="5"/>
  <c r="AH113" i="5"/>
  <c r="AG113" i="5"/>
  <c r="AO112" i="5"/>
  <c r="AN112" i="5"/>
  <c r="AH112" i="5"/>
  <c r="AG112" i="5"/>
  <c r="AO111" i="5"/>
  <c r="AN111" i="5"/>
  <c r="AH111" i="5"/>
  <c r="AG111" i="5"/>
  <c r="AO110" i="5"/>
  <c r="AN110" i="5"/>
  <c r="AG110" i="5"/>
  <c r="AO109" i="5"/>
  <c r="AN109" i="5"/>
  <c r="AG109" i="5"/>
  <c r="AO108" i="5"/>
  <c r="AN108" i="5"/>
  <c r="AG108" i="5"/>
  <c r="AO107" i="5"/>
  <c r="AN107" i="5"/>
  <c r="AG107" i="5"/>
  <c r="AO106" i="5"/>
  <c r="AN106" i="5"/>
  <c r="AG106" i="5"/>
  <c r="AO105" i="5"/>
  <c r="AN105" i="5"/>
  <c r="AG105" i="5"/>
  <c r="AO104" i="5"/>
  <c r="AN104" i="5"/>
  <c r="AH104" i="5"/>
  <c r="AG104" i="5"/>
  <c r="AO103" i="5"/>
  <c r="AN103" i="5"/>
  <c r="AH103" i="5"/>
  <c r="AG103" i="5"/>
  <c r="AO102" i="5"/>
  <c r="AN102" i="5"/>
  <c r="AH102" i="5"/>
  <c r="AG102" i="5"/>
  <c r="AO101" i="5"/>
  <c r="AN101" i="5"/>
  <c r="AH101" i="5"/>
  <c r="AG101" i="5"/>
  <c r="AO100" i="5"/>
  <c r="AN100" i="5"/>
  <c r="AH100" i="5"/>
  <c r="AG100" i="5"/>
  <c r="AO99" i="5"/>
  <c r="AN99" i="5"/>
  <c r="AH99" i="5"/>
  <c r="AG99" i="5"/>
  <c r="AO98" i="5"/>
  <c r="AN98" i="5"/>
  <c r="AG98" i="5"/>
  <c r="AO97" i="5"/>
  <c r="AN97" i="5"/>
  <c r="AG97" i="5"/>
  <c r="AO96" i="5"/>
  <c r="AN96" i="5"/>
  <c r="AG96" i="5"/>
  <c r="AO95" i="5"/>
  <c r="AN95" i="5"/>
  <c r="AG95" i="5"/>
  <c r="AO94" i="5"/>
  <c r="AN94" i="5"/>
  <c r="AG94" i="5"/>
  <c r="AO93" i="5"/>
  <c r="AN93" i="5"/>
  <c r="AG93" i="5"/>
  <c r="AO92" i="5"/>
  <c r="AN92" i="5"/>
  <c r="AH92" i="5"/>
  <c r="AG92" i="5"/>
  <c r="AO91" i="5"/>
  <c r="AN91" i="5"/>
  <c r="AH91" i="5"/>
  <c r="AG91" i="5"/>
  <c r="AO90" i="5"/>
  <c r="AN90" i="5"/>
  <c r="AH90" i="5"/>
  <c r="AG90" i="5"/>
  <c r="AO89" i="5"/>
  <c r="AN89" i="5"/>
  <c r="AH89" i="5"/>
  <c r="AG89" i="5"/>
  <c r="AO88" i="5"/>
  <c r="AN88" i="5"/>
  <c r="AH88" i="5"/>
  <c r="AG88" i="5"/>
  <c r="AO87" i="5"/>
  <c r="AN87" i="5"/>
  <c r="AH87" i="5"/>
  <c r="AG87" i="5"/>
  <c r="AO86" i="5"/>
  <c r="AN86" i="5"/>
  <c r="AH86" i="5"/>
  <c r="AG86" i="5"/>
  <c r="AO85" i="5"/>
  <c r="AN85" i="5"/>
  <c r="AH85" i="5"/>
  <c r="AG85" i="5"/>
  <c r="AO84" i="5"/>
  <c r="AN84" i="5"/>
  <c r="AH84" i="5"/>
  <c r="AG84" i="5"/>
  <c r="AO83" i="5"/>
  <c r="AN83" i="5"/>
  <c r="AH83" i="5"/>
  <c r="AG83" i="5"/>
  <c r="AO82" i="5"/>
  <c r="AN82" i="5"/>
  <c r="AH82" i="5"/>
  <c r="AG82" i="5"/>
  <c r="AO81" i="5"/>
  <c r="AN81" i="5"/>
  <c r="AH81" i="5"/>
  <c r="AG81" i="5"/>
  <c r="AO80" i="5"/>
  <c r="AN80" i="5"/>
  <c r="AH80" i="5"/>
  <c r="AG80" i="5"/>
  <c r="AO79" i="5"/>
  <c r="AN79" i="5"/>
  <c r="AH79" i="5"/>
  <c r="AG79" i="5"/>
  <c r="AO78" i="5"/>
  <c r="AN78" i="5"/>
  <c r="AH78" i="5"/>
  <c r="AG78" i="5"/>
  <c r="AO77" i="5"/>
  <c r="AN77" i="5"/>
  <c r="AH77" i="5"/>
  <c r="AG77" i="5"/>
  <c r="AO76" i="5"/>
  <c r="AN76" i="5"/>
  <c r="AH76" i="5"/>
  <c r="AG76" i="5"/>
  <c r="AO75" i="5"/>
  <c r="AN75" i="5"/>
  <c r="AH75" i="5"/>
  <c r="AG75" i="5"/>
  <c r="AO74" i="5"/>
  <c r="AO73" i="5"/>
  <c r="AO72" i="5"/>
  <c r="AN72" i="5"/>
  <c r="AH72" i="5"/>
  <c r="AG72" i="5"/>
  <c r="AO71" i="5"/>
  <c r="AN71" i="5"/>
  <c r="AH71" i="5"/>
  <c r="AG71" i="5"/>
  <c r="AO70" i="5"/>
  <c r="AN70" i="5"/>
  <c r="AH70" i="5"/>
  <c r="AG70" i="5"/>
  <c r="AO69" i="5"/>
  <c r="AN69" i="5"/>
  <c r="AH69" i="5"/>
  <c r="AG69" i="5"/>
  <c r="AO68" i="5"/>
  <c r="AH68" i="5"/>
  <c r="AO67" i="5"/>
  <c r="AH67" i="5"/>
  <c r="AO66" i="5"/>
  <c r="AH66" i="5"/>
  <c r="AO65" i="5"/>
  <c r="AH65" i="5"/>
  <c r="AO64" i="5"/>
  <c r="AN64" i="5"/>
  <c r="AH64" i="5"/>
  <c r="AG64" i="5"/>
  <c r="AO63" i="5"/>
  <c r="AN63" i="5"/>
  <c r="AH63" i="5"/>
  <c r="AG63" i="5"/>
  <c r="AO62" i="5"/>
  <c r="AN62" i="5"/>
  <c r="AH62" i="5"/>
  <c r="AG62" i="5"/>
  <c r="AO61" i="5"/>
  <c r="AN61" i="5"/>
  <c r="AH61" i="5"/>
  <c r="AG61" i="5"/>
  <c r="AO60" i="5"/>
  <c r="AH60" i="5"/>
  <c r="AO59" i="5"/>
  <c r="AH59" i="5"/>
  <c r="AO58" i="5"/>
  <c r="AH58" i="5"/>
  <c r="AO57" i="5"/>
  <c r="AH57" i="5"/>
  <c r="AO56" i="5"/>
  <c r="AH56" i="5"/>
  <c r="AO55" i="5"/>
  <c r="AH55" i="5"/>
  <c r="AO54" i="5"/>
  <c r="AH54" i="5"/>
  <c r="AO53" i="5"/>
  <c r="AH53" i="5"/>
  <c r="AO52" i="5"/>
  <c r="AH52" i="5"/>
  <c r="AO51" i="5"/>
  <c r="AH51" i="5"/>
  <c r="AO50" i="5"/>
  <c r="AH50" i="5"/>
  <c r="AO49" i="5"/>
  <c r="AH49" i="5"/>
  <c r="AO48" i="5"/>
  <c r="AH48" i="5"/>
  <c r="AO47" i="5"/>
  <c r="AH47" i="5"/>
  <c r="AO46" i="5"/>
  <c r="AH46" i="5"/>
  <c r="AO45" i="5"/>
  <c r="AH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O24" i="5"/>
  <c r="AN24" i="5"/>
  <c r="AH24" i="5"/>
  <c r="AG24" i="5"/>
  <c r="AO23" i="5"/>
  <c r="AN23" i="5"/>
  <c r="AH23" i="5"/>
  <c r="AG23" i="5"/>
  <c r="AO22" i="5"/>
  <c r="AN22" i="5"/>
  <c r="AH22" i="5"/>
  <c r="AG22" i="5"/>
  <c r="AO21" i="5"/>
  <c r="AN21" i="5"/>
  <c r="AH21" i="5"/>
  <c r="AG21" i="5"/>
  <c r="AO20" i="5"/>
  <c r="AN20" i="5"/>
  <c r="AL20" i="5"/>
  <c r="AH20" i="5"/>
  <c r="AG20" i="5"/>
  <c r="AO19" i="5"/>
  <c r="AN19" i="5"/>
  <c r="AL19" i="5"/>
  <c r="AH19" i="5"/>
  <c r="AG19" i="5"/>
  <c r="AO18" i="5"/>
  <c r="AN18" i="5"/>
  <c r="AL18" i="5"/>
  <c r="AH18" i="5"/>
  <c r="AG18" i="5"/>
  <c r="AO17" i="5"/>
  <c r="AN17" i="5"/>
  <c r="AL17" i="5"/>
  <c r="AH17" i="5"/>
  <c r="AG17" i="5"/>
  <c r="AO16" i="5"/>
  <c r="AN16" i="5"/>
  <c r="AH16" i="5"/>
  <c r="AG16" i="5"/>
  <c r="AO15" i="5"/>
  <c r="AN15" i="5"/>
  <c r="AH15" i="5"/>
  <c r="AG15" i="5"/>
  <c r="AO14" i="5"/>
  <c r="AN14" i="5"/>
  <c r="AH14" i="5"/>
  <c r="AG14" i="5"/>
  <c r="AO13" i="5"/>
  <c r="AN13" i="5"/>
  <c r="AH13" i="5"/>
  <c r="AG13" i="5"/>
  <c r="D24" i="7" l="1"/>
  <c r="D23" i="7"/>
  <c r="D22" i="7"/>
  <c r="D21" i="7"/>
  <c r="D16" i="7"/>
  <c r="D15" i="7"/>
  <c r="D14" i="7"/>
  <c r="JM59" i="15"/>
  <c r="JL59" i="15"/>
  <c r="JK59" i="15"/>
  <c r="JJ59" i="15"/>
  <c r="JI59" i="15"/>
  <c r="JH59" i="15"/>
  <c r="JG59" i="15"/>
  <c r="JF59" i="15"/>
  <c r="JE59" i="15"/>
  <c r="JD59" i="15"/>
  <c r="JC59" i="15"/>
  <c r="JB59" i="15"/>
  <c r="JA59" i="15"/>
  <c r="IZ59" i="15"/>
  <c r="IY59" i="15"/>
  <c r="IX59" i="15"/>
  <c r="IW59" i="15"/>
  <c r="IV59" i="15"/>
  <c r="IU59" i="15"/>
  <c r="IT59" i="15"/>
  <c r="IS59" i="15"/>
  <c r="IR59" i="15"/>
  <c r="IQ59" i="15"/>
  <c r="IP59" i="15"/>
  <c r="IO59" i="15"/>
  <c r="IN59" i="15"/>
  <c r="IM59" i="15"/>
  <c r="IL59" i="15"/>
  <c r="IK59" i="15"/>
  <c r="IJ59" i="15"/>
  <c r="II59" i="15"/>
  <c r="IH59" i="15"/>
  <c r="IG59" i="15"/>
  <c r="IF59" i="15"/>
  <c r="IE59" i="15"/>
  <c r="ID59" i="15"/>
  <c r="IC59" i="15"/>
  <c r="IB59" i="15"/>
  <c r="IA59" i="15"/>
  <c r="HZ59" i="15"/>
  <c r="HY59" i="15"/>
  <c r="HX59" i="15"/>
  <c r="HW59" i="15"/>
  <c r="HV59" i="15"/>
  <c r="HU59" i="15"/>
  <c r="HT59" i="15"/>
  <c r="HS59" i="15"/>
  <c r="HR59" i="15"/>
  <c r="HQ59" i="15"/>
  <c r="HP59" i="15"/>
  <c r="HO59" i="15"/>
  <c r="HN59" i="15"/>
  <c r="HM59" i="15"/>
  <c r="HL59" i="15"/>
  <c r="HK59" i="15"/>
  <c r="HJ59" i="15"/>
  <c r="HI59" i="15"/>
  <c r="HH59" i="15"/>
  <c r="HG59" i="15"/>
  <c r="HF59" i="15"/>
  <c r="HE59" i="15"/>
  <c r="HD59" i="15"/>
  <c r="HC59" i="15"/>
  <c r="HB59" i="15"/>
  <c r="HA59" i="15"/>
  <c r="GZ59" i="15"/>
  <c r="GY59" i="15"/>
  <c r="GX59" i="15"/>
  <c r="GW59" i="15"/>
  <c r="GV59" i="15"/>
  <c r="GU59" i="15"/>
  <c r="GT59" i="15"/>
  <c r="GS59" i="15"/>
  <c r="GR59" i="15"/>
  <c r="GQ59" i="15"/>
  <c r="GP59" i="15"/>
  <c r="GO59" i="15"/>
  <c r="GN59" i="15"/>
  <c r="GM59" i="15"/>
  <c r="GL59" i="15"/>
  <c r="GK59" i="15"/>
  <c r="GJ59" i="15"/>
  <c r="GI59" i="15"/>
  <c r="GH59" i="15"/>
  <c r="GG59" i="15"/>
  <c r="GF59" i="15"/>
  <c r="GE59" i="15"/>
  <c r="GD59" i="15"/>
  <c r="GC59" i="15"/>
  <c r="GB59" i="15"/>
  <c r="GA59" i="15"/>
  <c r="FZ59" i="15"/>
  <c r="FY59" i="15"/>
  <c r="FX59" i="15"/>
  <c r="FW59" i="15"/>
  <c r="FV59" i="15"/>
  <c r="FU59" i="15"/>
  <c r="FT59" i="15"/>
  <c r="FS59" i="15"/>
  <c r="FR59" i="15"/>
  <c r="FQ59" i="15"/>
  <c r="FP59" i="15"/>
  <c r="FO59" i="15"/>
  <c r="FN59" i="15"/>
  <c r="FM59" i="15"/>
  <c r="FL59" i="15"/>
  <c r="FK59" i="15"/>
  <c r="FJ59" i="15"/>
  <c r="FI59" i="15"/>
  <c r="FH59" i="15"/>
  <c r="FG59" i="15"/>
  <c r="FF59" i="15"/>
  <c r="FE59" i="15"/>
  <c r="FD59" i="15"/>
  <c r="FC59" i="15"/>
  <c r="FB59" i="15"/>
  <c r="FA59" i="15"/>
  <c r="EZ59" i="15"/>
  <c r="EY59" i="15"/>
  <c r="EX59" i="15"/>
  <c r="EW59" i="15"/>
  <c r="EV59" i="15"/>
  <c r="EU59" i="15"/>
  <c r="ET59" i="15"/>
  <c r="ES59" i="15"/>
  <c r="ER59" i="15"/>
  <c r="EQ59" i="15"/>
  <c r="EP59" i="15"/>
  <c r="EO59" i="15"/>
  <c r="EN59" i="15"/>
  <c r="EM59" i="15"/>
  <c r="EL59" i="15"/>
  <c r="EK59" i="15"/>
  <c r="EJ59" i="15"/>
  <c r="EI59" i="15"/>
  <c r="EH59" i="15"/>
  <c r="EG59" i="15"/>
  <c r="EF59" i="15"/>
  <c r="EE59" i="15"/>
  <c r="ED59" i="15"/>
  <c r="EC59" i="15"/>
  <c r="EB59" i="15"/>
  <c r="EA59" i="15"/>
  <c r="DZ59" i="15"/>
  <c r="DY59" i="15"/>
  <c r="DX59" i="15"/>
  <c r="DW59" i="15"/>
  <c r="DV59" i="15"/>
  <c r="DU59" i="15"/>
  <c r="DT59" i="15"/>
  <c r="DS59" i="15"/>
  <c r="DR59" i="15"/>
  <c r="DQ59" i="15"/>
  <c r="DP59" i="15"/>
  <c r="DO59" i="15"/>
  <c r="DN59" i="15"/>
  <c r="DM59" i="15"/>
  <c r="DL59" i="15"/>
  <c r="DK59" i="15"/>
  <c r="DJ59" i="15"/>
  <c r="DI59" i="15"/>
  <c r="DH59" i="15"/>
  <c r="DG59" i="15"/>
  <c r="DF59" i="15"/>
  <c r="DE59" i="15"/>
  <c r="DD59" i="15"/>
  <c r="DC59" i="15"/>
  <c r="DB59" i="15"/>
  <c r="DA59" i="15"/>
  <c r="CZ59" i="15"/>
  <c r="CY59" i="15"/>
  <c r="CX59" i="15"/>
  <c r="CW59" i="15"/>
  <c r="CV59" i="15"/>
  <c r="CU59" i="15"/>
  <c r="CT59" i="15"/>
  <c r="CS59" i="15"/>
  <c r="CR59" i="15"/>
  <c r="CQ59" i="15"/>
  <c r="CP59" i="15"/>
  <c r="CO59" i="15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JM58" i="15"/>
  <c r="JL58" i="15"/>
  <c r="JK58" i="15"/>
  <c r="JJ58" i="15"/>
  <c r="JI58" i="15"/>
  <c r="JH58" i="15"/>
  <c r="JG58" i="15"/>
  <c r="JF58" i="15"/>
  <c r="JE58" i="15"/>
  <c r="JD58" i="15"/>
  <c r="JC58" i="15"/>
  <c r="JB58" i="15"/>
  <c r="JA58" i="15"/>
  <c r="IY58" i="15"/>
  <c r="IX58" i="15"/>
  <c r="IW58" i="15"/>
  <c r="IV58" i="15"/>
  <c r="IU58" i="15"/>
  <c r="IT58" i="15"/>
  <c r="IS58" i="15"/>
  <c r="IR58" i="15"/>
  <c r="IQ58" i="15"/>
  <c r="IP58" i="15"/>
  <c r="IO58" i="15"/>
  <c r="IM58" i="15"/>
  <c r="IL58" i="15"/>
  <c r="IK58" i="15"/>
  <c r="IF58" i="15"/>
  <c r="IB58" i="15"/>
  <c r="HX58" i="15"/>
  <c r="HW58" i="15"/>
  <c r="HV58" i="15"/>
  <c r="HU58" i="15"/>
  <c r="HT58" i="15"/>
  <c r="HS58" i="15"/>
  <c r="HR58" i="15"/>
  <c r="HQ58" i="15"/>
  <c r="HP58" i="15"/>
  <c r="HO58" i="15"/>
  <c r="HN58" i="15"/>
  <c r="HM58" i="15"/>
  <c r="HL58" i="15"/>
  <c r="HK58" i="15"/>
  <c r="HJ58" i="15"/>
  <c r="HI58" i="15"/>
  <c r="HH58" i="15"/>
  <c r="HG58" i="15"/>
  <c r="HF58" i="15"/>
  <c r="HD58" i="15"/>
  <c r="HC58" i="15"/>
  <c r="HB58" i="15"/>
  <c r="HA58" i="15"/>
  <c r="GY58" i="15"/>
  <c r="GX58" i="15"/>
  <c r="GU58" i="15"/>
  <c r="GS58" i="15"/>
  <c r="GR58" i="15"/>
  <c r="GQ58" i="15"/>
  <c r="GO58" i="15"/>
  <c r="GN58" i="15"/>
  <c r="GI58" i="15"/>
  <c r="GH58" i="15"/>
  <c r="GG58" i="15"/>
  <c r="GF58" i="15"/>
  <c r="GE58" i="15"/>
  <c r="GD58" i="15"/>
  <c r="GB58" i="15"/>
  <c r="GA58" i="15"/>
  <c r="FZ58" i="15"/>
  <c r="FU58" i="15"/>
  <c r="FT58" i="15"/>
  <c r="FS58" i="15"/>
  <c r="FR58" i="15"/>
  <c r="FQ58" i="15"/>
  <c r="FN58" i="15"/>
  <c r="FM58" i="15"/>
  <c r="FJ58" i="15"/>
  <c r="FI58" i="15"/>
  <c r="FD58" i="15"/>
  <c r="FC58" i="15"/>
  <c r="FB58" i="15"/>
  <c r="FA58" i="15"/>
  <c r="EZ58" i="15"/>
  <c r="EY58" i="15"/>
  <c r="EX58" i="15"/>
  <c r="EW58" i="15"/>
  <c r="EV58" i="15"/>
  <c r="EU58" i="15"/>
  <c r="ET58" i="15"/>
  <c r="ES58" i="15"/>
  <c r="EN58" i="15"/>
  <c r="EM58" i="15"/>
  <c r="EL58" i="15"/>
  <c r="EK58" i="15"/>
  <c r="EJ58" i="15"/>
  <c r="EI58" i="15"/>
  <c r="EH58" i="15"/>
  <c r="EG58" i="15"/>
  <c r="EF58" i="15"/>
  <c r="EE58" i="15"/>
  <c r="ED58" i="15"/>
  <c r="EC58" i="15"/>
  <c r="EB58" i="15"/>
  <c r="EA58" i="15"/>
  <c r="DU58" i="15"/>
  <c r="DT58" i="15"/>
  <c r="DS58" i="15"/>
  <c r="DR58" i="15"/>
  <c r="DQ58" i="15"/>
  <c r="DP58" i="15"/>
  <c r="DO58" i="15"/>
  <c r="DM58" i="15"/>
  <c r="DL58" i="15"/>
  <c r="DK58" i="15"/>
  <c r="DJ58" i="15"/>
  <c r="DI58" i="15"/>
  <c r="DG58" i="15"/>
  <c r="DF58" i="15"/>
  <c r="DE58" i="15"/>
  <c r="DD58" i="15"/>
  <c r="DC58" i="15"/>
  <c r="DB58" i="15"/>
  <c r="DA58" i="15"/>
  <c r="CZ58" i="15"/>
  <c r="CY58" i="15"/>
  <c r="CX58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J58" i="15"/>
  <c r="BI58" i="15"/>
  <c r="BH58" i="15"/>
  <c r="BG58" i="15"/>
  <c r="BB58" i="15"/>
  <c r="BA58" i="15"/>
  <c r="AZ58" i="15"/>
  <c r="AY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J56" i="15"/>
  <c r="I56" i="15"/>
  <c r="H56" i="15"/>
  <c r="G56" i="15"/>
  <c r="JM52" i="15"/>
  <c r="JL52" i="15"/>
  <c r="JK52" i="15"/>
  <c r="JJ52" i="15"/>
  <c r="JI52" i="15"/>
  <c r="JH52" i="15"/>
  <c r="JG52" i="15"/>
  <c r="JF52" i="15"/>
  <c r="JE52" i="15"/>
  <c r="JD52" i="15"/>
  <c r="JC52" i="15"/>
  <c r="JB52" i="15"/>
  <c r="JA52" i="15"/>
  <c r="IZ52" i="15"/>
  <c r="IY52" i="15"/>
  <c r="IX52" i="15"/>
  <c r="IW52" i="15"/>
  <c r="IV52" i="15"/>
  <c r="IU52" i="15"/>
  <c r="IT52" i="15"/>
  <c r="IS52" i="15"/>
  <c r="IR52" i="15"/>
  <c r="IQ52" i="15"/>
  <c r="IP52" i="15"/>
  <c r="IO52" i="15"/>
  <c r="IN52" i="15"/>
  <c r="IM52" i="15"/>
  <c r="IL52" i="15"/>
  <c r="IK52" i="15"/>
  <c r="IJ52" i="15"/>
  <c r="II52" i="15"/>
  <c r="IH52" i="15"/>
  <c r="IG52" i="15"/>
  <c r="IF52" i="15"/>
  <c r="IE52" i="15"/>
  <c r="ID52" i="15"/>
  <c r="IC52" i="15"/>
  <c r="IB52" i="15"/>
  <c r="IA52" i="15"/>
  <c r="HZ52" i="15"/>
  <c r="HY52" i="15"/>
  <c r="HX52" i="15"/>
  <c r="HW52" i="15"/>
  <c r="HV52" i="15"/>
  <c r="HU52" i="15"/>
  <c r="HT52" i="15"/>
  <c r="HS52" i="15"/>
  <c r="HR52" i="15"/>
  <c r="HQ52" i="15"/>
  <c r="HP52" i="15"/>
  <c r="HO52" i="15"/>
  <c r="HN52" i="15"/>
  <c r="HM52" i="15"/>
  <c r="HL52" i="15"/>
  <c r="HK52" i="15"/>
  <c r="HJ52" i="15"/>
  <c r="HI52" i="15"/>
  <c r="HH52" i="15"/>
  <c r="HG52" i="15"/>
  <c r="HF52" i="15"/>
  <c r="HE52" i="15"/>
  <c r="HD52" i="15"/>
  <c r="HC52" i="15"/>
  <c r="HB52" i="15"/>
  <c r="HA52" i="15"/>
  <c r="GZ52" i="15"/>
  <c r="GY52" i="15"/>
  <c r="GX52" i="15"/>
  <c r="GW52" i="15"/>
  <c r="GV52" i="15"/>
  <c r="GU52" i="15"/>
  <c r="GT52" i="15"/>
  <c r="GS52" i="15"/>
  <c r="GR52" i="15"/>
  <c r="GQ52" i="15"/>
  <c r="GP52" i="15"/>
  <c r="GO52" i="15"/>
  <c r="GN52" i="15"/>
  <c r="GM52" i="15"/>
  <c r="GL52" i="15"/>
  <c r="GK52" i="15"/>
  <c r="GJ52" i="15"/>
  <c r="GI52" i="15"/>
  <c r="GH52" i="15"/>
  <c r="GG52" i="15"/>
  <c r="GF52" i="15"/>
  <c r="GE52" i="15"/>
  <c r="GD52" i="15"/>
  <c r="GC52" i="15"/>
  <c r="GB52" i="15"/>
  <c r="GA52" i="15"/>
  <c r="FZ52" i="15"/>
  <c r="FY52" i="15"/>
  <c r="FX52" i="15"/>
  <c r="FW52" i="15"/>
  <c r="FO52" i="15"/>
  <c r="FN52" i="15"/>
  <c r="FM52" i="15"/>
  <c r="FL52" i="15"/>
  <c r="FK52" i="15"/>
  <c r="FD52" i="15"/>
  <c r="FC52" i="15"/>
  <c r="FB52" i="15"/>
  <c r="FA52" i="15"/>
  <c r="EZ52" i="15"/>
  <c r="EY52" i="15"/>
  <c r="EL52" i="15"/>
  <c r="EK52" i="15"/>
  <c r="EJ52" i="15"/>
  <c r="EI52" i="15"/>
  <c r="EH52" i="15"/>
  <c r="EG52" i="15"/>
  <c r="DZ52" i="15"/>
  <c r="DY52" i="15"/>
  <c r="DX52" i="15"/>
  <c r="DW52" i="15"/>
  <c r="DV52" i="15"/>
  <c r="DU52" i="15"/>
  <c r="DN52" i="15"/>
  <c r="DM52" i="15"/>
  <c r="DL52" i="15"/>
  <c r="DK52" i="15"/>
  <c r="DJ52" i="15"/>
  <c r="DI52" i="15"/>
  <c r="DB52" i="15"/>
  <c r="DA52" i="15"/>
  <c r="CZ52" i="15"/>
  <c r="CY52" i="15"/>
  <c r="CX52" i="15"/>
  <c r="CW52" i="15"/>
  <c r="CP52" i="15"/>
  <c r="CO52" i="15"/>
  <c r="CN52" i="15"/>
  <c r="CM52" i="15"/>
  <c r="CL52" i="15"/>
  <c r="CK52" i="15"/>
  <c r="CD52" i="15"/>
  <c r="CC52" i="15"/>
  <c r="CB52" i="15"/>
  <c r="CA52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J52" i="15"/>
  <c r="BI52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JM51" i="15"/>
  <c r="JL51" i="15"/>
  <c r="JK51" i="15"/>
  <c r="JJ51" i="15"/>
  <c r="JI51" i="15"/>
  <c r="JH51" i="15"/>
  <c r="JG51" i="15"/>
  <c r="JF51" i="15"/>
  <c r="JE51" i="15"/>
  <c r="JD51" i="15"/>
  <c r="JC51" i="15"/>
  <c r="JB51" i="15"/>
  <c r="JA51" i="15"/>
  <c r="IZ51" i="15"/>
  <c r="IY51" i="15"/>
  <c r="IX51" i="15"/>
  <c r="IW51" i="15"/>
  <c r="IV51" i="15"/>
  <c r="IU51" i="15"/>
  <c r="IT51" i="15"/>
  <c r="IS51" i="15"/>
  <c r="IR51" i="15"/>
  <c r="IQ51" i="15"/>
  <c r="IP51" i="15"/>
  <c r="IO51" i="15"/>
  <c r="IN51" i="15"/>
  <c r="IM51" i="15"/>
  <c r="IL51" i="15"/>
  <c r="IK51" i="15"/>
  <c r="IJ51" i="15"/>
  <c r="II51" i="15"/>
  <c r="IH51" i="15"/>
  <c r="IG51" i="15"/>
  <c r="IF51" i="15"/>
  <c r="IE51" i="15"/>
  <c r="ID51" i="15"/>
  <c r="IC51" i="15"/>
  <c r="IB51" i="15"/>
  <c r="IA51" i="15"/>
  <c r="HZ51" i="15"/>
  <c r="HY51" i="15"/>
  <c r="HX51" i="15"/>
  <c r="HW51" i="15"/>
  <c r="HV51" i="15"/>
  <c r="HU51" i="15"/>
  <c r="HT51" i="15"/>
  <c r="HS51" i="15"/>
  <c r="HR51" i="15"/>
  <c r="HQ51" i="15"/>
  <c r="HP51" i="15"/>
  <c r="HO51" i="15"/>
  <c r="HN51" i="15"/>
  <c r="HM51" i="15"/>
  <c r="HL51" i="15"/>
  <c r="HK51" i="15"/>
  <c r="HJ51" i="15"/>
  <c r="HI51" i="15"/>
  <c r="HH51" i="15"/>
  <c r="HG51" i="15"/>
  <c r="HF51" i="15"/>
  <c r="HE51" i="15"/>
  <c r="HD51" i="15"/>
  <c r="HC51" i="15"/>
  <c r="HB51" i="15"/>
  <c r="HA51" i="15"/>
  <c r="GZ51" i="15"/>
  <c r="GY51" i="15"/>
  <c r="GX51" i="15"/>
  <c r="GW51" i="15"/>
  <c r="GV51" i="15"/>
  <c r="GU51" i="15"/>
  <c r="GT51" i="15"/>
  <c r="GS51" i="15"/>
  <c r="GP51" i="15"/>
  <c r="GN51" i="15"/>
  <c r="GM51" i="15"/>
  <c r="GL51" i="15"/>
  <c r="GK51" i="15"/>
  <c r="GJ51" i="15"/>
  <c r="GI51" i="15"/>
  <c r="GH51" i="15"/>
  <c r="GG51" i="15"/>
  <c r="GF51" i="15"/>
  <c r="GE51" i="15"/>
  <c r="GD51" i="15"/>
  <c r="GC51" i="15"/>
  <c r="GB51" i="15"/>
  <c r="GA51" i="15"/>
  <c r="FZ51" i="15"/>
  <c r="FY51" i="15"/>
  <c r="FX51" i="15"/>
  <c r="FW51" i="15"/>
  <c r="FU51" i="15"/>
  <c r="FT51" i="15"/>
  <c r="FS51" i="15"/>
  <c r="FR51" i="15"/>
  <c r="FQ51" i="15"/>
  <c r="FO51" i="15"/>
  <c r="FN51" i="15"/>
  <c r="FM51" i="15"/>
  <c r="FL51" i="15"/>
  <c r="FK51" i="15"/>
  <c r="FI51" i="15"/>
  <c r="FH51" i="15"/>
  <c r="FG51" i="15"/>
  <c r="FF51" i="15"/>
  <c r="FE51" i="15"/>
  <c r="FD51" i="15"/>
  <c r="FC51" i="15"/>
  <c r="FB51" i="15"/>
  <c r="FA51" i="15"/>
  <c r="EZ51" i="15"/>
  <c r="EY51" i="15"/>
  <c r="EX51" i="15"/>
  <c r="EW51" i="15"/>
  <c r="EV51" i="15"/>
  <c r="EU51" i="15"/>
  <c r="ET51" i="15"/>
  <c r="ES51" i="15"/>
  <c r="ER51" i="15"/>
  <c r="EQ51" i="15"/>
  <c r="EP51" i="15"/>
  <c r="EO51" i="15"/>
  <c r="EN51" i="15"/>
  <c r="EM51" i="15"/>
  <c r="EL51" i="15"/>
  <c r="EK51" i="15"/>
  <c r="EJ51" i="15"/>
  <c r="EI51" i="15"/>
  <c r="EH51" i="15"/>
  <c r="EG51" i="15"/>
  <c r="EF51" i="15"/>
  <c r="EE51" i="15"/>
  <c r="ED51" i="15"/>
  <c r="EC51" i="15"/>
  <c r="EB51" i="15"/>
  <c r="EA51" i="15"/>
  <c r="DZ51" i="15"/>
  <c r="DY51" i="15"/>
  <c r="DX51" i="15"/>
  <c r="DW51" i="15"/>
  <c r="DV51" i="15"/>
  <c r="DU51" i="15"/>
  <c r="DT51" i="15"/>
  <c r="DS51" i="15"/>
  <c r="DR51" i="15"/>
  <c r="DQ51" i="15"/>
  <c r="DP51" i="15"/>
  <c r="DO51" i="15"/>
  <c r="DN51" i="15"/>
  <c r="DM51" i="15"/>
  <c r="DL51" i="15"/>
  <c r="DK51" i="15"/>
  <c r="DJ51" i="15"/>
  <c r="DI51" i="15"/>
  <c r="DH51" i="15"/>
  <c r="DG51" i="15"/>
  <c r="DF51" i="15"/>
  <c r="DE51" i="15"/>
  <c r="DD51" i="15"/>
  <c r="DC51" i="15"/>
  <c r="DB51" i="15"/>
  <c r="DA51" i="15"/>
  <c r="CZ51" i="15"/>
  <c r="CY51" i="15"/>
  <c r="CX51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J51" i="15"/>
  <c r="BI51" i="15"/>
  <c r="BH51" i="15"/>
  <c r="BG51" i="15"/>
  <c r="BB51" i="15"/>
  <c r="BA51" i="15"/>
  <c r="AZ51" i="15"/>
  <c r="AY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EK46" i="15"/>
  <c r="N20" i="15"/>
  <c r="M20" i="15"/>
  <c r="L20" i="15"/>
  <c r="K20" i="15"/>
  <c r="F20" i="15"/>
  <c r="E20" i="15"/>
  <c r="D20" i="15"/>
  <c r="AW229" i="2" l="1"/>
  <c r="AW230" i="2" l="1"/>
  <c r="AW270" i="2"/>
  <c r="AW258" i="2"/>
  <c r="AW253" i="2"/>
  <c r="AW254" i="2"/>
  <c r="AW252" i="2"/>
  <c r="AW251" i="2"/>
  <c r="AW249" i="2"/>
  <c r="AW247" i="2"/>
  <c r="AW248" i="2"/>
  <c r="AW245" i="2"/>
  <c r="AW244" i="2"/>
  <c r="AW243" i="2"/>
  <c r="AW223" i="2"/>
  <c r="AW218" i="2"/>
  <c r="AW215" i="2"/>
  <c r="AW214" i="2"/>
  <c r="AW212" i="2"/>
  <c r="AW205" i="2"/>
  <c r="AW204" i="2"/>
  <c r="AW203" i="2"/>
  <c r="AW202" i="2"/>
  <c r="AW195" i="2"/>
  <c r="AW191" i="2"/>
  <c r="AW190" i="2"/>
  <c r="AW189" i="2"/>
  <c r="AW181" i="2"/>
  <c r="AW178" i="2"/>
  <c r="AW177" i="2"/>
  <c r="AW174" i="2"/>
  <c r="AW173" i="2"/>
  <c r="AW172" i="2"/>
  <c r="AW171" i="2"/>
  <c r="AW140" i="2"/>
  <c r="AW139" i="2"/>
  <c r="AW138" i="2"/>
  <c r="AW137" i="2"/>
  <c r="AW136" i="2"/>
  <c r="AW128" i="2"/>
  <c r="AW122" i="2"/>
  <c r="AW157" i="2"/>
  <c r="AW158" i="2"/>
  <c r="AW156" i="2"/>
  <c r="AW155" i="2"/>
  <c r="AX283" i="2"/>
  <c r="AW283" i="2"/>
  <c r="AQ283" i="2"/>
  <c r="AP283" i="2"/>
  <c r="AX282" i="2"/>
  <c r="AW282" i="2"/>
  <c r="AQ282" i="2"/>
  <c r="AP282" i="2"/>
  <c r="AX281" i="2"/>
  <c r="AW281" i="2"/>
  <c r="AQ281" i="2"/>
  <c r="AP281" i="2"/>
  <c r="AX280" i="2"/>
  <c r="AW280" i="2"/>
  <c r="AQ280" i="2"/>
  <c r="AP280" i="2"/>
  <c r="AX279" i="2"/>
  <c r="AW279" i="2"/>
  <c r="AQ279" i="2"/>
  <c r="AP279" i="2"/>
  <c r="AX278" i="2"/>
  <c r="AW278" i="2"/>
  <c r="AQ278" i="2"/>
  <c r="AP278" i="2"/>
  <c r="AX276" i="2"/>
  <c r="AW276" i="2"/>
  <c r="AQ276" i="2"/>
  <c r="AP276" i="2"/>
  <c r="AX277" i="2"/>
  <c r="AW277" i="2"/>
  <c r="AQ277" i="2"/>
  <c r="AP277" i="2"/>
  <c r="AX275" i="2"/>
  <c r="AW275" i="2"/>
  <c r="AQ275" i="2"/>
  <c r="AP275" i="2"/>
  <c r="AX274" i="2"/>
  <c r="AW274" i="2"/>
  <c r="AQ274" i="2"/>
  <c r="AP274" i="2"/>
  <c r="AX273" i="2"/>
  <c r="AW273" i="2"/>
  <c r="AQ273" i="2"/>
  <c r="AP273" i="2"/>
  <c r="AX272" i="2"/>
  <c r="AW272" i="2"/>
  <c r="AQ272" i="2"/>
  <c r="AP272" i="2"/>
  <c r="AX270" i="2"/>
  <c r="AQ270" i="2"/>
  <c r="AP270" i="2"/>
  <c r="AX271" i="2"/>
  <c r="AW271" i="2"/>
  <c r="AQ271" i="2"/>
  <c r="AP271" i="2"/>
  <c r="AX269" i="2"/>
  <c r="AW269" i="2"/>
  <c r="AQ269" i="2"/>
  <c r="AP269" i="2"/>
  <c r="AX268" i="2"/>
  <c r="AW268" i="2"/>
  <c r="AQ268" i="2"/>
  <c r="AP268" i="2"/>
  <c r="AX267" i="2"/>
  <c r="AW267" i="2"/>
  <c r="AQ267" i="2"/>
  <c r="AP267" i="2"/>
  <c r="AX266" i="2"/>
  <c r="AW266" i="2"/>
  <c r="AQ266" i="2"/>
  <c r="AP266" i="2"/>
  <c r="AX264" i="2"/>
  <c r="AW264" i="2"/>
  <c r="AQ264" i="2"/>
  <c r="AP264" i="2"/>
  <c r="AX265" i="2"/>
  <c r="AW265" i="2"/>
  <c r="AQ265" i="2"/>
  <c r="AP265" i="2"/>
  <c r="AX263" i="2"/>
  <c r="AW263" i="2"/>
  <c r="AQ263" i="2"/>
  <c r="AP263" i="2"/>
  <c r="AX262" i="2"/>
  <c r="AW262" i="2"/>
  <c r="AQ262" i="2"/>
  <c r="AP262" i="2"/>
  <c r="AX261" i="2"/>
  <c r="AW261" i="2"/>
  <c r="AQ261" i="2"/>
  <c r="AP261" i="2"/>
  <c r="AX260" i="2"/>
  <c r="AW260" i="2"/>
  <c r="AQ260" i="2"/>
  <c r="AP260" i="2"/>
  <c r="AX259" i="2"/>
  <c r="AW259" i="2"/>
  <c r="AQ259" i="2"/>
  <c r="AP259" i="2"/>
  <c r="AX258" i="2"/>
  <c r="AQ258" i="2"/>
  <c r="AP258" i="2"/>
  <c r="AX257" i="2"/>
  <c r="AW257" i="2"/>
  <c r="AQ257" i="2"/>
  <c r="AP257" i="2"/>
  <c r="AX256" i="2"/>
  <c r="AW256" i="2"/>
  <c r="AQ256" i="2"/>
  <c r="AP256" i="2"/>
  <c r="AX255" i="2"/>
  <c r="AW255" i="2"/>
  <c r="AQ255" i="2"/>
  <c r="AP255" i="2"/>
  <c r="AX253" i="2"/>
  <c r="AQ253" i="2"/>
  <c r="AP253" i="2"/>
  <c r="AX254" i="2"/>
  <c r="AQ254" i="2"/>
  <c r="AP254" i="2"/>
  <c r="AX252" i="2"/>
  <c r="AQ252" i="2"/>
  <c r="AP252" i="2"/>
  <c r="AX251" i="2"/>
  <c r="AQ251" i="2"/>
  <c r="AP251" i="2"/>
  <c r="AX250" i="2"/>
  <c r="AW250" i="2"/>
  <c r="AQ250" i="2"/>
  <c r="AP250" i="2"/>
  <c r="AX249" i="2"/>
  <c r="AQ249" i="2"/>
  <c r="AP249" i="2"/>
  <c r="AX247" i="2"/>
  <c r="AQ247" i="2"/>
  <c r="AP247" i="2"/>
  <c r="AX248" i="2"/>
  <c r="AQ248" i="2"/>
  <c r="AP248" i="2"/>
  <c r="AX246" i="2"/>
  <c r="AW246" i="2"/>
  <c r="AQ246" i="2"/>
  <c r="AP246" i="2"/>
  <c r="AX245" i="2"/>
  <c r="AQ245" i="2"/>
  <c r="AP245" i="2"/>
  <c r="AX244" i="2"/>
  <c r="AQ244" i="2"/>
  <c r="AP244" i="2"/>
  <c r="AX243" i="2"/>
  <c r="AQ243" i="2"/>
  <c r="AP243" i="2"/>
  <c r="AX242" i="2"/>
  <c r="AW242" i="2"/>
  <c r="AQ242" i="2"/>
  <c r="AP242" i="2"/>
  <c r="AX241" i="2"/>
  <c r="AW241" i="2"/>
  <c r="AQ241" i="2"/>
  <c r="AP241" i="2"/>
  <c r="AX240" i="2"/>
  <c r="AW240" i="2"/>
  <c r="AQ240" i="2"/>
  <c r="AP240" i="2"/>
  <c r="AX239" i="2"/>
  <c r="AW239" i="2"/>
  <c r="AQ239" i="2"/>
  <c r="AP239" i="2"/>
  <c r="AX238" i="2"/>
  <c r="AW238" i="2"/>
  <c r="AQ238" i="2"/>
  <c r="AP238" i="2"/>
  <c r="AX237" i="2"/>
  <c r="AW237" i="2"/>
  <c r="AQ237" i="2"/>
  <c r="AP237" i="2"/>
  <c r="AX235" i="2"/>
  <c r="AW235" i="2"/>
  <c r="AQ235" i="2"/>
  <c r="AP235" i="2"/>
  <c r="AX236" i="2"/>
  <c r="AW236" i="2"/>
  <c r="AQ236" i="2"/>
  <c r="AP236" i="2"/>
  <c r="AX234" i="2"/>
  <c r="AW234" i="2"/>
  <c r="AQ234" i="2"/>
  <c r="AP234" i="2"/>
  <c r="AX233" i="2"/>
  <c r="AW233" i="2"/>
  <c r="AQ233" i="2"/>
  <c r="AP233" i="2"/>
  <c r="AX232" i="2"/>
  <c r="AW232" i="2"/>
  <c r="AQ232" i="2"/>
  <c r="AP232" i="2"/>
  <c r="AX231" i="2"/>
  <c r="AW231" i="2"/>
  <c r="AQ231" i="2"/>
  <c r="AP231" i="2"/>
  <c r="AX230" i="2"/>
  <c r="AQ230" i="2"/>
  <c r="AP230" i="2"/>
  <c r="AX229" i="2"/>
  <c r="AQ229" i="2"/>
  <c r="AP229" i="2"/>
  <c r="AX228" i="2"/>
  <c r="AW228" i="2"/>
  <c r="AQ228" i="2"/>
  <c r="AP228" i="2"/>
  <c r="AX227" i="2"/>
  <c r="AW227" i="2"/>
  <c r="AQ227" i="2"/>
  <c r="AP227" i="2"/>
  <c r="AX226" i="2"/>
  <c r="AW226" i="2"/>
  <c r="AQ226" i="2"/>
  <c r="AP226" i="2"/>
  <c r="AX225" i="2"/>
  <c r="AW225" i="2"/>
  <c r="AQ225" i="2"/>
  <c r="AP225" i="2"/>
  <c r="AX223" i="2"/>
  <c r="AQ223" i="2"/>
  <c r="AP223" i="2"/>
  <c r="AX224" i="2"/>
  <c r="AW224" i="2"/>
  <c r="AQ224" i="2"/>
  <c r="AP224" i="2"/>
  <c r="AX222" i="2"/>
  <c r="AW222" i="2"/>
  <c r="AQ222" i="2"/>
  <c r="AP222" i="2"/>
  <c r="AX221" i="2"/>
  <c r="AW221" i="2"/>
  <c r="AQ221" i="2"/>
  <c r="AP221" i="2"/>
  <c r="AX220" i="2"/>
  <c r="AW220" i="2"/>
  <c r="AQ220" i="2"/>
  <c r="AP220" i="2"/>
  <c r="AX219" i="2"/>
  <c r="AW219" i="2"/>
  <c r="AQ219" i="2"/>
  <c r="AP219" i="2"/>
  <c r="AX218" i="2"/>
  <c r="AQ218" i="2"/>
  <c r="AP218" i="2"/>
  <c r="AX217" i="2"/>
  <c r="AW217" i="2"/>
  <c r="AQ217" i="2"/>
  <c r="AP217" i="2"/>
  <c r="AX216" i="2"/>
  <c r="AW216" i="2"/>
  <c r="AQ216" i="2"/>
  <c r="AP216" i="2"/>
  <c r="AX215" i="2"/>
  <c r="AQ215" i="2"/>
  <c r="AP215" i="2"/>
  <c r="AX214" i="2"/>
  <c r="AQ214" i="2"/>
  <c r="AP214" i="2"/>
  <c r="AX213" i="2"/>
  <c r="AW213" i="2"/>
  <c r="AQ213" i="2"/>
  <c r="AP213" i="2"/>
  <c r="AX212" i="2"/>
  <c r="AQ212" i="2"/>
  <c r="AP212" i="2"/>
  <c r="AX211" i="2"/>
  <c r="AW211" i="2"/>
  <c r="AQ211" i="2"/>
  <c r="AP211" i="2"/>
  <c r="AX210" i="2"/>
  <c r="AW210" i="2"/>
  <c r="AQ210" i="2"/>
  <c r="AX209" i="2"/>
  <c r="AW209" i="2"/>
  <c r="AQ209" i="2"/>
  <c r="AX208" i="2"/>
  <c r="AQ208" i="2"/>
  <c r="AP208" i="2"/>
  <c r="AX207" i="2"/>
  <c r="AW207" i="2"/>
  <c r="AQ207" i="2"/>
  <c r="AX206" i="2"/>
  <c r="AW206" i="2"/>
  <c r="AQ206" i="2"/>
  <c r="AP206" i="2"/>
  <c r="AX205" i="2"/>
  <c r="AQ205" i="2"/>
  <c r="AP205" i="2"/>
  <c r="AX204" i="2"/>
  <c r="AQ204" i="2"/>
  <c r="AP204" i="2"/>
  <c r="AX203" i="2"/>
  <c r="AQ203" i="2"/>
  <c r="AP203" i="2"/>
  <c r="AX202" i="2"/>
  <c r="AQ202" i="2"/>
  <c r="AP202" i="2"/>
  <c r="AX201" i="2"/>
  <c r="AW201" i="2"/>
  <c r="AQ201" i="2"/>
  <c r="AP201" i="2"/>
  <c r="AX199" i="2"/>
  <c r="AW199" i="2"/>
  <c r="AQ199" i="2"/>
  <c r="AP199" i="2"/>
  <c r="AX200" i="2"/>
  <c r="AW200" i="2"/>
  <c r="AQ200" i="2"/>
  <c r="AP200" i="2"/>
  <c r="AX198" i="2"/>
  <c r="AW198" i="2"/>
  <c r="AQ198" i="2"/>
  <c r="AP198" i="2"/>
  <c r="AX197" i="2"/>
  <c r="AW197" i="2"/>
  <c r="AQ197" i="2"/>
  <c r="AP197" i="2"/>
  <c r="AX196" i="2"/>
  <c r="AW196" i="2"/>
  <c r="AQ196" i="2"/>
  <c r="AP196" i="2"/>
  <c r="AX195" i="2"/>
  <c r="AQ195" i="2"/>
  <c r="AP195" i="2"/>
  <c r="AX194" i="2"/>
  <c r="AW194" i="2"/>
  <c r="AQ194" i="2"/>
  <c r="AP194" i="2"/>
  <c r="AX193" i="2"/>
  <c r="AW193" i="2"/>
  <c r="AQ193" i="2"/>
  <c r="AP193" i="2"/>
  <c r="AX192" i="2"/>
  <c r="AW192" i="2"/>
  <c r="AQ192" i="2"/>
  <c r="AP192" i="2"/>
  <c r="AX191" i="2"/>
  <c r="AQ191" i="2"/>
  <c r="AP191" i="2"/>
  <c r="AX190" i="2"/>
  <c r="AQ190" i="2"/>
  <c r="AP190" i="2"/>
  <c r="AX189" i="2"/>
  <c r="AQ189" i="2"/>
  <c r="AP189" i="2"/>
  <c r="AX188" i="2"/>
  <c r="AX187" i="2"/>
  <c r="AW187" i="2"/>
  <c r="AP187" i="2"/>
  <c r="AX186" i="2"/>
  <c r="AW186" i="2"/>
  <c r="AP186" i="2"/>
  <c r="AX185" i="2"/>
  <c r="AW185" i="2"/>
  <c r="AP185" i="2"/>
  <c r="AX184" i="2"/>
  <c r="AW184" i="2"/>
  <c r="AP184" i="2"/>
  <c r="AX183" i="2"/>
  <c r="AW183" i="2"/>
  <c r="AP183" i="2"/>
  <c r="AX182" i="2"/>
  <c r="AX181" i="2"/>
  <c r="AQ181" i="2"/>
  <c r="AP181" i="2"/>
  <c r="AX180" i="2"/>
  <c r="AW180" i="2"/>
  <c r="AQ180" i="2"/>
  <c r="AP180" i="2"/>
  <c r="AX179" i="2"/>
  <c r="AW179" i="2"/>
  <c r="AQ179" i="2"/>
  <c r="AP179" i="2"/>
  <c r="AX178" i="2"/>
  <c r="AQ178" i="2"/>
  <c r="AP178" i="2"/>
  <c r="AX177" i="2"/>
  <c r="AQ177" i="2"/>
  <c r="AP177" i="2"/>
  <c r="AX176" i="2"/>
  <c r="AW176" i="2"/>
  <c r="AX175" i="2"/>
  <c r="AW175" i="2"/>
  <c r="AP175" i="2"/>
  <c r="AX174" i="2"/>
  <c r="AP174" i="2"/>
  <c r="AX173" i="2"/>
  <c r="AP173" i="2"/>
  <c r="AX172" i="2"/>
  <c r="AP172" i="2"/>
  <c r="AX171" i="2"/>
  <c r="AP171" i="2"/>
  <c r="AX170" i="2"/>
  <c r="AW170" i="2"/>
  <c r="AQ170" i="2"/>
  <c r="AP170" i="2"/>
  <c r="AX169" i="2"/>
  <c r="AW169" i="2"/>
  <c r="AQ169" i="2"/>
  <c r="AP169" i="2"/>
  <c r="AX168" i="2"/>
  <c r="AW168" i="2"/>
  <c r="AQ168" i="2"/>
  <c r="AP168" i="2"/>
  <c r="AX167" i="2"/>
  <c r="AW167" i="2"/>
  <c r="AQ167" i="2"/>
  <c r="AP167" i="2"/>
  <c r="AX166" i="2"/>
  <c r="AW166" i="2"/>
  <c r="AQ166" i="2"/>
  <c r="AP166" i="2"/>
  <c r="AX165" i="2"/>
  <c r="AW165" i="2"/>
  <c r="AQ165" i="2"/>
  <c r="AP165" i="2"/>
  <c r="AX164" i="2"/>
  <c r="AW164" i="2"/>
  <c r="AP164" i="2"/>
  <c r="AX163" i="2"/>
  <c r="AW163" i="2"/>
  <c r="AP163" i="2"/>
  <c r="AX162" i="2"/>
  <c r="AW162" i="2"/>
  <c r="AP162" i="2"/>
  <c r="AX161" i="2"/>
  <c r="AW161" i="2"/>
  <c r="AP161" i="2"/>
  <c r="AX160" i="2"/>
  <c r="AW160" i="2"/>
  <c r="AP160" i="2"/>
  <c r="AX159" i="2"/>
  <c r="AW159" i="2"/>
  <c r="AP159" i="2"/>
  <c r="AX158" i="2"/>
  <c r="AP158" i="2"/>
  <c r="AX157" i="2"/>
  <c r="AP157" i="2"/>
  <c r="AX156" i="2"/>
  <c r="AP156" i="2"/>
  <c r="AX155" i="2"/>
  <c r="AP155" i="2"/>
  <c r="AX154" i="2"/>
  <c r="AW154" i="2"/>
  <c r="AP154" i="2"/>
  <c r="AX153" i="2"/>
  <c r="AW153" i="2"/>
  <c r="AP153" i="2"/>
  <c r="AX152" i="2"/>
  <c r="AW152" i="2"/>
  <c r="AQ152" i="2"/>
  <c r="AP152" i="2"/>
  <c r="AX151" i="2"/>
  <c r="AW151" i="2"/>
  <c r="AQ151" i="2"/>
  <c r="AP151" i="2"/>
  <c r="AK151" i="2"/>
  <c r="AX150" i="2"/>
  <c r="AW150" i="2"/>
  <c r="AQ150" i="2"/>
  <c r="AP150" i="2"/>
  <c r="AX149" i="2"/>
  <c r="AW149" i="2"/>
  <c r="AQ149" i="2"/>
  <c r="AP149" i="2"/>
  <c r="AX148" i="2"/>
  <c r="AW148" i="2"/>
  <c r="AQ148" i="2"/>
  <c r="AP148" i="2"/>
  <c r="AX147" i="2"/>
  <c r="AW147" i="2"/>
  <c r="AQ147" i="2"/>
  <c r="AP147" i="2"/>
  <c r="AX145" i="2"/>
  <c r="AW145" i="2"/>
  <c r="AP145" i="2"/>
  <c r="AX146" i="2"/>
  <c r="AW146" i="2"/>
  <c r="AP146" i="2"/>
  <c r="AX144" i="2"/>
  <c r="AW144" i="2"/>
  <c r="AP144" i="2"/>
  <c r="AX143" i="2"/>
  <c r="AW143" i="2"/>
  <c r="AP143" i="2"/>
  <c r="AX142" i="2"/>
  <c r="AW142" i="2"/>
  <c r="AP142" i="2"/>
  <c r="AX141" i="2"/>
  <c r="AW141" i="2"/>
  <c r="AP141" i="2"/>
  <c r="AX140" i="2"/>
  <c r="AQ140" i="2"/>
  <c r="AP140" i="2"/>
  <c r="AX139" i="2"/>
  <c r="AQ139" i="2"/>
  <c r="AP139" i="2"/>
  <c r="AX138" i="2"/>
  <c r="AQ138" i="2"/>
  <c r="AP138" i="2"/>
  <c r="AX137" i="2"/>
  <c r="AQ137" i="2"/>
  <c r="AP137" i="2"/>
  <c r="AX136" i="2"/>
  <c r="AQ136" i="2"/>
  <c r="AP136" i="2"/>
  <c r="AX135" i="2"/>
  <c r="AW135" i="2"/>
  <c r="AQ135" i="2"/>
  <c r="AP135" i="2"/>
  <c r="AX134" i="2"/>
  <c r="AW134" i="2"/>
  <c r="AP134" i="2"/>
  <c r="AX133" i="2"/>
  <c r="AW133" i="2"/>
  <c r="AP133" i="2"/>
  <c r="AX132" i="2"/>
  <c r="AW132" i="2"/>
  <c r="AP132" i="2"/>
  <c r="AX131" i="2"/>
  <c r="AW131" i="2"/>
  <c r="AP131" i="2"/>
  <c r="AX130" i="2"/>
  <c r="AW130" i="2"/>
  <c r="AP130" i="2"/>
  <c r="AX129" i="2"/>
  <c r="AW129" i="2"/>
  <c r="AP129" i="2"/>
  <c r="AX127" i="2"/>
  <c r="AW127" i="2"/>
  <c r="AQ127" i="2"/>
  <c r="AP127" i="2"/>
  <c r="AX128" i="2"/>
  <c r="AQ128" i="2"/>
  <c r="AP128" i="2"/>
  <c r="AX126" i="2"/>
  <c r="AW126" i="2"/>
  <c r="AQ126" i="2"/>
  <c r="AP126" i="2"/>
  <c r="AX125" i="2"/>
  <c r="AW125" i="2"/>
  <c r="AQ125" i="2"/>
  <c r="AP125" i="2"/>
  <c r="AX124" i="2"/>
  <c r="AW124" i="2"/>
  <c r="AQ124" i="2"/>
  <c r="AP124" i="2"/>
  <c r="AX123" i="2"/>
  <c r="AW123" i="2"/>
  <c r="AQ123" i="2"/>
  <c r="AP123" i="2"/>
  <c r="AX122" i="2"/>
  <c r="AP122" i="2"/>
  <c r="AX121" i="2"/>
  <c r="AW121" i="2"/>
  <c r="AP121" i="2"/>
  <c r="AX120" i="2"/>
  <c r="AW120" i="2"/>
  <c r="AP120" i="2"/>
  <c r="AX119" i="2"/>
  <c r="AW119" i="2"/>
  <c r="AP119" i="2"/>
  <c r="AX118" i="2"/>
  <c r="AW118" i="2"/>
  <c r="AP118" i="2"/>
  <c r="AX117" i="2"/>
  <c r="AW117" i="2"/>
  <c r="AP117" i="2"/>
  <c r="AX116" i="2"/>
  <c r="AW116" i="2"/>
  <c r="AQ116" i="2"/>
  <c r="AP116" i="2"/>
  <c r="AX115" i="2"/>
  <c r="AW115" i="2"/>
  <c r="AQ115" i="2"/>
  <c r="AP115" i="2"/>
  <c r="AX114" i="2"/>
  <c r="AW114" i="2"/>
  <c r="AQ114" i="2"/>
  <c r="AP114" i="2"/>
  <c r="AX113" i="2"/>
  <c r="AW113" i="2"/>
  <c r="AQ113" i="2"/>
  <c r="AP113" i="2"/>
  <c r="AX112" i="2"/>
  <c r="AW112" i="2"/>
  <c r="AQ112" i="2"/>
  <c r="AP112" i="2"/>
  <c r="AX111" i="2"/>
  <c r="AW111" i="2"/>
  <c r="AQ111" i="2"/>
  <c r="AP111" i="2"/>
  <c r="AX110" i="2"/>
  <c r="AW110" i="2"/>
  <c r="AP110" i="2"/>
  <c r="AX109" i="2"/>
  <c r="AW109" i="2"/>
  <c r="AP109" i="2"/>
  <c r="AX108" i="2"/>
  <c r="AW108" i="2"/>
  <c r="AP108" i="2"/>
  <c r="AX107" i="2"/>
  <c r="AW107" i="2"/>
  <c r="AP107" i="2"/>
  <c r="AX106" i="2"/>
  <c r="AW106" i="2"/>
  <c r="AP106" i="2"/>
  <c r="AX105" i="2"/>
  <c r="AW105" i="2"/>
  <c r="AP105" i="2"/>
  <c r="AX104" i="2"/>
  <c r="AW104" i="2"/>
  <c r="AQ104" i="2"/>
  <c r="AP104" i="2"/>
  <c r="AX103" i="2"/>
  <c r="AW103" i="2"/>
  <c r="AQ103" i="2"/>
  <c r="AP103" i="2"/>
  <c r="AX102" i="2"/>
  <c r="AW102" i="2"/>
  <c r="AQ102" i="2"/>
  <c r="AP102" i="2"/>
  <c r="AX101" i="2"/>
  <c r="AW101" i="2"/>
  <c r="AQ101" i="2"/>
  <c r="AP101" i="2"/>
  <c r="AX100" i="2"/>
  <c r="AW100" i="2"/>
  <c r="AQ100" i="2"/>
  <c r="AP100" i="2"/>
  <c r="AX99" i="2"/>
  <c r="AW99" i="2"/>
  <c r="AQ99" i="2"/>
  <c r="AP99" i="2"/>
  <c r="AX98" i="2"/>
  <c r="AW98" i="2"/>
  <c r="AP98" i="2"/>
  <c r="AX97" i="2"/>
  <c r="AW97" i="2"/>
  <c r="AP97" i="2"/>
  <c r="AX96" i="2"/>
  <c r="AW96" i="2"/>
  <c r="AP96" i="2"/>
  <c r="AX95" i="2"/>
  <c r="AW95" i="2"/>
  <c r="AP95" i="2"/>
  <c r="AX94" i="2"/>
  <c r="AW94" i="2"/>
  <c r="AP94" i="2"/>
  <c r="AX93" i="2"/>
  <c r="AW93" i="2"/>
  <c r="AP93" i="2"/>
  <c r="AX92" i="2"/>
  <c r="AW92" i="2"/>
  <c r="AQ92" i="2"/>
  <c r="AP92" i="2"/>
  <c r="AX91" i="2"/>
  <c r="AW91" i="2"/>
  <c r="AQ91" i="2"/>
  <c r="AP91" i="2"/>
  <c r="AX90" i="2"/>
  <c r="AW90" i="2"/>
  <c r="AQ90" i="2"/>
  <c r="AP90" i="2"/>
  <c r="AX89" i="2"/>
  <c r="AW89" i="2"/>
  <c r="AQ89" i="2"/>
  <c r="AP89" i="2"/>
  <c r="AX88" i="2"/>
  <c r="AW88" i="2"/>
  <c r="AQ88" i="2"/>
  <c r="AP88" i="2"/>
  <c r="AX87" i="2"/>
  <c r="AW87" i="2"/>
  <c r="AQ87" i="2"/>
  <c r="AP87" i="2"/>
  <c r="AX86" i="2"/>
  <c r="AW86" i="2"/>
  <c r="AQ86" i="2"/>
  <c r="AP86" i="2"/>
  <c r="AX85" i="2"/>
  <c r="AW85" i="2"/>
  <c r="AQ85" i="2"/>
  <c r="AP85" i="2"/>
  <c r="AX84" i="2"/>
  <c r="AW84" i="2"/>
  <c r="AQ84" i="2"/>
  <c r="AP84" i="2"/>
  <c r="AX83" i="2"/>
  <c r="AW83" i="2"/>
  <c r="AQ83" i="2"/>
  <c r="AP83" i="2"/>
  <c r="AX82" i="2"/>
  <c r="AW82" i="2"/>
  <c r="AQ82" i="2"/>
  <c r="AP82" i="2"/>
  <c r="AX81" i="2"/>
  <c r="AW81" i="2"/>
  <c r="AQ81" i="2"/>
  <c r="AP81" i="2"/>
  <c r="AX80" i="2"/>
  <c r="AW80" i="2"/>
  <c r="AQ80" i="2"/>
  <c r="AP80" i="2"/>
  <c r="AX79" i="2"/>
  <c r="AW79" i="2"/>
  <c r="AQ79" i="2"/>
  <c r="AP79" i="2"/>
  <c r="AX78" i="2"/>
  <c r="AW78" i="2"/>
  <c r="AQ78" i="2"/>
  <c r="AP78" i="2"/>
  <c r="AX77" i="2"/>
  <c r="AW77" i="2"/>
  <c r="AQ77" i="2"/>
  <c r="AP77" i="2"/>
  <c r="AX76" i="2"/>
  <c r="AW76" i="2"/>
  <c r="AQ76" i="2"/>
  <c r="AP76" i="2"/>
  <c r="AX75" i="2"/>
  <c r="AW75" i="2"/>
  <c r="AQ75" i="2"/>
  <c r="AP75" i="2"/>
  <c r="AX74" i="2"/>
  <c r="AX73" i="2"/>
  <c r="AX72" i="2"/>
  <c r="AW72" i="2"/>
  <c r="AQ72" i="2"/>
  <c r="AP72" i="2"/>
  <c r="AX71" i="2"/>
  <c r="AW71" i="2"/>
  <c r="AQ71" i="2"/>
  <c r="AP71" i="2"/>
  <c r="AX70" i="2"/>
  <c r="AW70" i="2"/>
  <c r="AQ70" i="2"/>
  <c r="AP70" i="2"/>
  <c r="AX69" i="2"/>
  <c r="AW69" i="2"/>
  <c r="AQ69" i="2"/>
  <c r="AP69" i="2"/>
  <c r="AX68" i="2"/>
  <c r="AQ68" i="2"/>
  <c r="AX67" i="2"/>
  <c r="AQ67" i="2"/>
  <c r="AX66" i="2"/>
  <c r="AQ66" i="2"/>
  <c r="AX65" i="2"/>
  <c r="AQ65" i="2"/>
  <c r="AX64" i="2"/>
  <c r="AW64" i="2"/>
  <c r="AQ64" i="2"/>
  <c r="AP64" i="2"/>
  <c r="AX63" i="2"/>
  <c r="AW63" i="2"/>
  <c r="AQ63" i="2"/>
  <c r="AP63" i="2"/>
  <c r="AX62" i="2"/>
  <c r="AW62" i="2"/>
  <c r="AQ62" i="2"/>
  <c r="AP62" i="2"/>
  <c r="AX61" i="2"/>
  <c r="AW61" i="2"/>
  <c r="AQ61" i="2"/>
  <c r="AP61" i="2"/>
  <c r="AX60" i="2"/>
  <c r="AQ60" i="2"/>
  <c r="AX59" i="2"/>
  <c r="AQ59" i="2"/>
  <c r="AX58" i="2"/>
  <c r="AQ58" i="2"/>
  <c r="AX57" i="2"/>
  <c r="AQ57" i="2"/>
  <c r="AX56" i="2"/>
  <c r="AQ56" i="2"/>
  <c r="AX55" i="2"/>
  <c r="AQ55" i="2"/>
  <c r="AX54" i="2"/>
  <c r="AQ54" i="2"/>
  <c r="AX53" i="2"/>
  <c r="AQ53" i="2"/>
  <c r="AX52" i="2"/>
  <c r="AQ52" i="2"/>
  <c r="AX51" i="2"/>
  <c r="AQ51" i="2"/>
  <c r="AX50" i="2"/>
  <c r="AQ50" i="2"/>
  <c r="AX49" i="2"/>
  <c r="AQ49" i="2"/>
  <c r="AX48" i="2"/>
  <c r="AQ48" i="2"/>
  <c r="AX47" i="2"/>
  <c r="AQ47" i="2"/>
  <c r="AX46" i="2"/>
  <c r="AQ46" i="2"/>
  <c r="AX45" i="2"/>
  <c r="AQ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W24" i="2"/>
  <c r="AQ24" i="2"/>
  <c r="AP24" i="2"/>
  <c r="K24" i="2"/>
  <c r="AX23" i="2"/>
  <c r="AW23" i="2"/>
  <c r="AQ23" i="2"/>
  <c r="AP23" i="2"/>
  <c r="K23" i="2"/>
  <c r="AX22" i="2"/>
  <c r="AW22" i="2"/>
  <c r="AQ22" i="2"/>
  <c r="AP22" i="2"/>
  <c r="K22" i="2"/>
  <c r="AX21" i="2"/>
  <c r="AW21" i="2"/>
  <c r="AQ21" i="2"/>
  <c r="AP21" i="2"/>
  <c r="K21" i="2"/>
  <c r="AX20" i="2"/>
  <c r="AW20" i="2"/>
  <c r="AU20" i="2"/>
  <c r="AQ20" i="2"/>
  <c r="AP20" i="2"/>
  <c r="AX19" i="2"/>
  <c r="AW19" i="2"/>
  <c r="AU19" i="2"/>
  <c r="AQ19" i="2"/>
  <c r="AP19" i="2"/>
  <c r="AX18" i="2"/>
  <c r="AW18" i="2"/>
  <c r="AU18" i="2"/>
  <c r="AQ18" i="2"/>
  <c r="AP18" i="2"/>
  <c r="AX17" i="2"/>
  <c r="AW17" i="2"/>
  <c r="AU17" i="2"/>
  <c r="AQ17" i="2"/>
  <c r="AP17" i="2"/>
  <c r="AX16" i="2"/>
  <c r="AW16" i="2"/>
  <c r="AQ16" i="2"/>
  <c r="AP16" i="2"/>
  <c r="K16" i="2"/>
  <c r="AX15" i="2"/>
  <c r="AW15" i="2"/>
  <c r="AQ15" i="2"/>
  <c r="AP15" i="2"/>
  <c r="K15" i="2"/>
  <c r="AX14" i="2"/>
  <c r="AW14" i="2"/>
  <c r="AQ14" i="2"/>
  <c r="AP14" i="2"/>
  <c r="K14" i="2"/>
  <c r="AX13" i="2"/>
  <c r="AW13" i="2"/>
  <c r="AQ13" i="2"/>
  <c r="AP13" i="2"/>
</calcChain>
</file>

<file path=xl/sharedStrings.xml><?xml version="1.0" encoding="utf-8"?>
<sst xmlns="http://schemas.openxmlformats.org/spreadsheetml/2006/main" count="4873" uniqueCount="323">
  <si>
    <t>RELLENO SANITARIO DE PICHACAY</t>
  </si>
  <si>
    <t>AGUA DE RÍO QUINGEO Y QUEBRADA CAPELO</t>
  </si>
  <si>
    <t>ANALISIS FÍSICOS - QUÍMICOS - BACTERIOLÓGICOS</t>
  </si>
  <si>
    <t>*</t>
  </si>
  <si>
    <t>LINEA BASE</t>
  </si>
  <si>
    <t>*No hay P4</t>
  </si>
  <si>
    <t>Parámetro</t>
  </si>
  <si>
    <t>Fecha</t>
  </si>
  <si>
    <t>Unidad</t>
  </si>
  <si>
    <t>Punto 1</t>
  </si>
  <si>
    <t>Punto 2</t>
  </si>
  <si>
    <t>Punto 3</t>
  </si>
  <si>
    <t>Punto 4</t>
  </si>
  <si>
    <t>100 mts abajo</t>
  </si>
  <si>
    <t>Q. Capelo</t>
  </si>
  <si>
    <t>Alcalinidad total</t>
  </si>
  <si>
    <t>mgCaCO3/l</t>
  </si>
  <si>
    <t xml:space="preserve">  </t>
  </si>
  <si>
    <t>Bicarbonatos</t>
  </si>
  <si>
    <t>Carbonatos</t>
  </si>
  <si>
    <t>Hidróxidos</t>
  </si>
  <si>
    <t>Cloruros</t>
  </si>
  <si>
    <t>mg/l</t>
  </si>
  <si>
    <t>Cianuro Libre</t>
  </si>
  <si>
    <t>&lt;0.1</t>
  </si>
  <si>
    <t>&lt;1</t>
  </si>
  <si>
    <r>
      <rPr>
        <sz val="10"/>
        <rFont val="Calibri"/>
        <family val="2"/>
      </rPr>
      <t>&lt;</t>
    </r>
    <r>
      <rPr>
        <sz val="10"/>
        <rFont val="Arial"/>
        <family val="2"/>
      </rPr>
      <t>1</t>
    </r>
  </si>
  <si>
    <r>
      <rPr>
        <sz val="10"/>
        <rFont val="Calibri"/>
        <family val="2"/>
      </rPr>
      <t>&lt;</t>
    </r>
    <r>
      <rPr>
        <sz val="10"/>
        <rFont val="Arial"/>
        <family val="2"/>
      </rPr>
      <t>1</t>
    </r>
    <r>
      <rPr>
        <sz val="11"/>
        <color theme="1"/>
        <rFont val="Calibri"/>
        <family val="2"/>
        <scheme val="minor"/>
      </rPr>
      <t/>
    </r>
  </si>
  <si>
    <t>Conductividad</t>
  </si>
  <si>
    <t>uS/cm</t>
  </si>
  <si>
    <t>DBO5</t>
  </si>
  <si>
    <t>&lt;0.89</t>
  </si>
  <si>
    <t>DQO</t>
  </si>
  <si>
    <t>&lt;25</t>
  </si>
  <si>
    <t>Dureza total</t>
  </si>
  <si>
    <t>Dureza cálcica</t>
  </si>
  <si>
    <t>Dureza magnésica (por diferencia)</t>
  </si>
  <si>
    <t>Calcio</t>
  </si>
  <si>
    <t>Magnesio</t>
  </si>
  <si>
    <t>Fósforo total</t>
  </si>
  <si>
    <t>&lt;0.01</t>
  </si>
  <si>
    <t>&lt;0.03</t>
  </si>
  <si>
    <t>Nitratos</t>
  </si>
  <si>
    <t>mgN/l</t>
  </si>
  <si>
    <t>&lt;0.011</t>
  </si>
  <si>
    <t xml:space="preserve">Nitritos </t>
  </si>
  <si>
    <t>&lt;0.002</t>
  </si>
  <si>
    <t>&lt;2</t>
  </si>
  <si>
    <t>Nitritos + Nitratos</t>
  </si>
  <si>
    <t>Nitrógeno amoniacal</t>
  </si>
  <si>
    <t>Nitrógeno orgánico</t>
  </si>
  <si>
    <t>Nitrógeno NTK</t>
  </si>
  <si>
    <t>pH</t>
  </si>
  <si>
    <t>Sólidos sedimentables</t>
  </si>
  <si>
    <t>ml/l</t>
  </si>
  <si>
    <t>Sólidos suspendidos</t>
  </si>
  <si>
    <t>&lt;6.4</t>
  </si>
  <si>
    <t>&lt;6</t>
  </si>
  <si>
    <t>Sólidos totales</t>
  </si>
  <si>
    <t>Sólidos totales volátiles</t>
  </si>
  <si>
    <t>Sustancias solubles al hexano</t>
  </si>
  <si>
    <t>Sulfatos</t>
  </si>
  <si>
    <t>Sulfuros</t>
  </si>
  <si>
    <t>mg S/l</t>
  </si>
  <si>
    <t>Turbiedad</t>
  </si>
  <si>
    <t>NTU</t>
  </si>
  <si>
    <t>Coliformes totales</t>
  </si>
  <si>
    <t>NMP/100ml</t>
  </si>
  <si>
    <r>
      <rPr>
        <sz val="10"/>
        <rFont val="Calibri"/>
        <family val="2"/>
      </rPr>
      <t>&gt;</t>
    </r>
    <r>
      <rPr>
        <sz val="10"/>
        <rFont val="Arial"/>
        <family val="2"/>
      </rPr>
      <t>1.6E+04</t>
    </r>
  </si>
  <si>
    <t>&gt;1.6E+05</t>
  </si>
  <si>
    <t>&gt;1.6E+04</t>
  </si>
  <si>
    <t>Coliformes termotolerantes</t>
  </si>
  <si>
    <t>&lt;1.8</t>
  </si>
  <si>
    <t>No hay crecimiento</t>
  </si>
  <si>
    <t>Aluminio</t>
  </si>
  <si>
    <t>ug/l</t>
  </si>
  <si>
    <t>&lt;30</t>
  </si>
  <si>
    <t>Bario</t>
  </si>
  <si>
    <t>&lt;8</t>
  </si>
  <si>
    <t>Cadmio</t>
  </si>
  <si>
    <t>&lt;0.5</t>
  </si>
  <si>
    <r>
      <rPr>
        <sz val="10"/>
        <rFont val="Calibri"/>
        <family val="2"/>
      </rPr>
      <t>&lt;</t>
    </r>
    <r>
      <rPr>
        <sz val="11"/>
        <rFont val="Arial"/>
        <family val="2"/>
      </rPr>
      <t>0.5</t>
    </r>
  </si>
  <si>
    <t>&lt;20</t>
  </si>
  <si>
    <t>&lt;10</t>
  </si>
  <si>
    <r>
      <rPr>
        <sz val="10"/>
        <rFont val="Calibri"/>
        <family val="2"/>
      </rPr>
      <t>&lt;</t>
    </r>
    <r>
      <rPr>
        <sz val="10"/>
        <rFont val="Arial"/>
        <family val="2"/>
      </rPr>
      <t>10</t>
    </r>
  </si>
  <si>
    <t>Cobre</t>
  </si>
  <si>
    <t>&lt;4</t>
  </si>
  <si>
    <t>Cromo</t>
  </si>
  <si>
    <t>&lt;3</t>
  </si>
  <si>
    <t>&lt;50</t>
  </si>
  <si>
    <t>Hierro</t>
  </si>
  <si>
    <t>Manganeso</t>
  </si>
  <si>
    <t>Mercurio</t>
  </si>
  <si>
    <t>Niquel</t>
  </si>
  <si>
    <t>&lt;15</t>
  </si>
  <si>
    <t>Plomo</t>
  </si>
  <si>
    <t>&lt;100</t>
  </si>
  <si>
    <t>Potasio</t>
  </si>
  <si>
    <t>Sodio</t>
  </si>
  <si>
    <t>Zinc</t>
  </si>
  <si>
    <r>
      <t>RELACION DBO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/ DQO</t>
    </r>
  </si>
  <si>
    <t>Año</t>
  </si>
  <si>
    <t>ANALISIS QUÍMICOS</t>
  </si>
  <si>
    <t>ANALISIS FÍSICOS</t>
  </si>
  <si>
    <t>ANALISIS BACTERIOLÓGICOS</t>
  </si>
  <si>
    <t>no hay</t>
  </si>
  <si>
    <t>NO HAY</t>
  </si>
  <si>
    <t>&lt;0,1</t>
  </si>
  <si>
    <t>&lt;0,01</t>
  </si>
  <si>
    <t>Identificación de la muestra:</t>
  </si>
  <si>
    <t>P1 - RÍO QUINGEO</t>
  </si>
  <si>
    <t>P2 - RÍO QUINGEO</t>
  </si>
  <si>
    <t>100m. AGUAS ABAJO</t>
  </si>
  <si>
    <t>QUEBRADA CAPELO</t>
  </si>
  <si>
    <t>P3 - RÍO QUINGEO</t>
  </si>
  <si>
    <t>P4 - RÍO QUINGEO</t>
  </si>
  <si>
    <t>Límite Máximo Permisible Tabla 2. Agua dulce Anexo 1, Acuerdo Ministerial 097-A, TULSMA a1)</t>
  </si>
  <si>
    <t>Fecha de Muestreo:</t>
  </si>
  <si>
    <r>
      <rPr>
        <b/>
        <sz val="10"/>
        <rFont val="Arial"/>
        <family val="2"/>
      </rPr>
      <t>No. Reporte Gruentec:</t>
    </r>
  </si>
  <si>
    <t>2011229- AG001</t>
  </si>
  <si>
    <t>2011229-AG002</t>
  </si>
  <si>
    <t>2011229-AG003</t>
  </si>
  <si>
    <t>2011229-AG004</t>
  </si>
  <si>
    <t>2011229-AG005</t>
  </si>
  <si>
    <t>2011229-AG006</t>
  </si>
  <si>
    <r>
      <rPr>
        <b/>
        <i/>
        <sz val="10"/>
        <rFont val="Arial"/>
        <family val="2"/>
      </rPr>
      <t>Parámetros de campo:</t>
    </r>
  </si>
  <si>
    <r>
      <rPr>
        <sz val="10"/>
        <rFont val="Arial"/>
        <family val="2"/>
      </rPr>
      <t>pH</t>
    </r>
  </si>
  <si>
    <r>
      <rPr>
        <sz val="10"/>
        <rFont val="Arial"/>
        <family val="2"/>
      </rPr>
      <t>6.5 - 9</t>
    </r>
  </si>
  <si>
    <r>
      <rPr>
        <sz val="10"/>
        <rFont val="Arial"/>
        <family val="2"/>
      </rPr>
      <t>Conductividad en Campo µS/cm</t>
    </r>
  </si>
  <si>
    <r>
      <rPr>
        <sz val="10"/>
        <rFont val="Arial"/>
        <family val="2"/>
      </rPr>
      <t>N/A</t>
    </r>
  </si>
  <si>
    <r>
      <rPr>
        <sz val="10"/>
        <rFont val="Arial"/>
        <family val="2"/>
      </rPr>
      <t>Temperatura °C</t>
    </r>
  </si>
  <si>
    <r>
      <rPr>
        <sz val="10"/>
        <rFont val="Arial"/>
        <family val="2"/>
      </rPr>
      <t>Temperatura ambiente °C</t>
    </r>
  </si>
  <si>
    <r>
      <rPr>
        <sz val="10"/>
        <rFont val="Arial"/>
        <family val="2"/>
      </rPr>
      <t>Oxígeno disuelto mg/l</t>
    </r>
  </si>
  <si>
    <r>
      <rPr>
        <sz val="10"/>
        <rFont val="Arial"/>
        <family val="2"/>
      </rPr>
      <t>Oxígeno saturación %</t>
    </r>
  </si>
  <si>
    <r>
      <rPr>
        <sz val="10"/>
        <rFont val="Arial"/>
        <family val="2"/>
      </rPr>
      <t>&gt;100</t>
    </r>
  </si>
  <si>
    <r>
      <rPr>
        <sz val="10"/>
        <rFont val="Arial"/>
        <family val="2"/>
      </rPr>
      <t>&gt; 80</t>
    </r>
  </si>
  <si>
    <r>
      <rPr>
        <sz val="10"/>
        <rFont val="Arial"/>
        <family val="2"/>
      </rPr>
      <t>Materia flotante</t>
    </r>
  </si>
  <si>
    <r>
      <rPr>
        <sz val="10"/>
        <rFont val="Arial"/>
        <family val="2"/>
      </rPr>
      <t>Ausencia</t>
    </r>
  </si>
  <si>
    <t>Ausencia,</t>
  </si>
  <si>
    <r>
      <rPr>
        <b/>
        <i/>
        <sz val="10"/>
        <rFont val="Arial"/>
        <family val="2"/>
      </rPr>
      <t>Parámetros realizados en el Laboratorio Matriz Quito</t>
    </r>
  </si>
  <si>
    <r>
      <rPr>
        <b/>
        <i/>
        <sz val="10"/>
        <rFont val="Arial"/>
        <family val="2"/>
      </rPr>
      <t>Físico Químico:</t>
    </r>
  </si>
  <si>
    <r>
      <rPr>
        <sz val="10"/>
        <rFont val="Arial"/>
        <family val="2"/>
      </rPr>
      <t>Sólidos Disueltos Gravimétricos mg/l</t>
    </r>
  </si>
  <si>
    <r>
      <rPr>
        <sz val="10"/>
        <rFont val="Arial"/>
        <family val="2"/>
      </rPr>
      <t>Sólidos Suspendidos Totales mg/l</t>
    </r>
  </si>
  <si>
    <r>
      <rPr>
        <sz val="10"/>
        <rFont val="Arial"/>
        <family val="2"/>
      </rPr>
      <t>&lt;5</t>
    </r>
  </si>
  <si>
    <r>
      <rPr>
        <sz val="10"/>
        <rFont val="Arial"/>
        <family val="2"/>
      </rPr>
      <t>max incremento de 10% de la condición natural</t>
    </r>
  </si>
  <si>
    <r>
      <rPr>
        <sz val="10"/>
        <rFont val="Arial"/>
        <family val="2"/>
      </rPr>
      <t>Sólidos Totales Gravimétricos mg/l</t>
    </r>
  </si>
  <si>
    <r>
      <rPr>
        <sz val="10"/>
        <rFont val="Arial"/>
        <family val="2"/>
      </rPr>
      <t>Sólidos Fijos Totales Gravimétricos mg/l</t>
    </r>
  </si>
  <si>
    <r>
      <rPr>
        <sz val="10"/>
        <rFont val="Arial"/>
        <family val="2"/>
      </rPr>
      <t>Sólidos Volátiles Totales Gravimétricos mg/l</t>
    </r>
  </si>
  <si>
    <r>
      <rPr>
        <sz val="10"/>
        <rFont val="Arial"/>
        <family val="2"/>
      </rPr>
      <t>Turbidez FAU/NTU</t>
    </r>
  </si>
  <si>
    <r>
      <rPr>
        <sz val="10"/>
        <rFont val="Arial"/>
        <family val="2"/>
      </rPr>
      <t>&lt;4</t>
    </r>
  </si>
  <si>
    <r>
      <rPr>
        <b/>
        <i/>
        <sz val="10"/>
        <rFont val="Arial"/>
        <family val="2"/>
      </rPr>
      <t>Aniones y No Metales:</t>
    </r>
  </si>
  <si>
    <r>
      <rPr>
        <sz val="10"/>
        <rFont val="Arial"/>
        <family val="2"/>
      </rPr>
      <t>Amonio mg/l</t>
    </r>
  </si>
  <si>
    <r>
      <rPr>
        <sz val="10"/>
        <rFont val="Arial"/>
        <family val="2"/>
      </rPr>
      <t>&lt;0.02</t>
    </r>
  </si>
  <si>
    <r>
      <rPr>
        <sz val="10"/>
        <rFont val="Arial"/>
        <family val="2"/>
      </rPr>
      <t>Amonio expresado como Nitrógeno  mg/l</t>
    </r>
  </si>
  <si>
    <r>
      <rPr>
        <sz val="10"/>
        <rFont val="Arial"/>
        <family val="2"/>
      </rPr>
      <t>Nitrato mg/l</t>
    </r>
  </si>
  <si>
    <r>
      <rPr>
        <sz val="10"/>
        <rFont val="Arial"/>
        <family val="2"/>
      </rPr>
      <t>&lt;0.1</t>
    </r>
  </si>
  <si>
    <r>
      <rPr>
        <sz val="10"/>
        <rFont val="Arial"/>
        <family val="2"/>
      </rPr>
      <t>&lt;0.05</t>
    </r>
  </si>
  <si>
    <r>
      <rPr>
        <sz val="10"/>
        <rFont val="Arial"/>
        <family val="2"/>
      </rPr>
      <t>Nitrito mg/l</t>
    </r>
  </si>
  <si>
    <r>
      <rPr>
        <sz val="10"/>
        <rFont val="Arial"/>
        <family val="2"/>
      </rPr>
      <t>Cianuro Libre mg/l</t>
    </r>
  </si>
  <si>
    <r>
      <rPr>
        <sz val="10"/>
        <rFont val="Arial"/>
        <family val="2"/>
      </rPr>
      <t>&lt;0.001</t>
    </r>
  </si>
  <si>
    <r>
      <rPr>
        <sz val="10"/>
        <rFont val="Arial"/>
        <family val="2"/>
      </rPr>
      <t>Cianuro Total mg/l</t>
    </r>
  </si>
  <si>
    <r>
      <rPr>
        <b/>
        <i/>
        <sz val="10"/>
        <rFont val="Arial"/>
        <family val="2"/>
      </rPr>
      <t>Parámetros Orgánicos:</t>
    </r>
  </si>
  <si>
    <r>
      <rPr>
        <sz val="10"/>
        <rFont val="Arial"/>
        <family val="2"/>
      </rPr>
      <t>Aceites y Grasas mg/l</t>
    </r>
  </si>
  <si>
    <r>
      <rPr>
        <sz val="10"/>
        <rFont val="Arial"/>
        <family val="2"/>
      </rPr>
      <t>&lt;0.3</t>
    </r>
  </si>
  <si>
    <r>
      <rPr>
        <sz val="10"/>
        <rFont val="Arial"/>
        <family val="2"/>
      </rPr>
      <t>Demanda Bioquímica de Oxígeno mg/l</t>
    </r>
  </si>
  <si>
    <r>
      <rPr>
        <sz val="10"/>
        <rFont val="Arial"/>
        <family val="2"/>
      </rPr>
      <t>&lt;2</t>
    </r>
  </si>
  <si>
    <r>
      <rPr>
        <sz val="10"/>
        <rFont val="Arial"/>
        <family val="2"/>
      </rPr>
      <t>Demanda Química de Oxígeno mg/l</t>
    </r>
  </si>
  <si>
    <r>
      <rPr>
        <sz val="10"/>
        <rFont val="Arial"/>
        <family val="2"/>
      </rPr>
      <t>Nitrógeno Total Kjeldahl mg/l</t>
    </r>
  </si>
  <si>
    <r>
      <rPr>
        <sz val="10"/>
        <rFont val="Arial"/>
        <family val="2"/>
      </rPr>
      <t>&lt;0.5</t>
    </r>
  </si>
  <si>
    <r>
      <rPr>
        <b/>
        <i/>
        <sz val="10"/>
        <rFont val="Arial"/>
        <family val="2"/>
      </rPr>
      <t>Parámetros Microbiológicos:</t>
    </r>
  </si>
  <si>
    <r>
      <rPr>
        <sz val="10"/>
        <rFont val="Arial"/>
        <family val="2"/>
      </rPr>
      <t>Coliformes Fecales (E. coli) NMP/100 ml</t>
    </r>
  </si>
  <si>
    <r>
      <rPr>
        <sz val="10"/>
        <rFont val="Arial"/>
        <family val="2"/>
      </rPr>
      <t>Coliformes Totales NMP/100 ml</t>
    </r>
  </si>
  <si>
    <r>
      <rPr>
        <b/>
        <i/>
        <sz val="10"/>
        <rFont val="Arial"/>
        <family val="2"/>
      </rPr>
      <t>Metales totales:</t>
    </r>
  </si>
  <si>
    <r>
      <rPr>
        <sz val="10"/>
        <rFont val="Arial"/>
        <family val="2"/>
      </rPr>
      <t>Cadmio mg/l</t>
    </r>
  </si>
  <si>
    <r>
      <rPr>
        <sz val="10"/>
        <rFont val="Arial"/>
        <family val="2"/>
      </rPr>
      <t>&lt;0.0001</t>
    </r>
  </si>
  <si>
    <r>
      <rPr>
        <sz val="10"/>
        <rFont val="Arial"/>
        <family val="2"/>
      </rPr>
      <t>Cobre mg/l</t>
    </r>
  </si>
  <si>
    <r>
      <rPr>
        <sz val="10"/>
        <rFont val="Arial"/>
        <family val="2"/>
      </rPr>
      <t>&lt;0.005</t>
    </r>
  </si>
  <si>
    <r>
      <rPr>
        <sz val="10"/>
        <rFont val="Arial"/>
        <family val="2"/>
      </rPr>
      <t>Cromo mg/l</t>
    </r>
  </si>
  <si>
    <r>
      <rPr>
        <sz val="10"/>
        <rFont val="Arial"/>
        <family val="2"/>
      </rPr>
      <t>&lt;0.0002</t>
    </r>
  </si>
  <si>
    <r>
      <rPr>
        <sz val="10"/>
        <rFont val="Arial"/>
        <family val="2"/>
      </rPr>
      <t>Fósforo mg/l</t>
    </r>
  </si>
  <si>
    <r>
      <rPr>
        <sz val="10"/>
        <rFont val="Arial"/>
        <family val="2"/>
      </rPr>
      <t>Hierro mg/l</t>
    </r>
  </si>
  <si>
    <r>
      <rPr>
        <sz val="10"/>
        <rFont val="Arial"/>
        <family val="2"/>
      </rPr>
      <t>Litio mg/l</t>
    </r>
  </si>
  <si>
    <r>
      <rPr>
        <sz val="10"/>
        <rFont val="Arial"/>
        <family val="2"/>
      </rPr>
      <t>Manganeso mg/l</t>
    </r>
  </si>
  <si>
    <r>
      <rPr>
        <sz val="10"/>
        <rFont val="Arial"/>
        <family val="2"/>
      </rPr>
      <t>Mercurio mg/l</t>
    </r>
  </si>
  <si>
    <r>
      <rPr>
        <sz val="10"/>
        <rFont val="Arial"/>
        <family val="2"/>
      </rPr>
      <t>Níquel mg/l</t>
    </r>
  </si>
  <si>
    <r>
      <rPr>
        <sz val="10"/>
        <rFont val="Arial"/>
        <family val="2"/>
      </rPr>
      <t>Plomo mg/l</t>
    </r>
  </si>
  <si>
    <r>
      <rPr>
        <sz val="10"/>
        <rFont val="Arial"/>
        <family val="2"/>
      </rPr>
      <t>&lt;0.0005</t>
    </r>
  </si>
  <si>
    <r>
      <rPr>
        <sz val="10"/>
        <rFont val="Arial"/>
        <family val="2"/>
      </rPr>
      <t>Zinc mg/l</t>
    </r>
  </si>
  <si>
    <r>
      <rPr>
        <b/>
        <i/>
        <sz val="10"/>
        <rFont val="Arial"/>
        <family val="2"/>
      </rPr>
      <t>Pesticidas Organoclorados:</t>
    </r>
  </si>
  <si>
    <r>
      <rPr>
        <sz val="10"/>
        <rFont val="Arial"/>
        <family val="2"/>
      </rPr>
      <t>a-BHC mg/l</t>
    </r>
  </si>
  <si>
    <r>
      <rPr>
        <sz val="10"/>
        <rFont val="Arial"/>
        <family val="2"/>
      </rPr>
      <t>a-Clordano mg/l</t>
    </r>
  </si>
  <si>
    <r>
      <rPr>
        <sz val="10"/>
        <rFont val="Arial"/>
        <family val="2"/>
      </rPr>
      <t>Alaclor mg/l</t>
    </r>
  </si>
  <si>
    <r>
      <rPr>
        <sz val="10"/>
        <rFont val="Arial"/>
        <family val="2"/>
      </rPr>
      <t>Aldrín mg/l</t>
    </r>
  </si>
  <si>
    <r>
      <rPr>
        <sz val="10"/>
        <rFont val="Arial"/>
        <family val="2"/>
      </rPr>
      <t>b-BHC mg/l</t>
    </r>
  </si>
  <si>
    <r>
      <rPr>
        <sz val="10"/>
        <rFont val="Arial"/>
        <family val="2"/>
      </rPr>
      <t>Butaclor mg/l</t>
    </r>
  </si>
  <si>
    <r>
      <rPr>
        <sz val="10"/>
        <rFont val="Arial"/>
        <family val="2"/>
      </rPr>
      <t>Chlorotalonil mg/l</t>
    </r>
  </si>
  <si>
    <r>
      <rPr>
        <sz val="10"/>
        <rFont val="Arial"/>
        <family val="2"/>
      </rPr>
      <t>&lt;0.00005</t>
    </r>
  </si>
  <si>
    <r>
      <rPr>
        <sz val="10"/>
        <rFont val="Arial"/>
        <family val="2"/>
      </rPr>
      <t>Clortal-dimetil mg/l</t>
    </r>
  </si>
  <si>
    <r>
      <rPr>
        <sz val="10"/>
        <rFont val="Arial"/>
        <family val="2"/>
      </rPr>
      <t>d-BHC mg/l</t>
    </r>
  </si>
  <si>
    <r>
      <rPr>
        <sz val="10"/>
        <rFont val="Arial"/>
        <family val="2"/>
      </rPr>
      <t>Dieldrín mg/l</t>
    </r>
  </si>
  <si>
    <r>
      <rPr>
        <sz val="10"/>
        <rFont val="Arial"/>
        <family val="2"/>
      </rPr>
      <t>Endosulfán I mg/l</t>
    </r>
  </si>
  <si>
    <r>
      <rPr>
        <sz val="10"/>
        <rFont val="Arial"/>
        <family val="2"/>
      </rPr>
      <t>Endosulfán II mg/l</t>
    </r>
  </si>
  <si>
    <r>
      <rPr>
        <sz val="10"/>
        <rFont val="Arial"/>
        <family val="2"/>
      </rPr>
      <t>Endosulfán Sulfato mg/l</t>
    </r>
  </si>
  <si>
    <r>
      <rPr>
        <sz val="10"/>
        <rFont val="Arial"/>
        <family val="2"/>
      </rPr>
      <t>Endrín mg/l</t>
    </r>
  </si>
  <si>
    <r>
      <rPr>
        <sz val="10"/>
        <rFont val="Arial"/>
        <family val="2"/>
      </rPr>
      <t>Endrín Aldehido mg/l</t>
    </r>
  </si>
  <si>
    <r>
      <rPr>
        <sz val="10"/>
        <rFont val="Arial"/>
        <family val="2"/>
      </rPr>
      <t>g-BHC mg/l</t>
    </r>
  </si>
  <si>
    <r>
      <rPr>
        <sz val="10"/>
        <rFont val="Arial"/>
        <family val="2"/>
      </rPr>
      <t>g-Clordano mg/l</t>
    </r>
  </si>
  <si>
    <r>
      <rPr>
        <sz val="10"/>
        <rFont val="Arial"/>
        <family val="2"/>
      </rPr>
      <t>Heptacloro  mg/l</t>
    </r>
  </si>
  <si>
    <r>
      <rPr>
        <sz val="10"/>
        <rFont val="Arial"/>
        <family val="2"/>
      </rPr>
      <t>Heptachloro-Epóxido mg/l</t>
    </r>
  </si>
  <si>
    <r>
      <rPr>
        <sz val="10"/>
        <rFont val="Arial"/>
        <family val="2"/>
      </rPr>
      <t>Metolaclor mg/l</t>
    </r>
  </si>
  <si>
    <r>
      <rPr>
        <sz val="10"/>
        <rFont val="Arial"/>
        <family val="2"/>
      </rPr>
      <t>Metoxicloro mg/l</t>
    </r>
  </si>
  <si>
    <r>
      <rPr>
        <sz val="10"/>
        <rFont val="Arial"/>
        <family val="2"/>
      </rPr>
      <t>Oxifluorfen mg/l</t>
    </r>
  </si>
  <si>
    <r>
      <rPr>
        <sz val="10"/>
        <rFont val="Arial"/>
        <family val="2"/>
      </rPr>
      <t>pp` DDD mg/l</t>
    </r>
  </si>
  <si>
    <r>
      <rPr>
        <sz val="10"/>
        <rFont val="Arial"/>
        <family val="2"/>
      </rPr>
      <t>pp`-DDE mg/l</t>
    </r>
  </si>
  <si>
    <r>
      <rPr>
        <sz val="10"/>
        <rFont val="Arial"/>
        <family val="2"/>
      </rPr>
      <t>pp`-DDT mg/l</t>
    </r>
  </si>
  <si>
    <r>
      <rPr>
        <sz val="10"/>
        <rFont val="Arial"/>
        <family val="2"/>
      </rPr>
      <t>Quintoceno mg/l</t>
    </r>
  </si>
  <si>
    <r>
      <rPr>
        <b/>
        <i/>
        <sz val="10"/>
        <rFont val="Arial"/>
        <family val="2"/>
      </rPr>
      <t>Pesticidas Organoclorados Totales mg/l:</t>
    </r>
  </si>
  <si>
    <r>
      <rPr>
        <b/>
        <i/>
        <sz val="10"/>
        <rFont val="Arial"/>
        <family val="2"/>
      </rPr>
      <t>Pesticidas Organofosforados:</t>
    </r>
  </si>
  <si>
    <r>
      <rPr>
        <sz val="10"/>
        <rFont val="Arial"/>
        <family val="2"/>
      </rPr>
      <t>Acefato mg/l</t>
    </r>
  </si>
  <si>
    <r>
      <rPr>
        <sz val="10"/>
        <rFont val="Arial"/>
        <family val="2"/>
      </rPr>
      <t>Cadusafos mg/l</t>
    </r>
  </si>
  <si>
    <r>
      <rPr>
        <sz val="10"/>
        <rFont val="Arial"/>
        <family val="2"/>
      </rPr>
      <t>Clorpirifós mg/l</t>
    </r>
  </si>
  <si>
    <r>
      <rPr>
        <sz val="10"/>
        <rFont val="Arial"/>
        <family val="2"/>
      </rPr>
      <t>Diazinón mg/l</t>
    </r>
  </si>
  <si>
    <r>
      <rPr>
        <sz val="10"/>
        <rFont val="Arial"/>
        <family val="2"/>
      </rPr>
      <t>Diclorvos+Triclorfon mg/l</t>
    </r>
  </si>
  <si>
    <r>
      <rPr>
        <sz val="10"/>
        <rFont val="Arial"/>
        <family val="2"/>
      </rPr>
      <t>Dimetoato mg/l</t>
    </r>
  </si>
  <si>
    <r>
      <rPr>
        <sz val="10"/>
        <rFont val="Arial"/>
        <family val="2"/>
      </rPr>
      <t>Disulfotón mg/l</t>
    </r>
  </si>
  <si>
    <r>
      <rPr>
        <sz val="10"/>
        <rFont val="Arial"/>
        <family val="2"/>
      </rPr>
      <t>Etil Paratión mg/l</t>
    </r>
  </si>
  <si>
    <r>
      <rPr>
        <sz val="10"/>
        <rFont val="Arial"/>
        <family val="2"/>
      </rPr>
      <t>Etoprofos mg/l</t>
    </r>
  </si>
  <si>
    <r>
      <rPr>
        <sz val="10"/>
        <rFont val="Arial"/>
        <family val="2"/>
      </rPr>
      <t>Fenclorfos mg/l</t>
    </r>
  </si>
  <si>
    <r>
      <rPr>
        <sz val="10"/>
        <rFont val="Arial"/>
        <family val="2"/>
      </rPr>
      <t>Forato mg/l</t>
    </r>
  </si>
  <si>
    <r>
      <rPr>
        <sz val="10"/>
        <rFont val="Arial"/>
        <family val="2"/>
      </rPr>
      <t>Malatión mg/l</t>
    </r>
  </si>
  <si>
    <r>
      <rPr>
        <sz val="10"/>
        <rFont val="Arial"/>
        <family val="2"/>
      </rPr>
      <t>Metamidofos mg/l</t>
    </r>
  </si>
  <si>
    <r>
      <rPr>
        <sz val="10"/>
        <rFont val="Arial"/>
        <family val="2"/>
      </rPr>
      <t>Metil Paratión mg/l</t>
    </r>
  </si>
  <si>
    <r>
      <rPr>
        <sz val="10"/>
        <rFont val="Arial"/>
        <family val="2"/>
      </rPr>
      <t>Mevinfos mg/l</t>
    </r>
  </si>
  <si>
    <r>
      <rPr>
        <sz val="10"/>
        <rFont val="Arial"/>
        <family val="2"/>
      </rPr>
      <t>Terbufos mg/l</t>
    </r>
  </si>
  <si>
    <r>
      <rPr>
        <sz val="8"/>
        <rFont val="Arial"/>
        <family val="2"/>
      </rPr>
      <t>a1)  Criterios de calidad admisibles para la preservación de la vida acuática y silvestre en aguas dulces, marinas y estuarios.</t>
    </r>
  </si>
  <si>
    <t>ETAPA</t>
  </si>
  <si>
    <t>GRUNTEC</t>
  </si>
  <si>
    <t>NORMATIVA</t>
  </si>
  <si>
    <t xml:space="preserve">ETAPA </t>
  </si>
  <si>
    <t xml:space="preserve">Identificación de la muestra: </t>
  </si>
  <si>
    <t xml:space="preserve">P1 - RÍO QUINGEO </t>
  </si>
  <si>
    <t xml:space="preserve">P2 - RÍO QUINGEO </t>
  </si>
  <si>
    <t xml:space="preserve">QUEBRADA CAPELO </t>
  </si>
  <si>
    <t xml:space="preserve">100 M AGUAS ABAJO </t>
  </si>
  <si>
    <t xml:space="preserve">P3 - RÍO QUINGEO </t>
  </si>
  <si>
    <t xml:space="preserve">P4 - RÍO QUINGEO </t>
  </si>
  <si>
    <r>
      <t xml:space="preserve">Límite Máximo Permisible Tabla 2. Agua dulce Anexo 1, Acuerdo Ministerial 097-A, TULSMA </t>
    </r>
    <r>
      <rPr>
        <b/>
        <sz val="5"/>
        <color rgb="FF000000"/>
        <rFont val="Arial"/>
        <family val="2"/>
      </rPr>
      <t xml:space="preserve">a1) </t>
    </r>
  </si>
  <si>
    <t xml:space="preserve">Fecha de Muestreo: </t>
  </si>
  <si>
    <t xml:space="preserve">No. Reporte Gruentec: </t>
  </si>
  <si>
    <t xml:space="preserve">2012497-AG001 </t>
  </si>
  <si>
    <t xml:space="preserve">2012497-AG002 </t>
  </si>
  <si>
    <t xml:space="preserve">2012497-AG003 </t>
  </si>
  <si>
    <t xml:space="preserve">2012497-AG004 </t>
  </si>
  <si>
    <t xml:space="preserve">2012497-AG005 </t>
  </si>
  <si>
    <t xml:space="preserve">2012497-AG006 </t>
  </si>
  <si>
    <t xml:space="preserve">Determinación del Caudal: </t>
  </si>
  <si>
    <r>
      <t>Área m</t>
    </r>
    <r>
      <rPr>
        <sz val="6.5"/>
        <color rgb="FF000000"/>
        <rFont val="Arial"/>
        <family val="2"/>
      </rPr>
      <t xml:space="preserve">2 </t>
    </r>
    <r>
      <rPr>
        <sz val="10"/>
        <color rgb="FF000000"/>
        <rFont val="Arial"/>
        <family val="2"/>
      </rPr>
      <t xml:space="preserve">* ^ </t>
    </r>
  </si>
  <si>
    <t xml:space="preserve">N/A </t>
  </si>
  <si>
    <r>
      <t xml:space="preserve">Caudal l/s </t>
    </r>
    <r>
      <rPr>
        <sz val="6.5"/>
        <color rgb="FF000000"/>
        <rFont val="Arial"/>
        <family val="2"/>
      </rPr>
      <t xml:space="preserve">(1,2) ^ </t>
    </r>
  </si>
  <si>
    <t xml:space="preserve">Velocidad m/s * ^ </t>
  </si>
  <si>
    <t xml:space="preserve">Parámetros de campo: </t>
  </si>
  <si>
    <t xml:space="preserve">pH (1,2,3) </t>
  </si>
  <si>
    <t xml:space="preserve">6.5 - 9 </t>
  </si>
  <si>
    <r>
      <t xml:space="preserve">Conductividad en Campo μS/cm </t>
    </r>
    <r>
      <rPr>
        <sz val="6.5"/>
        <color rgb="FF000000"/>
        <rFont val="Arial"/>
        <family val="2"/>
      </rPr>
      <t xml:space="preserve">(1,2,3) </t>
    </r>
  </si>
  <si>
    <r>
      <t xml:space="preserve">Temperatura °C </t>
    </r>
    <r>
      <rPr>
        <sz val="6.5"/>
        <color rgb="FF000000"/>
        <rFont val="Arial"/>
        <family val="2"/>
      </rPr>
      <t xml:space="preserve">(1,2,3) </t>
    </r>
  </si>
  <si>
    <t xml:space="preserve">Temperatura ambiente °C * ^ </t>
  </si>
  <si>
    <r>
      <t xml:space="preserve">Oxígeno disuelto mg/l </t>
    </r>
    <r>
      <rPr>
        <sz val="6.5"/>
        <color rgb="FF000000"/>
        <rFont val="Arial"/>
        <family val="2"/>
      </rPr>
      <t xml:space="preserve">(1,2,3) </t>
    </r>
  </si>
  <si>
    <r>
      <t xml:space="preserve">Oxígeno saturación % </t>
    </r>
    <r>
      <rPr>
        <sz val="6.5"/>
        <color rgb="FF000000"/>
        <rFont val="Arial"/>
        <family val="2"/>
      </rPr>
      <t xml:space="preserve">(1,2,3) </t>
    </r>
  </si>
  <si>
    <t xml:space="preserve">&gt; 80 </t>
  </si>
  <si>
    <t xml:space="preserve">Materia flotante * ^ </t>
  </si>
  <si>
    <t xml:space="preserve">Ausencia </t>
  </si>
  <si>
    <t xml:space="preserve">Parámetros realizados en el Laboratorio </t>
  </si>
  <si>
    <t xml:space="preserve">Físico Químico: </t>
  </si>
  <si>
    <r>
      <t xml:space="preserve">Sólidos Disueltos Gravimétricos mg/l </t>
    </r>
    <r>
      <rPr>
        <sz val="6.5"/>
        <color rgb="FF000000"/>
        <rFont val="Arial"/>
        <family val="2"/>
      </rPr>
      <t xml:space="preserve">(1,2) ^ </t>
    </r>
  </si>
  <si>
    <r>
      <t xml:space="preserve">Sólidos Suspendidos Totales mg/l </t>
    </r>
    <r>
      <rPr>
        <sz val="6.5"/>
        <color rgb="FF000000"/>
        <rFont val="Arial"/>
        <family val="2"/>
      </rPr>
      <t xml:space="preserve">(1,2) ^ </t>
    </r>
  </si>
  <si>
    <t xml:space="preserve">&lt;5 </t>
  </si>
  <si>
    <t xml:space="preserve">max incremento de 10% de la condición natural </t>
  </si>
  <si>
    <r>
      <t xml:space="preserve">Sólidos Totales Gravimétricos mg/l </t>
    </r>
    <r>
      <rPr>
        <sz val="6.5"/>
        <color rgb="FF000000"/>
        <rFont val="Arial"/>
        <family val="2"/>
      </rPr>
      <t xml:space="preserve">(1,2) ^ </t>
    </r>
  </si>
  <si>
    <t xml:space="preserve">Sólidos Fijos Totales Gravimétricos mg/l * ^ </t>
  </si>
  <si>
    <t xml:space="preserve">Sólidos Volátiles Totales Gravimétricos mg/l * ^ </t>
  </si>
  <si>
    <r>
      <t xml:space="preserve">Turbidez FAU/NTU </t>
    </r>
    <r>
      <rPr>
        <sz val="6.5"/>
        <color rgb="FF000000"/>
        <rFont val="Arial"/>
        <family val="2"/>
      </rPr>
      <t xml:space="preserve">(1,2) ^ </t>
    </r>
  </si>
  <si>
    <t xml:space="preserve">&lt;4 </t>
  </si>
  <si>
    <t xml:space="preserve">Aniones y No Metales: </t>
  </si>
  <si>
    <r>
      <t xml:space="preserve">Amonio mg/l </t>
    </r>
    <r>
      <rPr>
        <sz val="6.5"/>
        <color rgb="FF000000"/>
        <rFont val="Arial"/>
        <family val="2"/>
      </rPr>
      <t xml:space="preserve">(1,2) ^ </t>
    </r>
  </si>
  <si>
    <t xml:space="preserve">&lt;0.02 </t>
  </si>
  <si>
    <r>
      <t xml:space="preserve">Amonio expresado como Nitrógeno mg/l </t>
    </r>
    <r>
      <rPr>
        <sz val="6.5"/>
        <color rgb="FF000000"/>
        <rFont val="Arial"/>
        <family val="2"/>
      </rPr>
      <t xml:space="preserve">(1,2) ^ </t>
    </r>
  </si>
  <si>
    <r>
      <t xml:space="preserve">Nitrato mg/l </t>
    </r>
    <r>
      <rPr>
        <sz val="6.5"/>
        <color rgb="FF000000"/>
        <rFont val="Arial"/>
        <family val="2"/>
      </rPr>
      <t xml:space="preserve">(1,2) ^ </t>
    </r>
  </si>
  <si>
    <t xml:space="preserve">&lt;0.1 </t>
  </si>
  <si>
    <r>
      <t xml:space="preserve">Nitrito mg/l </t>
    </r>
    <r>
      <rPr>
        <sz val="6.5"/>
        <color rgb="FF000000"/>
        <rFont val="Arial"/>
        <family val="2"/>
      </rPr>
      <t xml:space="preserve">(1,2) ^ </t>
    </r>
  </si>
  <si>
    <r>
      <t xml:space="preserve">Cianuro Libre mg/l </t>
    </r>
    <r>
      <rPr>
        <sz val="6.5"/>
        <color rgb="FF000000"/>
        <rFont val="Arial"/>
        <family val="2"/>
      </rPr>
      <t xml:space="preserve">(1,2) ^ </t>
    </r>
  </si>
  <si>
    <t xml:space="preserve">&lt;0.001 </t>
  </si>
  <si>
    <r>
      <t xml:space="preserve">Cianuro Total mg/l </t>
    </r>
    <r>
      <rPr>
        <sz val="6.5"/>
        <color rgb="FF000000"/>
        <rFont val="Arial"/>
        <family val="2"/>
      </rPr>
      <t xml:space="preserve">(1,2) ^ </t>
    </r>
  </si>
  <si>
    <t xml:space="preserve">Parámetros Orgánicos: </t>
  </si>
  <si>
    <r>
      <t xml:space="preserve">Aceites y Grasas mg/l </t>
    </r>
    <r>
      <rPr>
        <sz val="6.5"/>
        <color rgb="FF000000"/>
        <rFont val="Arial"/>
        <family val="2"/>
      </rPr>
      <t xml:space="preserve">(1,2) ^ </t>
    </r>
  </si>
  <si>
    <t xml:space="preserve">&lt;0.3 </t>
  </si>
  <si>
    <r>
      <t xml:space="preserve">Demanda Bioquímica de Oxígeno mg/l </t>
    </r>
    <r>
      <rPr>
        <sz val="6.5"/>
        <color rgb="FF000000"/>
        <rFont val="Arial"/>
        <family val="2"/>
      </rPr>
      <t xml:space="preserve">(1,2) ^ </t>
    </r>
  </si>
  <si>
    <t xml:space="preserve">&lt;2 </t>
  </si>
  <si>
    <r>
      <t xml:space="preserve">Demanda Química de Oxígeno mg/l </t>
    </r>
    <r>
      <rPr>
        <sz val="6.5"/>
        <color rgb="FF000000"/>
        <rFont val="Arial"/>
        <family val="2"/>
      </rPr>
      <t xml:space="preserve">(1,2) ^ </t>
    </r>
  </si>
  <si>
    <r>
      <t xml:space="preserve">Nitrógeno Total Kjeldahl mg/l </t>
    </r>
    <r>
      <rPr>
        <sz val="6.5"/>
        <color rgb="FF000000"/>
        <rFont val="Arial"/>
        <family val="2"/>
      </rPr>
      <t xml:space="preserve">(1,2) ^ </t>
    </r>
  </si>
  <si>
    <t xml:space="preserve">&lt;0.5 </t>
  </si>
  <si>
    <t xml:space="preserve">Parámetros Microbiológicos: </t>
  </si>
  <si>
    <r>
      <t xml:space="preserve">Coliformes Fecales (E. coli) NMP/100 ml </t>
    </r>
    <r>
      <rPr>
        <sz val="6.5"/>
        <color rgb="FF000000"/>
        <rFont val="Arial"/>
        <family val="2"/>
      </rPr>
      <t xml:space="preserve">(1,2) ^ </t>
    </r>
  </si>
  <si>
    <t xml:space="preserve">Metales totales: </t>
  </si>
  <si>
    <r>
      <t xml:space="preserve">Cadmio mg/l </t>
    </r>
    <r>
      <rPr>
        <sz val="6.5"/>
        <color rgb="FF000000"/>
        <rFont val="Arial"/>
        <family val="2"/>
      </rPr>
      <t xml:space="preserve">(1,2) ^ </t>
    </r>
  </si>
  <si>
    <t xml:space="preserve">&lt;0.0001 </t>
  </si>
  <si>
    <r>
      <t xml:space="preserve">Cobre mg/l </t>
    </r>
    <r>
      <rPr>
        <sz val="6.5"/>
        <color rgb="FF000000"/>
        <rFont val="Arial"/>
        <family val="2"/>
      </rPr>
      <t xml:space="preserve">(1,2) ^ </t>
    </r>
  </si>
  <si>
    <t xml:space="preserve">&lt;0.005 </t>
  </si>
  <si>
    <r>
      <t xml:space="preserve">Cromo mg/l </t>
    </r>
    <r>
      <rPr>
        <sz val="6.5"/>
        <color rgb="FF000000"/>
        <rFont val="Arial"/>
        <family val="2"/>
      </rPr>
      <t xml:space="preserve">(1,2) ^ </t>
    </r>
  </si>
  <si>
    <t xml:space="preserve">&lt;0.0002 </t>
  </si>
  <si>
    <r>
      <t xml:space="preserve">Fósforo mg/l </t>
    </r>
    <r>
      <rPr>
        <sz val="6.5"/>
        <color rgb="FF000000"/>
        <rFont val="Arial"/>
        <family val="2"/>
      </rPr>
      <t xml:space="preserve">(1,2) ^ </t>
    </r>
  </si>
  <si>
    <t xml:space="preserve">&lt;0.05 </t>
  </si>
  <si>
    <r>
      <t xml:space="preserve">Hierro mg/l </t>
    </r>
    <r>
      <rPr>
        <sz val="6.5"/>
        <color rgb="FF000000"/>
        <rFont val="Arial"/>
        <family val="2"/>
      </rPr>
      <t xml:space="preserve">(1,2) ^ </t>
    </r>
  </si>
  <si>
    <r>
      <t xml:space="preserve">Litio mg/l </t>
    </r>
    <r>
      <rPr>
        <sz val="6.5"/>
        <color rgb="FF000000"/>
        <rFont val="Arial"/>
        <family val="2"/>
      </rPr>
      <t xml:space="preserve">(1,2) ^ </t>
    </r>
  </si>
  <si>
    <t xml:space="preserve">&lt;0.0005 </t>
  </si>
  <si>
    <r>
      <t xml:space="preserve">Manganeso mg/l </t>
    </r>
    <r>
      <rPr>
        <sz val="6.5"/>
        <color rgb="FF000000"/>
        <rFont val="Arial"/>
        <family val="2"/>
      </rPr>
      <t xml:space="preserve">(1,2) ^ </t>
    </r>
  </si>
  <si>
    <r>
      <t xml:space="preserve">Mercurio mg/l </t>
    </r>
    <r>
      <rPr>
        <sz val="6.5"/>
        <color rgb="FF000000"/>
        <rFont val="Arial"/>
        <family val="2"/>
      </rPr>
      <t xml:space="preserve">(1,2) ^ </t>
    </r>
  </si>
  <si>
    <r>
      <t xml:space="preserve">Níquel mg/l </t>
    </r>
    <r>
      <rPr>
        <sz val="6.5"/>
        <color rgb="FF000000"/>
        <rFont val="Arial"/>
        <family val="2"/>
      </rPr>
      <t xml:space="preserve">(1,2) ^ </t>
    </r>
  </si>
  <si>
    <r>
      <t xml:space="preserve">Plomo mg/l </t>
    </r>
    <r>
      <rPr>
        <sz val="6.5"/>
        <color rgb="FF000000"/>
        <rFont val="Arial"/>
        <family val="2"/>
      </rPr>
      <t xml:space="preserve">(1,2) ^ </t>
    </r>
  </si>
  <si>
    <r>
      <t xml:space="preserve">Zinc mg/l </t>
    </r>
    <r>
      <rPr>
        <sz val="6.5"/>
        <color rgb="FF000000"/>
        <rFont val="Arial"/>
        <family val="2"/>
      </rPr>
      <t xml:space="preserve">(1,2) ^ </t>
    </r>
  </si>
  <si>
    <t xml:space="preserve">Coliformes Totales NMP/100 ml (1,2) ^ </t>
  </si>
  <si>
    <t>&lt;0.02</t>
  </si>
  <si>
    <r>
      <rPr>
        <b/>
        <sz val="14"/>
        <rFont val="Caladea"/>
        <family val="1"/>
      </rPr>
      <t>R</t>
    </r>
    <r>
      <rPr>
        <b/>
        <sz val="11"/>
        <rFont val="Caladea"/>
        <family val="1"/>
      </rPr>
      <t xml:space="preserve">ESULTADOS DEL </t>
    </r>
    <r>
      <rPr>
        <b/>
        <sz val="14"/>
        <rFont val="Caladea"/>
        <family val="1"/>
      </rPr>
      <t>A</t>
    </r>
    <r>
      <rPr>
        <b/>
        <sz val="11"/>
        <rFont val="Caladea"/>
        <family val="1"/>
      </rPr>
      <t xml:space="preserve">GUA </t>
    </r>
    <r>
      <rPr>
        <b/>
        <sz val="14"/>
        <rFont val="Caladea"/>
        <family val="1"/>
      </rPr>
      <t>N</t>
    </r>
    <r>
      <rPr>
        <b/>
        <sz val="11"/>
        <rFont val="Caladea"/>
        <family val="1"/>
      </rPr>
      <t xml:space="preserve">ATURAL </t>
    </r>
    <r>
      <rPr>
        <b/>
        <sz val="14"/>
        <rFont val="Caladea"/>
        <family val="1"/>
      </rPr>
      <t>(R</t>
    </r>
    <r>
      <rPr>
        <b/>
        <sz val="11"/>
        <rFont val="Caladea"/>
        <family val="1"/>
      </rPr>
      <t xml:space="preserve">ÍO </t>
    </r>
    <r>
      <rPr>
        <b/>
        <sz val="14"/>
        <rFont val="Caladea"/>
        <family val="1"/>
      </rPr>
      <t>Q</t>
    </r>
    <r>
      <rPr>
        <b/>
        <sz val="11"/>
        <rFont val="Caladea"/>
        <family val="1"/>
      </rPr>
      <t xml:space="preserve">UINGEO Y </t>
    </r>
    <r>
      <rPr>
        <b/>
        <sz val="14"/>
        <rFont val="Caladea"/>
        <family val="1"/>
      </rPr>
      <t>Q</t>
    </r>
    <r>
      <rPr>
        <b/>
        <sz val="11"/>
        <rFont val="Caladea"/>
        <family val="1"/>
      </rPr>
      <t xml:space="preserve">UEBRADA </t>
    </r>
    <r>
      <rPr>
        <b/>
        <sz val="14"/>
        <rFont val="Caladea"/>
        <family val="1"/>
      </rPr>
      <t>C</t>
    </r>
    <r>
      <rPr>
        <b/>
        <sz val="11"/>
        <rFont val="Caladea"/>
        <family val="1"/>
      </rPr>
      <t>APELO</t>
    </r>
    <r>
      <rPr>
        <b/>
        <sz val="14"/>
        <rFont val="Caladea"/>
        <family val="1"/>
      </rPr>
      <t>)</t>
    </r>
  </si>
  <si>
    <t>Pesticidas Organofosforados Totales mg/l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</si>
</sst>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m/yy"/>
    <numFmt numFmtId="165" formatCode="dd/mmmm"/>
    <numFmt numFmtId="166" formatCode="#,##0.000"/>
    <numFmt numFmtId="167" formatCode="dd\-mm\-yy;@"/>
    <numFmt numFmtId="168" formatCode="0.0"/>
    <numFmt numFmtId="169" formatCode="0.000"/>
    <numFmt numFmtId="170" formatCode="0.000;[Red]0.000"/>
    <numFmt numFmtId="171" formatCode="0.0000"/>
    <numFmt numFmtId="172" formatCode="0.00;[Red]0.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name val="Calibri"/>
      <family val="2"/>
    </font>
    <font>
      <sz val="11"/>
      <name val="Arial"/>
      <family val="2"/>
    </font>
    <font>
      <b/>
      <u/>
      <sz val="8"/>
      <name val="Arial"/>
      <family val="2"/>
    </font>
    <font>
      <b/>
      <vertAlign val="subscript"/>
      <sz val="10"/>
      <name val="Arial"/>
      <family val="2"/>
    </font>
    <font>
      <b/>
      <sz val="8"/>
      <color rgb="FFFF0000"/>
      <name val="Arial"/>
      <family val="2"/>
    </font>
    <font>
      <b/>
      <sz val="14"/>
      <name val="Caladea"/>
      <family val="1"/>
    </font>
    <font>
      <b/>
      <sz val="11"/>
      <name val="Caladea"/>
      <family val="1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5"/>
      <color rgb="FF000000"/>
      <name val="Arial"/>
      <family val="2"/>
    </font>
    <font>
      <b/>
      <i/>
      <sz val="10"/>
      <color rgb="FF000000"/>
      <name val="Arial"/>
      <family val="2"/>
    </font>
    <font>
      <sz val="6.5"/>
      <color rgb="FF000000"/>
      <name val="Arial"/>
      <family val="2"/>
    </font>
    <font>
      <sz val="10"/>
      <color theme="1"/>
      <name val="Arial"/>
      <family val="2"/>
    </font>
    <font>
      <b/>
      <sz val="10"/>
      <name val="Caladea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CDA8E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0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" xfId="0" applyFont="1" applyFill="1" applyBorder="1"/>
    <xf numFmtId="0" fontId="4" fillId="2" borderId="6" xfId="0" applyFont="1" applyFill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0" borderId="9" xfId="0" applyNumberFormat="1" applyFont="1" applyBorder="1"/>
    <xf numFmtId="164" fontId="7" fillId="0" borderId="8" xfId="0" applyNumberFormat="1" applyFont="1" applyBorder="1"/>
    <xf numFmtId="164" fontId="7" fillId="0" borderId="10" xfId="0" applyNumberFormat="1" applyFont="1" applyBorder="1"/>
    <xf numFmtId="164" fontId="7" fillId="0" borderId="6" xfId="0" applyNumberFormat="1" applyFont="1" applyBorder="1"/>
    <xf numFmtId="164" fontId="7" fillId="0" borderId="7" xfId="0" applyNumberFormat="1" applyFont="1" applyBorder="1"/>
    <xf numFmtId="164" fontId="7" fillId="0" borderId="11" xfId="0" applyNumberFormat="1" applyFont="1" applyBorder="1"/>
    <xf numFmtId="164" fontId="7" fillId="0" borderId="12" xfId="0" applyNumberFormat="1" applyFont="1" applyBorder="1"/>
    <xf numFmtId="164" fontId="7" fillId="3" borderId="12" xfId="0" applyNumberFormat="1" applyFont="1" applyFill="1" applyBorder="1"/>
    <xf numFmtId="164" fontId="7" fillId="4" borderId="7" xfId="0" applyNumberFormat="1" applyFont="1" applyFill="1" applyBorder="1"/>
    <xf numFmtId="164" fontId="7" fillId="4" borderId="11" xfId="0" applyNumberFormat="1" applyFont="1" applyFill="1" applyBorder="1"/>
    <xf numFmtId="164" fontId="7" fillId="4" borderId="12" xfId="0" applyNumberFormat="1" applyFont="1" applyFill="1" applyBorder="1"/>
    <xf numFmtId="164" fontId="7" fillId="4" borderId="11" xfId="0" applyNumberFormat="1" applyFont="1" applyFill="1" applyBorder="1" applyAlignment="1">
      <alignment wrapText="1"/>
    </xf>
    <xf numFmtId="164" fontId="7" fillId="4" borderId="8" xfId="0" applyNumberFormat="1" applyFont="1" applyFill="1" applyBorder="1"/>
    <xf numFmtId="0" fontId="7" fillId="0" borderId="13" xfId="0" applyFont="1" applyBorder="1" applyAlignment="1">
      <alignment horizontal="center"/>
    </xf>
    <xf numFmtId="165" fontId="8" fillId="5" borderId="15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" fontId="5" fillId="0" borderId="14" xfId="0" applyNumberFormat="1" applyFont="1" applyBorder="1"/>
    <xf numFmtId="4" fontId="5" fillId="0" borderId="7" xfId="0" applyNumberFormat="1" applyFont="1" applyBorder="1"/>
    <xf numFmtId="4" fontId="5" fillId="0" borderId="17" xfId="0" applyNumberFormat="1" applyFont="1" applyBorder="1"/>
    <xf numFmtId="4" fontId="5" fillId="0" borderId="6" xfId="0" applyNumberFormat="1" applyFont="1" applyBorder="1"/>
    <xf numFmtId="0" fontId="0" fillId="0" borderId="7" xfId="0" applyBorder="1"/>
    <xf numFmtId="0" fontId="9" fillId="6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4" fontId="0" fillId="0" borderId="7" xfId="0" applyNumberFormat="1" applyBorder="1"/>
    <xf numFmtId="0" fontId="0" fillId="0" borderId="14" xfId="0" applyBorder="1"/>
    <xf numFmtId="0" fontId="0" fillId="0" borderId="17" xfId="0" applyBorder="1"/>
    <xf numFmtId="0" fontId="0" fillId="0" borderId="6" xfId="0" applyBorder="1"/>
    <xf numFmtId="3" fontId="0" fillId="0" borderId="7" xfId="0" applyNumberFormat="1" applyBorder="1"/>
    <xf numFmtId="0" fontId="10" fillId="0" borderId="7" xfId="0" applyFont="1" applyBorder="1" applyAlignment="1">
      <alignment horizontal="center"/>
    </xf>
    <xf numFmtId="166" fontId="5" fillId="0" borderId="7" xfId="0" applyNumberFormat="1" applyFont="1" applyBorder="1"/>
    <xf numFmtId="0" fontId="5" fillId="0" borderId="14" xfId="0" applyFont="1" applyBorder="1"/>
    <xf numFmtId="0" fontId="5" fillId="0" borderId="7" xfId="0" applyFont="1" applyBorder="1"/>
    <xf numFmtId="0" fontId="5" fillId="0" borderId="17" xfId="0" applyFont="1" applyBorder="1"/>
    <xf numFmtId="0" fontId="5" fillId="0" borderId="6" xfId="0" applyFont="1" applyBorder="1"/>
    <xf numFmtId="166" fontId="0" fillId="0" borderId="7" xfId="0" applyNumberFormat="1" applyBorder="1"/>
    <xf numFmtId="166" fontId="0" fillId="0" borderId="14" xfId="0" applyNumberFormat="1" applyBorder="1"/>
    <xf numFmtId="166" fontId="0" fillId="0" borderId="17" xfId="0" applyNumberFormat="1" applyBorder="1"/>
    <xf numFmtId="166" fontId="0" fillId="0" borderId="6" xfId="0" applyNumberFormat="1" applyBorder="1"/>
    <xf numFmtId="11" fontId="0" fillId="0" borderId="7" xfId="0" applyNumberFormat="1" applyBorder="1"/>
    <xf numFmtId="11" fontId="10" fillId="7" borderId="7" xfId="0" applyNumberFormat="1" applyFont="1" applyFill="1" applyBorder="1" applyAlignment="1">
      <alignment horizontal="center"/>
    </xf>
    <xf numFmtId="11" fontId="9" fillId="0" borderId="1" xfId="0" applyNumberFormat="1" applyFont="1" applyBorder="1" applyAlignment="1">
      <alignment horizontal="center"/>
    </xf>
    <xf numFmtId="11" fontId="0" fillId="0" borderId="14" xfId="0" applyNumberFormat="1" applyBorder="1"/>
    <xf numFmtId="11" fontId="0" fillId="0" borderId="17" xfId="0" applyNumberFormat="1" applyBorder="1"/>
    <xf numFmtId="11" fontId="0" fillId="0" borderId="6" xfId="0" applyNumberFormat="1" applyBorder="1"/>
    <xf numFmtId="11" fontId="5" fillId="0" borderId="7" xfId="0" applyNumberFormat="1" applyFont="1" applyBorder="1"/>
    <xf numFmtId="0" fontId="13" fillId="2" borderId="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4" fontId="4" fillId="0" borderId="21" xfId="0" applyNumberFormat="1" applyFont="1" applyBorder="1"/>
    <xf numFmtId="4" fontId="4" fillId="0" borderId="22" xfId="0" applyNumberFormat="1" applyFont="1" applyBorder="1"/>
    <xf numFmtId="4" fontId="4" fillId="0" borderId="23" xfId="0" applyNumberFormat="1" applyFont="1" applyBorder="1"/>
    <xf numFmtId="4" fontId="4" fillId="0" borderId="6" xfId="0" applyNumberFormat="1" applyFont="1" applyBorder="1"/>
    <xf numFmtId="4" fontId="4" fillId="0" borderId="7" xfId="0" applyNumberFormat="1" applyFont="1" applyBorder="1"/>
    <xf numFmtId="0" fontId="7" fillId="0" borderId="1" xfId="0" applyFont="1" applyBorder="1" applyAlignment="1">
      <alignment horizontal="center"/>
    </xf>
    <xf numFmtId="4" fontId="0" fillId="2" borderId="7" xfId="0" applyNumberFormat="1" applyFill="1" applyBorder="1"/>
    <xf numFmtId="4" fontId="5" fillId="2" borderId="7" xfId="0" applyNumberFormat="1" applyFont="1" applyFill="1" applyBorder="1"/>
    <xf numFmtId="0" fontId="0" fillId="0" borderId="0" xfId="0" applyAlignment="1">
      <alignment horizontal="left" vertical="top"/>
    </xf>
    <xf numFmtId="4" fontId="4" fillId="0" borderId="1" xfId="0" applyNumberFormat="1" applyFont="1" applyBorder="1"/>
    <xf numFmtId="165" fontId="8" fillId="8" borderId="15" xfId="0" applyNumberFormat="1" applyFont="1" applyFill="1" applyBorder="1" applyAlignment="1">
      <alignment horizontal="center"/>
    </xf>
    <xf numFmtId="165" fontId="8" fillId="9" borderId="15" xfId="0" applyNumberFormat="1" applyFont="1" applyFill="1" applyBorder="1" applyAlignment="1">
      <alignment horizontal="center"/>
    </xf>
    <xf numFmtId="165" fontId="8" fillId="10" borderId="15" xfId="0" applyNumberFormat="1" applyFont="1" applyFill="1" applyBorder="1" applyAlignment="1">
      <alignment horizontal="center"/>
    </xf>
    <xf numFmtId="165" fontId="8" fillId="11" borderId="15" xfId="0" applyNumberFormat="1" applyFont="1" applyFill="1" applyBorder="1" applyAlignment="1">
      <alignment horizontal="center"/>
    </xf>
    <xf numFmtId="165" fontId="8" fillId="12" borderId="15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165" fontId="8" fillId="5" borderId="14" xfId="0" applyNumberFormat="1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4" fontId="5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166" fontId="0" fillId="0" borderId="1" xfId="0" applyNumberFormat="1" applyBorder="1"/>
    <xf numFmtId="11" fontId="0" fillId="0" borderId="1" xfId="0" applyNumberFormat="1" applyBorder="1"/>
    <xf numFmtId="11" fontId="9" fillId="0" borderId="7" xfId="0" applyNumberFormat="1" applyFont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4" fontId="4" fillId="0" borderId="5" xfId="0" applyNumberFormat="1" applyFont="1" applyBorder="1"/>
    <xf numFmtId="165" fontId="8" fillId="8" borderId="16" xfId="0" applyNumberFormat="1" applyFont="1" applyFill="1" applyBorder="1" applyAlignment="1">
      <alignment horizontal="center"/>
    </xf>
    <xf numFmtId="165" fontId="8" fillId="8" borderId="7" xfId="0" applyNumberFormat="1" applyFont="1" applyFill="1" applyBorder="1" applyAlignment="1">
      <alignment horizontal="center"/>
    </xf>
    <xf numFmtId="165" fontId="8" fillId="9" borderId="7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165" fontId="8" fillId="5" borderId="6" xfId="0" applyNumberFormat="1" applyFont="1" applyFill="1" applyBorder="1" applyAlignment="1">
      <alignment horizontal="center"/>
    </xf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164" fontId="7" fillId="0" borderId="14" xfId="0" applyNumberFormat="1" applyFont="1" applyBorder="1"/>
    <xf numFmtId="164" fontId="7" fillId="0" borderId="17" xfId="0" applyNumberFormat="1" applyFont="1" applyBorder="1"/>
    <xf numFmtId="165" fontId="8" fillId="10" borderId="17" xfId="0" applyNumberFormat="1" applyFont="1" applyFill="1" applyBorder="1" applyAlignment="1">
      <alignment horizontal="center"/>
    </xf>
    <xf numFmtId="4" fontId="4" fillId="0" borderId="18" xfId="0" applyNumberFormat="1" applyFont="1" applyBorder="1"/>
    <xf numFmtId="4" fontId="4" fillId="0" borderId="19" xfId="0" applyNumberFormat="1" applyFont="1" applyBorder="1"/>
    <xf numFmtId="4" fontId="4" fillId="0" borderId="20" xfId="0" applyNumberFormat="1" applyFont="1" applyBorder="1"/>
    <xf numFmtId="165" fontId="8" fillId="5" borderId="7" xfId="0" applyNumberFormat="1" applyFont="1" applyFill="1" applyBorder="1" applyAlignment="1">
      <alignment horizontal="center"/>
    </xf>
    <xf numFmtId="165" fontId="8" fillId="10" borderId="7" xfId="0" applyNumberFormat="1" applyFont="1" applyFill="1" applyBorder="1" applyAlignment="1">
      <alignment horizontal="center"/>
    </xf>
    <xf numFmtId="165" fontId="8" fillId="11" borderId="7" xfId="0" applyNumberFormat="1" applyFont="1" applyFill="1" applyBorder="1" applyAlignment="1">
      <alignment horizontal="center"/>
    </xf>
    <xf numFmtId="165" fontId="8" fillId="12" borderId="7" xfId="0" applyNumberFormat="1" applyFont="1" applyFill="1" applyBorder="1" applyAlignment="1">
      <alignment horizontal="center"/>
    </xf>
    <xf numFmtId="164" fontId="15" fillId="4" borderId="11" xfId="0" applyNumberFormat="1" applyFont="1" applyFill="1" applyBorder="1"/>
    <xf numFmtId="0" fontId="0" fillId="2" borderId="5" xfId="0" applyFill="1" applyBorder="1"/>
    <xf numFmtId="0" fontId="0" fillId="2" borderId="0" xfId="0" applyFill="1"/>
    <xf numFmtId="0" fontId="4" fillId="0" borderId="27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 wrapText="1"/>
    </xf>
    <xf numFmtId="0" fontId="7" fillId="13" borderId="27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top" wrapText="1"/>
    </xf>
    <xf numFmtId="167" fontId="18" fillId="0" borderId="27" xfId="0" applyNumberFormat="1" applyFont="1" applyBorder="1" applyAlignment="1">
      <alignment horizontal="center" vertical="top" shrinkToFit="1"/>
    </xf>
    <xf numFmtId="0" fontId="7" fillId="13" borderId="28" xfId="0" applyFont="1" applyFill="1" applyBorder="1" applyAlignment="1">
      <alignment horizontal="left" vertical="top" wrapText="1" indent="3"/>
    </xf>
    <xf numFmtId="0" fontId="4" fillId="0" borderId="27" xfId="0" applyFont="1" applyBorder="1" applyAlignment="1">
      <alignment horizontal="center" vertical="top" wrapText="1"/>
    </xf>
    <xf numFmtId="0" fontId="7" fillId="13" borderId="28" xfId="0" applyFont="1" applyFill="1" applyBorder="1" applyAlignment="1">
      <alignment horizontal="left" vertical="top" wrapText="1" indent="5"/>
    </xf>
    <xf numFmtId="0" fontId="19" fillId="0" borderId="29" xfId="0" applyFont="1" applyBorder="1" applyAlignment="1">
      <alignment horizontal="left" vertical="top" wrapText="1"/>
    </xf>
    <xf numFmtId="0" fontId="0" fillId="0" borderId="29" xfId="0" applyBorder="1" applyAlignment="1">
      <alignment horizontal="left" wrapText="1"/>
    </xf>
    <xf numFmtId="0" fontId="5" fillId="0" borderId="29" xfId="0" applyFont="1" applyBorder="1" applyAlignment="1">
      <alignment horizontal="left" vertical="top" wrapText="1"/>
    </xf>
    <xf numFmtId="0" fontId="5" fillId="13" borderId="29" xfId="0" applyFont="1" applyFill="1" applyBorder="1" applyAlignment="1">
      <alignment horizontal="center" vertical="top" wrapText="1"/>
    </xf>
    <xf numFmtId="0" fontId="5" fillId="13" borderId="29" xfId="0" applyFont="1" applyFill="1" applyBorder="1" applyAlignment="1">
      <alignment horizontal="center" vertical="center" wrapText="1"/>
    </xf>
    <xf numFmtId="1" fontId="20" fillId="0" borderId="29" xfId="0" applyNumberFormat="1" applyFont="1" applyBorder="1" applyAlignment="1">
      <alignment horizontal="left" vertical="top" indent="3" shrinkToFit="1"/>
    </xf>
    <xf numFmtId="1" fontId="20" fillId="0" borderId="29" xfId="0" applyNumberFormat="1" applyFont="1" applyBorder="1" applyAlignment="1">
      <alignment horizontal="left" vertical="top" indent="4" shrinkToFit="1"/>
    </xf>
    <xf numFmtId="1" fontId="20" fillId="0" borderId="29" xfId="0" applyNumberFormat="1" applyFont="1" applyBorder="1" applyAlignment="1">
      <alignment horizontal="center" vertical="top" shrinkToFit="1"/>
    </xf>
    <xf numFmtId="0" fontId="5" fillId="13" borderId="29" xfId="0" applyFont="1" applyFill="1" applyBorder="1" applyAlignment="1">
      <alignment horizontal="left" vertical="top" wrapText="1" indent="1"/>
    </xf>
    <xf numFmtId="2" fontId="20" fillId="0" borderId="29" xfId="0" applyNumberFormat="1" applyFont="1" applyBorder="1" applyAlignment="1">
      <alignment horizontal="center" vertical="top" shrinkToFit="1"/>
    </xf>
    <xf numFmtId="0" fontId="5" fillId="0" borderId="29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top" wrapText="1" indent="3"/>
    </xf>
    <xf numFmtId="0" fontId="5" fillId="13" borderId="29" xfId="0" applyFont="1" applyFill="1" applyBorder="1" applyAlignment="1">
      <alignment horizontal="right" vertical="top" wrapText="1" indent="7"/>
    </xf>
    <xf numFmtId="0" fontId="5" fillId="13" borderId="29" xfId="0" applyFont="1" applyFill="1" applyBorder="1" applyAlignment="1">
      <alignment horizontal="right" vertical="center" wrapText="1" indent="7"/>
    </xf>
    <xf numFmtId="1" fontId="20" fillId="13" borderId="29" xfId="0" applyNumberFormat="1" applyFont="1" applyFill="1" applyBorder="1" applyAlignment="1">
      <alignment horizontal="center" vertical="top" shrinkToFit="1"/>
    </xf>
    <xf numFmtId="168" fontId="20" fillId="13" borderId="29" xfId="0" applyNumberFormat="1" applyFont="1" applyFill="1" applyBorder="1" applyAlignment="1">
      <alignment horizontal="right" vertical="top" indent="7" shrinkToFit="1"/>
    </xf>
    <xf numFmtId="0" fontId="5" fillId="0" borderId="29" xfId="0" applyFont="1" applyBorder="1" applyAlignment="1">
      <alignment horizontal="left" vertical="top" wrapText="1" indent="2"/>
    </xf>
    <xf numFmtId="2" fontId="20" fillId="13" borderId="29" xfId="0" applyNumberFormat="1" applyFont="1" applyFill="1" applyBorder="1" applyAlignment="1">
      <alignment horizontal="right" vertical="top" indent="6" shrinkToFit="1"/>
    </xf>
    <xf numFmtId="168" fontId="20" fillId="13" borderId="29" xfId="0" applyNumberFormat="1" applyFont="1" applyFill="1" applyBorder="1" applyAlignment="1">
      <alignment horizontal="left" vertical="top" indent="7" shrinkToFit="1"/>
    </xf>
    <xf numFmtId="1" fontId="20" fillId="13" borderId="29" xfId="0" applyNumberFormat="1" applyFont="1" applyFill="1" applyBorder="1" applyAlignment="1">
      <alignment horizontal="left" vertical="center" indent="7" shrinkToFit="1"/>
    </xf>
    <xf numFmtId="0" fontId="5" fillId="13" borderId="29" xfId="0" applyFont="1" applyFill="1" applyBorder="1" applyAlignment="1">
      <alignment horizontal="left" vertical="top" wrapText="1" indent="7"/>
    </xf>
    <xf numFmtId="1" fontId="20" fillId="0" borderId="29" xfId="0" applyNumberFormat="1" applyFont="1" applyBorder="1" applyAlignment="1">
      <alignment horizontal="left" vertical="top" indent="2" shrinkToFit="1"/>
    </xf>
    <xf numFmtId="1" fontId="20" fillId="0" borderId="29" xfId="0" applyNumberFormat="1" applyFont="1" applyBorder="1" applyAlignment="1">
      <alignment horizontal="right" vertical="top" indent="3" shrinkToFit="1"/>
    </xf>
    <xf numFmtId="0" fontId="5" fillId="0" borderId="2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right" vertical="top" wrapText="1" indent="2"/>
    </xf>
    <xf numFmtId="169" fontId="20" fillId="13" borderId="29" xfId="0" applyNumberFormat="1" applyFont="1" applyFill="1" applyBorder="1" applyAlignment="1">
      <alignment horizontal="center" vertical="top" shrinkToFit="1"/>
    </xf>
    <xf numFmtId="170" fontId="6" fillId="0" borderId="29" xfId="0" applyNumberFormat="1" applyFont="1" applyBorder="1" applyAlignment="1">
      <alignment horizontal="center" vertical="top" shrinkToFit="1"/>
    </xf>
    <xf numFmtId="169" fontId="20" fillId="0" borderId="29" xfId="0" applyNumberFormat="1" applyFont="1" applyBorder="1" applyAlignment="1">
      <alignment horizontal="center" vertical="top" shrinkToFit="1"/>
    </xf>
    <xf numFmtId="0" fontId="5" fillId="0" borderId="29" xfId="0" applyFont="1" applyBorder="1" applyAlignment="1">
      <alignment horizontal="right" vertical="top" wrapText="1" indent="3"/>
    </xf>
    <xf numFmtId="168" fontId="20" fillId="13" borderId="29" xfId="0" applyNumberFormat="1" applyFont="1" applyFill="1" applyBorder="1" applyAlignment="1">
      <alignment horizontal="center" vertical="top" shrinkToFit="1"/>
    </xf>
    <xf numFmtId="171" fontId="20" fillId="0" borderId="29" xfId="0" applyNumberFormat="1" applyFont="1" applyBorder="1" applyAlignment="1">
      <alignment horizontal="center" vertical="top" shrinkToFit="1"/>
    </xf>
    <xf numFmtId="169" fontId="20" fillId="0" borderId="29" xfId="0" applyNumberFormat="1" applyFont="1" applyBorder="1" applyAlignment="1">
      <alignment horizontal="left" vertical="top" indent="2" shrinkToFit="1"/>
    </xf>
    <xf numFmtId="172" fontId="6" fillId="0" borderId="29" xfId="0" applyNumberFormat="1" applyFont="1" applyBorder="1" applyAlignment="1">
      <alignment horizontal="center" vertical="top" shrinkToFit="1"/>
    </xf>
    <xf numFmtId="171" fontId="20" fillId="13" borderId="29" xfId="0" applyNumberFormat="1" applyFont="1" applyFill="1" applyBorder="1" applyAlignment="1">
      <alignment horizontal="center" vertical="top" shrinkToFit="1"/>
    </xf>
    <xf numFmtId="2" fontId="20" fillId="13" borderId="29" xfId="0" applyNumberFormat="1" applyFont="1" applyFill="1" applyBorder="1" applyAlignment="1">
      <alignment horizontal="center" vertical="top" shrinkToFit="1"/>
    </xf>
    <xf numFmtId="0" fontId="5" fillId="0" borderId="29" xfId="0" applyFont="1" applyBorder="1" applyAlignment="1">
      <alignment horizontal="left" vertical="top" wrapText="1" indent="1"/>
    </xf>
    <xf numFmtId="0" fontId="5" fillId="13" borderId="29" xfId="0" applyFont="1" applyFill="1" applyBorder="1" applyAlignment="1">
      <alignment horizontal="left" vertical="center" wrapText="1" indent="7"/>
    </xf>
    <xf numFmtId="0" fontId="0" fillId="0" borderId="29" xfId="0" applyBorder="1" applyAlignment="1">
      <alignment horizontal="left" vertical="top" wrapText="1"/>
    </xf>
    <xf numFmtId="2" fontId="20" fillId="13" borderId="29" xfId="0" applyNumberFormat="1" applyFont="1" applyFill="1" applyBorder="1" applyAlignment="1">
      <alignment horizontal="left" vertical="top" indent="6" shrinkToFit="1"/>
    </xf>
    <xf numFmtId="0" fontId="5" fillId="0" borderId="29" xfId="0" applyFont="1" applyBorder="1" applyAlignment="1">
      <alignment horizontal="left" vertical="center" wrapText="1" indent="2"/>
    </xf>
    <xf numFmtId="0" fontId="5" fillId="0" borderId="29" xfId="0" applyFont="1" applyBorder="1" applyAlignment="1">
      <alignment horizontal="left" vertical="center" wrapText="1" indent="3"/>
    </xf>
    <xf numFmtId="2" fontId="20" fillId="13" borderId="29" xfId="0" applyNumberFormat="1" applyFont="1" applyFill="1" applyBorder="1" applyAlignment="1">
      <alignment horizontal="left" vertical="center" indent="6" shrinkToFit="1"/>
    </xf>
    <xf numFmtId="168" fontId="20" fillId="0" borderId="29" xfId="0" applyNumberFormat="1" applyFont="1" applyBorder="1" applyAlignment="1">
      <alignment horizontal="center" vertical="top" shrinkToFit="1"/>
    </xf>
    <xf numFmtId="0" fontId="5" fillId="0" borderId="29" xfId="0" applyFont="1" applyBorder="1" applyAlignment="1">
      <alignment horizontal="left" vertical="top" wrapText="1" indent="4"/>
    </xf>
    <xf numFmtId="2" fontId="0" fillId="0" borderId="7" xfId="0" applyNumberFormat="1" applyBorder="1"/>
    <xf numFmtId="2" fontId="0" fillId="0" borderId="0" xfId="0" applyNumberFormat="1"/>
    <xf numFmtId="2" fontId="0" fillId="0" borderId="7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9" fontId="0" fillId="0" borderId="7" xfId="0" applyNumberFormat="1" applyBorder="1"/>
    <xf numFmtId="169" fontId="6" fillId="0" borderId="7" xfId="0" applyNumberFormat="1" applyFont="1" applyBorder="1"/>
    <xf numFmtId="2" fontId="6" fillId="0" borderId="7" xfId="0" applyNumberFormat="1" applyFont="1" applyBorder="1"/>
    <xf numFmtId="0" fontId="18" fillId="0" borderId="7" xfId="1" applyFont="1" applyBorder="1" applyAlignment="1">
      <alignment vertical="center" wrapText="1"/>
    </xf>
    <xf numFmtId="15" fontId="18" fillId="0" borderId="7" xfId="1" applyNumberFormat="1" applyFont="1" applyBorder="1" applyAlignment="1">
      <alignment vertical="center" wrapText="1"/>
    </xf>
    <xf numFmtId="0" fontId="20" fillId="0" borderId="7" xfId="1" applyFont="1" applyBorder="1" applyAlignment="1">
      <alignment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right" vertical="center" wrapText="1"/>
    </xf>
    <xf numFmtId="0" fontId="2" fillId="0" borderId="0" xfId="1"/>
    <xf numFmtId="0" fontId="23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23" fillId="0" borderId="0" xfId="1" applyFont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20" fillId="0" borderId="7" xfId="1" applyFont="1" applyBorder="1" applyAlignment="1">
      <alignment horizontal="right" vertical="center" wrapText="1"/>
    </xf>
    <xf numFmtId="0" fontId="6" fillId="0" borderId="7" xfId="1" applyFont="1" applyBorder="1" applyAlignment="1">
      <alignment vertical="center" wrapText="1"/>
    </xf>
    <xf numFmtId="0" fontId="20" fillId="14" borderId="7" xfId="1" applyFont="1" applyFill="1" applyBorder="1" applyAlignment="1">
      <alignment horizontal="center" vertical="center" wrapText="1"/>
    </xf>
    <xf numFmtId="2" fontId="25" fillId="0" borderId="7" xfId="0" applyNumberFormat="1" applyFont="1" applyBorder="1"/>
    <xf numFmtId="168" fontId="0" fillId="0" borderId="7" xfId="0" applyNumberFormat="1" applyBorder="1"/>
    <xf numFmtId="0" fontId="5" fillId="0" borderId="7" xfId="1" applyFont="1" applyBorder="1" applyAlignment="1">
      <alignment vertical="center" wrapText="1"/>
    </xf>
    <xf numFmtId="168" fontId="6" fillId="0" borderId="7" xfId="0" applyNumberFormat="1" applyFont="1" applyBorder="1"/>
    <xf numFmtId="169" fontId="25" fillId="0" borderId="7" xfId="0" applyNumberFormat="1" applyFont="1" applyBorder="1"/>
    <xf numFmtId="168" fontId="25" fillId="0" borderId="7" xfId="0" applyNumberFormat="1" applyFont="1" applyBorder="1"/>
    <xf numFmtId="0" fontId="26" fillId="0" borderId="0" xfId="0" applyFont="1" applyAlignment="1">
      <alignment vertical="top" wrapText="1"/>
    </xf>
    <xf numFmtId="0" fontId="10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2" fontId="6" fillId="2" borderId="7" xfId="0" applyNumberFormat="1" applyFont="1" applyFill="1" applyBorder="1"/>
    <xf numFmtId="169" fontId="6" fillId="2" borderId="7" xfId="0" applyNumberFormat="1" applyFont="1" applyFill="1" applyBorder="1"/>
    <xf numFmtId="0" fontId="26" fillId="0" borderId="34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 indent="1"/>
    </xf>
    <xf numFmtId="0" fontId="19" fillId="0" borderId="30" xfId="0" applyFont="1" applyBorder="1" applyAlignment="1">
      <alignment horizontal="left" vertical="top" wrapText="1"/>
    </xf>
    <xf numFmtId="0" fontId="19" fillId="0" borderId="31" xfId="0" applyFont="1" applyBorder="1" applyAlignment="1">
      <alignment horizontal="left" vertical="top" wrapText="1"/>
    </xf>
    <xf numFmtId="0" fontId="19" fillId="0" borderId="32" xfId="0" applyFont="1" applyBorder="1" applyAlignment="1">
      <alignment horizontal="left" vertical="top" wrapText="1"/>
    </xf>
    <xf numFmtId="0" fontId="23" fillId="0" borderId="7" xfId="1" applyFont="1" applyBorder="1" applyAlignment="1">
      <alignment horizontal="left" vertical="center" wrapText="1"/>
    </xf>
    <xf numFmtId="0" fontId="21" fillId="14" borderId="15" xfId="1" applyFont="1" applyFill="1" applyBorder="1" applyAlignment="1">
      <alignment horizontal="center" vertical="center" wrapText="1"/>
    </xf>
    <xf numFmtId="0" fontId="21" fillId="14" borderId="33" xfId="1" applyFont="1" applyFill="1" applyBorder="1" applyAlignment="1">
      <alignment horizontal="center" vertical="center" wrapText="1"/>
    </xf>
    <xf numFmtId="0" fontId="21" fillId="14" borderId="11" xfId="1" applyFont="1" applyFill="1" applyBorder="1" applyAlignment="1">
      <alignment horizontal="center" vertical="center" wrapText="1"/>
    </xf>
    <xf numFmtId="0" fontId="23" fillId="0" borderId="7" xfId="1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DBO5</a:t>
            </a:r>
          </a:p>
        </c:rich>
      </c:tx>
      <c:layout>
        <c:manualLayout>
          <c:xMode val="edge"/>
          <c:yMode val="edge"/>
          <c:x val="0.40884398747677203"/>
          <c:y val="1.85597624350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Gráficos'!$B$84:$B$118</c:f>
            </c:numRef>
          </c:val>
          <c:smooth val="0"/>
          <c:extLst>
            <c:ext xmlns:c16="http://schemas.microsoft.com/office/drawing/2014/chart" uri="{C3380CC4-5D6E-409C-BE32-E72D297353CC}">
              <c16:uniqueId val="{00000010-DF58-4979-BE5D-CF418192423A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Gráficos'!$C$84:$C$118</c:f>
            </c:numRef>
          </c:val>
          <c:smooth val="0"/>
          <c:extLst>
            <c:ext xmlns:c16="http://schemas.microsoft.com/office/drawing/2014/chart" uri="{C3380CC4-5D6E-409C-BE32-E72D297353CC}">
              <c16:uniqueId val="{00000011-DF58-4979-BE5D-CF418192423A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Gráficos'!$D$84:$D$118</c:f>
            </c:numRef>
          </c:val>
          <c:smooth val="0"/>
          <c:extLst>
            <c:ext xmlns:c16="http://schemas.microsoft.com/office/drawing/2014/chart" uri="{C3380CC4-5D6E-409C-BE32-E72D297353CC}">
              <c16:uniqueId val="{00000015-F3E1-408D-BBF5-82E9408B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624608"/>
        <c:axId val="280621248"/>
      </c:lineChart>
      <c:catAx>
        <c:axId val="28062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21248"/>
        <c:crosses val="autoZero"/>
        <c:auto val="1"/>
        <c:lblAlgn val="ctr"/>
        <c:lblOffset val="100"/>
        <c:noMultiLvlLbl val="1"/>
      </c:catAx>
      <c:valAx>
        <c:axId val="2806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2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DBO5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Gráficos'!$E$84:$E$118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Gráficos'!$F$84:$F$118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Gráficos'!$G$84:$G$118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629088"/>
        <c:axId val="280629648"/>
      </c:lineChart>
      <c:catAx>
        <c:axId val="28062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29648"/>
        <c:crosses val="autoZero"/>
        <c:auto val="1"/>
        <c:lblAlgn val="ctr"/>
        <c:lblOffset val="100"/>
        <c:noMultiLvlLbl val="1"/>
      </c:catAx>
      <c:valAx>
        <c:axId val="2806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2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Cianuro Libre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Gráficos'!$B$29:$B$63</c:f>
            </c:numRef>
          </c:val>
          <c:smooth val="0"/>
          <c:extLst>
            <c:ext xmlns:c16="http://schemas.microsoft.com/office/drawing/2014/chart" uri="{C3380CC4-5D6E-409C-BE32-E72D297353CC}">
              <c16:uniqueId val="{00000000-79CD-4735-88A1-272117102628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Gráficos'!$C$29:$C$63</c:f>
            </c:numRef>
          </c:val>
          <c:smooth val="0"/>
          <c:extLst>
            <c:ext xmlns:c16="http://schemas.microsoft.com/office/drawing/2014/chart" uri="{C3380CC4-5D6E-409C-BE32-E72D297353CC}">
              <c16:uniqueId val="{00000001-79CD-4735-88A1-272117102628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Gráficos'!$D$29:$D$63</c:f>
            </c:numRef>
          </c:val>
          <c:smooth val="0"/>
          <c:extLst>
            <c:ext xmlns:c16="http://schemas.microsoft.com/office/drawing/2014/chart" uri="{C3380CC4-5D6E-409C-BE32-E72D297353CC}">
              <c16:uniqueId val="{00000002-79CD-4735-88A1-272117102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633568"/>
        <c:axId val="280634128"/>
      </c:lineChart>
      <c:catAx>
        <c:axId val="28063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34128"/>
        <c:crosses val="autoZero"/>
        <c:auto val="1"/>
        <c:lblAlgn val="ctr"/>
        <c:lblOffset val="100"/>
        <c:noMultiLvlLbl val="1"/>
      </c:catAx>
      <c:valAx>
        <c:axId val="2806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Cianuro Libre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Gráficos'!$E$29:$E$63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Gráficos'!$F$29:$F$63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Gráficos'!$G$29:$G$63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638048"/>
        <c:axId val="280638608"/>
      </c:lineChart>
      <c:catAx>
        <c:axId val="28063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38608"/>
        <c:crosses val="autoZero"/>
        <c:auto val="1"/>
        <c:lblAlgn val="ctr"/>
        <c:lblOffset val="100"/>
        <c:noMultiLvlLbl val="1"/>
      </c:catAx>
      <c:valAx>
        <c:axId val="28063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3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DQO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Gráficos'!$B$139:$B$173</c:f>
            </c:numRef>
          </c:val>
          <c:smooth val="0"/>
          <c:extLst>
            <c:ext xmlns:c16="http://schemas.microsoft.com/office/drawing/2014/chart" uri="{C3380CC4-5D6E-409C-BE32-E72D297353CC}">
              <c16:uniqueId val="{00000000-2382-4D70-8609-6EEAC5AFC529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Gráficos'!$C$139:$C$173</c:f>
            </c:numRef>
          </c:val>
          <c:smooth val="0"/>
          <c:extLst>
            <c:ext xmlns:c16="http://schemas.microsoft.com/office/drawing/2014/chart" uri="{C3380CC4-5D6E-409C-BE32-E72D297353CC}">
              <c16:uniqueId val="{00000001-2382-4D70-8609-6EEAC5AFC529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Gráficos'!$D$139:$D$173</c:f>
            </c:numRef>
          </c:val>
          <c:smooth val="0"/>
          <c:extLst>
            <c:ext xmlns:c16="http://schemas.microsoft.com/office/drawing/2014/chart" uri="{C3380CC4-5D6E-409C-BE32-E72D297353CC}">
              <c16:uniqueId val="{00000002-2382-4D70-8609-6EEAC5AFC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642528"/>
        <c:axId val="280643088"/>
      </c:lineChart>
      <c:catAx>
        <c:axId val="28064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43088"/>
        <c:crosses val="autoZero"/>
        <c:auto val="1"/>
        <c:lblAlgn val="ctr"/>
        <c:lblOffset val="100"/>
        <c:noMultiLvlLbl val="1"/>
      </c:catAx>
      <c:valAx>
        <c:axId val="280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06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DQO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Gráficos'!$E$139:$E$173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Gráficos'!$F$139:$F$173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Gráficos'!$G$139:$G$173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977152"/>
        <c:axId val="286977712"/>
      </c:lineChart>
      <c:catAx>
        <c:axId val="28697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77712"/>
        <c:crosses val="autoZero"/>
        <c:auto val="1"/>
        <c:lblAlgn val="ctr"/>
        <c:lblOffset val="100"/>
        <c:noMultiLvlLbl val="1"/>
      </c:catAx>
      <c:valAx>
        <c:axId val="2869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Fosforo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Gráficos'!$B$194:$B$228</c:f>
            </c:numRef>
          </c:val>
          <c:smooth val="0"/>
          <c:extLst>
            <c:ext xmlns:c16="http://schemas.microsoft.com/office/drawing/2014/chart" uri="{C3380CC4-5D6E-409C-BE32-E72D297353CC}">
              <c16:uniqueId val="{00000000-ED8B-49F9-996D-EA00DE769A01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Gráficos'!$C$194:$C$228</c:f>
            </c:numRef>
          </c:val>
          <c:smooth val="0"/>
          <c:extLst>
            <c:ext xmlns:c16="http://schemas.microsoft.com/office/drawing/2014/chart" uri="{C3380CC4-5D6E-409C-BE32-E72D297353CC}">
              <c16:uniqueId val="{00000001-ED8B-49F9-996D-EA00DE769A01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Gráficos'!$D$194:$D$228</c:f>
            </c:numRef>
          </c:val>
          <c:smooth val="0"/>
          <c:extLst>
            <c:ext xmlns:c16="http://schemas.microsoft.com/office/drawing/2014/chart" uri="{C3380CC4-5D6E-409C-BE32-E72D297353CC}">
              <c16:uniqueId val="{00000002-ED8B-49F9-996D-EA00DE769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981632"/>
        <c:axId val="286982192"/>
      </c:lineChart>
      <c:catAx>
        <c:axId val="2869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82192"/>
        <c:crosses val="autoZero"/>
        <c:auto val="1"/>
        <c:lblAlgn val="ctr"/>
        <c:lblOffset val="100"/>
        <c:noMultiLvlLbl val="1"/>
      </c:catAx>
      <c:valAx>
        <c:axId val="2869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8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Fosforo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Gráficos'!$E$194:$E$228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Gráficos'!$F$194:$F$228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Gráficos'!$G$194:$G$228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986112"/>
        <c:axId val="286986672"/>
      </c:lineChart>
      <c:catAx>
        <c:axId val="28698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86672"/>
        <c:crosses val="autoZero"/>
        <c:auto val="1"/>
        <c:lblAlgn val="ctr"/>
        <c:lblOffset val="100"/>
        <c:noMultiLvlLbl val="1"/>
      </c:catAx>
      <c:valAx>
        <c:axId val="2869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8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Gráficos'!$B$249:$B$283</c:f>
            </c:numRef>
          </c:val>
          <c:smooth val="0"/>
          <c:extLst>
            <c:ext xmlns:c16="http://schemas.microsoft.com/office/drawing/2014/chart" uri="{C3380CC4-5D6E-409C-BE32-E72D297353CC}">
              <c16:uniqueId val="{00000000-6A97-4643-97F5-AA1F913CE307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Gráficos'!$C$249:$C$283</c:f>
            </c:numRef>
          </c:val>
          <c:smooth val="0"/>
          <c:extLst>
            <c:ext xmlns:c16="http://schemas.microsoft.com/office/drawing/2014/chart" uri="{C3380CC4-5D6E-409C-BE32-E72D297353CC}">
              <c16:uniqueId val="{00000001-6A97-4643-97F5-AA1F913CE307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Gráficos'!$D$249:$D$283</c:f>
            </c:numRef>
          </c:val>
          <c:smooth val="0"/>
          <c:extLst>
            <c:ext xmlns:c16="http://schemas.microsoft.com/office/drawing/2014/chart" uri="{C3380CC4-5D6E-409C-BE32-E72D297353CC}">
              <c16:uniqueId val="{00000002-6A97-4643-97F5-AA1F913CE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990592"/>
        <c:axId val="286991152"/>
      </c:lineChart>
      <c:catAx>
        <c:axId val="28699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91152"/>
        <c:crosses val="autoZero"/>
        <c:auto val="1"/>
        <c:lblAlgn val="ctr"/>
        <c:lblOffset val="100"/>
        <c:noMultiLvlLbl val="1"/>
      </c:catAx>
      <c:valAx>
        <c:axId val="28699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mgN/l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9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Nitratos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Gráficos'!$E$249:$E$283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Gráficos'!$F$249:$F$283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Gráficos'!$G$249:$G$283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995072"/>
        <c:axId val="286995632"/>
      </c:lineChart>
      <c:catAx>
        <c:axId val="28699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95632"/>
        <c:crosses val="autoZero"/>
        <c:auto val="1"/>
        <c:lblAlgn val="ctr"/>
        <c:lblOffset val="100"/>
        <c:noMultiLvlLbl val="1"/>
      </c:catAx>
      <c:valAx>
        <c:axId val="2869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mgN/l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9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Nitritos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Gráficos'!$B$304:$B$338</c:f>
            </c:numRef>
          </c:val>
          <c:smooth val="0"/>
          <c:extLst>
            <c:ext xmlns:c16="http://schemas.microsoft.com/office/drawing/2014/chart" uri="{C3380CC4-5D6E-409C-BE32-E72D297353CC}">
              <c16:uniqueId val="{00000000-E566-46AF-834C-FCA70701994D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Gráficos'!$C$304:$C$338</c:f>
            </c:numRef>
          </c:val>
          <c:smooth val="0"/>
          <c:extLst>
            <c:ext xmlns:c16="http://schemas.microsoft.com/office/drawing/2014/chart" uri="{C3380CC4-5D6E-409C-BE32-E72D297353CC}">
              <c16:uniqueId val="{00000001-E566-46AF-834C-FCA70701994D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Gráficos'!$D$304:$D$338</c:f>
            </c:numRef>
          </c:val>
          <c:smooth val="0"/>
          <c:extLst>
            <c:ext xmlns:c16="http://schemas.microsoft.com/office/drawing/2014/chart" uri="{C3380CC4-5D6E-409C-BE32-E72D297353CC}">
              <c16:uniqueId val="{00000002-E566-46AF-834C-FCA707019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999552"/>
        <c:axId val="287000112"/>
      </c:lineChart>
      <c:catAx>
        <c:axId val="28699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000112"/>
        <c:crosses val="autoZero"/>
        <c:auto val="1"/>
        <c:lblAlgn val="ctr"/>
        <c:lblOffset val="100"/>
        <c:noMultiLvlLbl val="1"/>
      </c:catAx>
      <c:valAx>
        <c:axId val="2870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mgN/l</a:t>
                </a:r>
              </a:p>
            </c:rich>
          </c:tx>
          <c:layout>
            <c:manualLayout>
              <c:xMode val="edge"/>
              <c:yMode val="edge"/>
              <c:x val="2.7548209366391185E-2"/>
              <c:y val="0.38109037873606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699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Nitritos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Gráficos'!$E$304:$E$338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Gráficos'!$F$304:$F$338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Gráficos'!$G$304:$G$338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004032"/>
        <c:axId val="287004592"/>
      </c:lineChart>
      <c:catAx>
        <c:axId val="28700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004592"/>
        <c:crosses val="autoZero"/>
        <c:auto val="1"/>
        <c:lblAlgn val="ctr"/>
        <c:lblOffset val="100"/>
        <c:noMultiLvlLbl val="1"/>
      </c:catAx>
      <c:valAx>
        <c:axId val="2870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100" b="0" i="0" baseline="0">
                    <a:effectLst/>
                  </a:rPr>
                  <a:t>mgN/l</a:t>
                </a:r>
                <a:endParaRPr lang="es-EC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00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Gráficos'!$B$359:$B$393</c:f>
            </c:numRef>
          </c:val>
          <c:smooth val="0"/>
          <c:extLst>
            <c:ext xmlns:c16="http://schemas.microsoft.com/office/drawing/2014/chart" uri="{C3380CC4-5D6E-409C-BE32-E72D297353CC}">
              <c16:uniqueId val="{00000000-A24F-43C0-9093-0FB6A6EE2EBF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Gráficos'!$C$359:$C$393</c:f>
            </c:numRef>
          </c:val>
          <c:smooth val="0"/>
          <c:extLst>
            <c:ext xmlns:c16="http://schemas.microsoft.com/office/drawing/2014/chart" uri="{C3380CC4-5D6E-409C-BE32-E72D297353CC}">
              <c16:uniqueId val="{00000001-A24F-43C0-9093-0FB6A6EE2EBF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Gráficos'!$D$359:$D$393</c:f>
            </c:numRef>
          </c:val>
          <c:smooth val="0"/>
          <c:extLst>
            <c:ext xmlns:c16="http://schemas.microsoft.com/office/drawing/2014/chart" uri="{C3380CC4-5D6E-409C-BE32-E72D297353CC}">
              <c16:uniqueId val="{00000002-A24F-43C0-9093-0FB6A6EE2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008512"/>
        <c:axId val="287009072"/>
      </c:lineChart>
      <c:catAx>
        <c:axId val="28700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009072"/>
        <c:crosses val="autoZero"/>
        <c:auto val="1"/>
        <c:lblAlgn val="ctr"/>
        <c:lblOffset val="100"/>
        <c:noMultiLvlLbl val="1"/>
      </c:catAx>
      <c:valAx>
        <c:axId val="2870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0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Gráficos'!$E$359:$E$393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Gráficos'!$F$359:$F$393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Gráficos'!$G$359:$G$393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67184"/>
        <c:axId val="287867744"/>
      </c:lineChart>
      <c:catAx>
        <c:axId val="28786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67744"/>
        <c:crosses val="autoZero"/>
        <c:auto val="1"/>
        <c:lblAlgn val="ctr"/>
        <c:lblOffset val="100"/>
        <c:noMultiLvlLbl val="1"/>
      </c:catAx>
      <c:valAx>
        <c:axId val="2878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6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Sustancias solubles al hexano</a:t>
            </a:r>
          </a:p>
        </c:rich>
      </c:tx>
      <c:layout>
        <c:manualLayout>
          <c:xMode val="edge"/>
          <c:yMode val="edge"/>
          <c:x val="0.43639219684316327"/>
          <c:y val="2.2271714922048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Gráficos'!$B$414:$B$448</c:f>
            </c:numRef>
          </c:val>
          <c:smooth val="0"/>
          <c:extLst>
            <c:ext xmlns:c16="http://schemas.microsoft.com/office/drawing/2014/chart" uri="{C3380CC4-5D6E-409C-BE32-E72D297353CC}">
              <c16:uniqueId val="{00000000-C7E4-4069-9787-D77508B92009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Gráficos'!$C$414:$C$448</c:f>
            </c:numRef>
          </c:val>
          <c:smooth val="0"/>
          <c:extLst>
            <c:ext xmlns:c16="http://schemas.microsoft.com/office/drawing/2014/chart" uri="{C3380CC4-5D6E-409C-BE32-E72D297353CC}">
              <c16:uniqueId val="{00000001-C7E4-4069-9787-D77508B92009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Gráficos'!$D$414:$D$448</c:f>
            </c:numRef>
          </c:val>
          <c:smooth val="0"/>
          <c:extLst>
            <c:ext xmlns:c16="http://schemas.microsoft.com/office/drawing/2014/chart" uri="{C3380CC4-5D6E-409C-BE32-E72D297353CC}">
              <c16:uniqueId val="{00000002-C7E4-4069-9787-D77508B92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71664"/>
        <c:axId val="287872224"/>
      </c:lineChart>
      <c:catAx>
        <c:axId val="28787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72224"/>
        <c:crosses val="autoZero"/>
        <c:auto val="1"/>
        <c:lblAlgn val="ctr"/>
        <c:lblOffset val="100"/>
        <c:noMultiLvlLbl val="1"/>
      </c:catAx>
      <c:valAx>
        <c:axId val="2878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7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Sustancias solubles al hexano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Gráficos'!$E$414:$E$448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Gráficos'!$F$414:$F$448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Gráficos'!$G$414:$G$448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76144"/>
        <c:axId val="287876704"/>
      </c:lineChart>
      <c:catAx>
        <c:axId val="28787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76704"/>
        <c:crosses val="autoZero"/>
        <c:auto val="1"/>
        <c:lblAlgn val="ctr"/>
        <c:lblOffset val="100"/>
        <c:noMultiLvlLbl val="1"/>
      </c:catAx>
      <c:valAx>
        <c:axId val="28787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Aluminio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Gráficos'!$B$469:$B$503</c:f>
            </c:numRef>
          </c:val>
          <c:smooth val="0"/>
          <c:extLst>
            <c:ext xmlns:c16="http://schemas.microsoft.com/office/drawing/2014/chart" uri="{C3380CC4-5D6E-409C-BE32-E72D297353CC}">
              <c16:uniqueId val="{00000000-CBDD-4504-8660-0355F320F65D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Gráficos'!$C$469:$C$503</c:f>
            </c:numRef>
          </c:val>
          <c:smooth val="0"/>
          <c:extLst>
            <c:ext xmlns:c16="http://schemas.microsoft.com/office/drawing/2014/chart" uri="{C3380CC4-5D6E-409C-BE32-E72D297353CC}">
              <c16:uniqueId val="{00000001-CBDD-4504-8660-0355F320F65D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Gráficos'!$D$469:$D$503</c:f>
            </c:numRef>
          </c:val>
          <c:smooth val="0"/>
          <c:extLst>
            <c:ext xmlns:c16="http://schemas.microsoft.com/office/drawing/2014/chart" uri="{C3380CC4-5D6E-409C-BE32-E72D297353CC}">
              <c16:uniqueId val="{00000002-CBDD-4504-8660-0355F320F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80624"/>
        <c:axId val="287881184"/>
      </c:lineChart>
      <c:catAx>
        <c:axId val="2878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81184"/>
        <c:crosses val="autoZero"/>
        <c:auto val="1"/>
        <c:lblAlgn val="ctr"/>
        <c:lblOffset val="100"/>
        <c:noMultiLvlLbl val="1"/>
      </c:catAx>
      <c:valAx>
        <c:axId val="28788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Aluminio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Gráficos'!$E$469:$E$503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Gráficos'!$F$469:$F$503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Gráficos'!$G$469:$G$503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85104"/>
        <c:axId val="287885664"/>
      </c:lineChart>
      <c:catAx>
        <c:axId val="2878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85664"/>
        <c:crosses val="autoZero"/>
        <c:auto val="1"/>
        <c:lblAlgn val="ctr"/>
        <c:lblOffset val="100"/>
        <c:noMultiLvlLbl val="1"/>
      </c:catAx>
      <c:valAx>
        <c:axId val="28788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8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Cadmio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Gráficos'!$B$524:$B$558</c:f>
            </c:numRef>
          </c:val>
          <c:smooth val="0"/>
          <c:extLst>
            <c:ext xmlns:c16="http://schemas.microsoft.com/office/drawing/2014/chart" uri="{C3380CC4-5D6E-409C-BE32-E72D297353CC}">
              <c16:uniqueId val="{00000000-B7A2-4744-8F91-1B24C34B6D77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Gráficos'!$C$524:$C$558</c:f>
            </c:numRef>
          </c:val>
          <c:smooth val="0"/>
          <c:extLst>
            <c:ext xmlns:c16="http://schemas.microsoft.com/office/drawing/2014/chart" uri="{C3380CC4-5D6E-409C-BE32-E72D297353CC}">
              <c16:uniqueId val="{00000001-B7A2-4744-8F91-1B24C34B6D77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Gráficos'!$D$524:$D$558</c:f>
            </c:numRef>
          </c:val>
          <c:smooth val="0"/>
          <c:extLst>
            <c:ext xmlns:c16="http://schemas.microsoft.com/office/drawing/2014/chart" uri="{C3380CC4-5D6E-409C-BE32-E72D297353CC}">
              <c16:uniqueId val="{00000002-B7A2-4744-8F91-1B24C34B6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89584"/>
        <c:axId val="287890144"/>
      </c:lineChart>
      <c:catAx>
        <c:axId val="28788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90144"/>
        <c:crosses val="autoZero"/>
        <c:auto val="1"/>
        <c:lblAlgn val="ctr"/>
        <c:lblOffset val="100"/>
        <c:noMultiLvlLbl val="1"/>
      </c:catAx>
      <c:valAx>
        <c:axId val="2878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8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Cadmio</a:t>
            </a:r>
          </a:p>
        </c:rich>
      </c:tx>
      <c:layout>
        <c:manualLayout>
          <c:xMode val="edge"/>
          <c:yMode val="edge"/>
          <c:x val="0.40425261924904016"/>
          <c:y val="2.969561989606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Gráficos'!$E$524:$E$558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Gráficos'!$F$524:$F$558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Gráficos'!$G$524:$G$558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94064"/>
        <c:axId val="287894624"/>
      </c:lineChart>
      <c:catAx>
        <c:axId val="28789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94624"/>
        <c:crosses val="autoZero"/>
        <c:auto val="1"/>
        <c:lblAlgn val="ctr"/>
        <c:lblOffset val="100"/>
        <c:noMultiLvlLbl val="1"/>
      </c:catAx>
      <c:valAx>
        <c:axId val="2878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89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Cobre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 paul'!$B$13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 paul'!$A$579:$A$617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paul'!$B$579:$B$617</c:f>
              <c:numCache>
                <c:formatCode>0.00</c:formatCode>
                <c:ptCount val="39"/>
                <c:pt idx="0">
                  <c:v>30.9</c:v>
                </c:pt>
                <c:pt idx="1">
                  <c:v>6.3</c:v>
                </c:pt>
                <c:pt idx="2">
                  <c:v>22</c:v>
                </c:pt>
                <c:pt idx="3">
                  <c:v>4</c:v>
                </c:pt>
                <c:pt idx="5">
                  <c:v>12.4</c:v>
                </c:pt>
                <c:pt idx="6">
                  <c:v>9.6</c:v>
                </c:pt>
                <c:pt idx="7">
                  <c:v>7.4</c:v>
                </c:pt>
                <c:pt idx="8">
                  <c:v>18.5</c:v>
                </c:pt>
                <c:pt idx="9">
                  <c:v>37.5</c:v>
                </c:pt>
                <c:pt idx="10">
                  <c:v>4</c:v>
                </c:pt>
                <c:pt idx="11">
                  <c:v>45.5</c:v>
                </c:pt>
                <c:pt idx="12">
                  <c:v>10</c:v>
                </c:pt>
                <c:pt idx="13">
                  <c:v>10</c:v>
                </c:pt>
                <c:pt idx="14">
                  <c:v>18.3</c:v>
                </c:pt>
                <c:pt idx="15">
                  <c:v>13.4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12.3</c:v>
                </c:pt>
                <c:pt idx="22">
                  <c:v>12.9</c:v>
                </c:pt>
                <c:pt idx="23">
                  <c:v>10</c:v>
                </c:pt>
                <c:pt idx="24">
                  <c:v>11.8</c:v>
                </c:pt>
                <c:pt idx="25">
                  <c:v>10</c:v>
                </c:pt>
                <c:pt idx="26">
                  <c:v>11.6</c:v>
                </c:pt>
                <c:pt idx="27">
                  <c:v>19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23.837</c:v>
                </c:pt>
                <c:pt idx="32">
                  <c:v>14.343999999999999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28.995999999999999</c:v>
                </c:pt>
                <c:pt idx="37">
                  <c:v>19.701000000000001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7-49C2-8205-CFFD8DA8B637}"/>
            </c:ext>
          </c:extLst>
        </c:ser>
        <c:ser>
          <c:idx val="1"/>
          <c:order val="1"/>
          <c:tx>
            <c:strRef>
              <c:f>'P. Químicos Gráficos paul'!#REF!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 paul'!$A$579:$A$617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paul'!$D$579:$D$617</c:f>
              <c:numCache>
                <c:formatCode>0.00</c:formatCode>
                <c:ptCount val="39"/>
                <c:pt idx="0">
                  <c:v>20.7</c:v>
                </c:pt>
                <c:pt idx="1">
                  <c:v>6.4</c:v>
                </c:pt>
                <c:pt idx="2">
                  <c:v>24.4</c:v>
                </c:pt>
                <c:pt idx="3">
                  <c:v>4</c:v>
                </c:pt>
                <c:pt idx="5">
                  <c:v>12.7</c:v>
                </c:pt>
                <c:pt idx="6">
                  <c:v>8.5</c:v>
                </c:pt>
                <c:pt idx="7">
                  <c:v>6.2</c:v>
                </c:pt>
                <c:pt idx="8">
                  <c:v>16.8</c:v>
                </c:pt>
                <c:pt idx="9">
                  <c:v>20.8</c:v>
                </c:pt>
                <c:pt idx="10">
                  <c:v>4</c:v>
                </c:pt>
                <c:pt idx="11">
                  <c:v>57.6</c:v>
                </c:pt>
                <c:pt idx="12">
                  <c:v>10</c:v>
                </c:pt>
                <c:pt idx="13">
                  <c:v>10</c:v>
                </c:pt>
                <c:pt idx="14">
                  <c:v>10.3</c:v>
                </c:pt>
                <c:pt idx="15">
                  <c:v>12.3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10.1</c:v>
                </c:pt>
                <c:pt idx="22">
                  <c:v>13.2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18.7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34.496000000000002</c:v>
                </c:pt>
                <c:pt idx="32">
                  <c:v>14.244999999999999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17.390999999999998</c:v>
                </c:pt>
                <c:pt idx="37">
                  <c:v>16.577000000000002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F7-49C2-8205-CFFD8DA8B637}"/>
            </c:ext>
          </c:extLst>
        </c:ser>
        <c:ser>
          <c:idx val="2"/>
          <c:order val="2"/>
          <c:tx>
            <c:strRef>
              <c:f>'P. Químicos Gráficos paul'!$F$13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 paul'!$A$579:$A$617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paul'!$F$579:$F$617</c:f>
              <c:numCache>
                <c:formatCode>0.00</c:formatCode>
                <c:ptCount val="39"/>
                <c:pt idx="0">
                  <c:v>18.899999999999999</c:v>
                </c:pt>
                <c:pt idx="1">
                  <c:v>5.9</c:v>
                </c:pt>
                <c:pt idx="2">
                  <c:v>18.399999999999999</c:v>
                </c:pt>
                <c:pt idx="3">
                  <c:v>6.1</c:v>
                </c:pt>
                <c:pt idx="5">
                  <c:v>13.3</c:v>
                </c:pt>
                <c:pt idx="6">
                  <c:v>8.6</c:v>
                </c:pt>
                <c:pt idx="7">
                  <c:v>5.6</c:v>
                </c:pt>
                <c:pt idx="8">
                  <c:v>18.399999999999999</c:v>
                </c:pt>
                <c:pt idx="9">
                  <c:v>21</c:v>
                </c:pt>
                <c:pt idx="10">
                  <c:v>4</c:v>
                </c:pt>
                <c:pt idx="11">
                  <c:v>51.6</c:v>
                </c:pt>
                <c:pt idx="12">
                  <c:v>10</c:v>
                </c:pt>
                <c:pt idx="13">
                  <c:v>10</c:v>
                </c:pt>
                <c:pt idx="14">
                  <c:v>13.3</c:v>
                </c:pt>
                <c:pt idx="15">
                  <c:v>36.700000000000003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15.3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14.3</c:v>
                </c:pt>
                <c:pt idx="28">
                  <c:v>10</c:v>
                </c:pt>
                <c:pt idx="29">
                  <c:v>20</c:v>
                </c:pt>
                <c:pt idx="30">
                  <c:v>38.65</c:v>
                </c:pt>
                <c:pt idx="31">
                  <c:v>73.667000000000002</c:v>
                </c:pt>
                <c:pt idx="32">
                  <c:v>11.032999999999999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F7-49C2-8205-CFFD8DA8B637}"/>
            </c:ext>
          </c:extLst>
        </c:ser>
        <c:ser>
          <c:idx val="3"/>
          <c:order val="3"/>
          <c:tx>
            <c:strRef>
              <c:f>'P. Químicos Gráficos paul'!$G$563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 paul'!$A$579:$A$617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paul'!$G$579:$G$617</c:f>
              <c:numCache>
                <c:formatCode>0.00</c:formatCode>
                <c:ptCount val="39"/>
                <c:pt idx="0">
                  <c:v>28.2</c:v>
                </c:pt>
                <c:pt idx="1">
                  <c:v>6.2</c:v>
                </c:pt>
                <c:pt idx="2">
                  <c:v>22.5</c:v>
                </c:pt>
                <c:pt idx="3">
                  <c:v>11.9</c:v>
                </c:pt>
                <c:pt idx="5">
                  <c:v>10.8</c:v>
                </c:pt>
                <c:pt idx="6">
                  <c:v>49.9</c:v>
                </c:pt>
                <c:pt idx="7">
                  <c:v>12.9</c:v>
                </c:pt>
                <c:pt idx="8">
                  <c:v>20.9</c:v>
                </c:pt>
                <c:pt idx="9">
                  <c:v>28</c:v>
                </c:pt>
                <c:pt idx="10">
                  <c:v>4</c:v>
                </c:pt>
                <c:pt idx="11">
                  <c:v>68.5</c:v>
                </c:pt>
                <c:pt idx="12">
                  <c:v>24.2</c:v>
                </c:pt>
                <c:pt idx="13">
                  <c:v>96.7</c:v>
                </c:pt>
                <c:pt idx="14">
                  <c:v>77.099999999999994</c:v>
                </c:pt>
                <c:pt idx="15">
                  <c:v>28.9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17.2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14.4</c:v>
                </c:pt>
                <c:pt idx="27">
                  <c:v>21.8</c:v>
                </c:pt>
                <c:pt idx="28">
                  <c:v>10</c:v>
                </c:pt>
                <c:pt idx="29">
                  <c:v>20</c:v>
                </c:pt>
                <c:pt idx="31">
                  <c:v>32.395000000000003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5-447A-BEE9-A92C7B073C00}"/>
            </c:ext>
          </c:extLst>
        </c:ser>
        <c:ser>
          <c:idx val="4"/>
          <c:order val="4"/>
          <c:tx>
            <c:strRef>
              <c:f>'P. Químicos Gráficos paul'!$E$563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 paul'!$A$579:$A$617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paul'!$E$579:$E$617</c:f>
              <c:numCache>
                <c:formatCode>0.00</c:formatCode>
                <c:ptCount val="39"/>
                <c:pt idx="0">
                  <c:v>17.7</c:v>
                </c:pt>
                <c:pt idx="1">
                  <c:v>5.7</c:v>
                </c:pt>
                <c:pt idx="2">
                  <c:v>20.7</c:v>
                </c:pt>
                <c:pt idx="3">
                  <c:v>4</c:v>
                </c:pt>
                <c:pt idx="5">
                  <c:v>15.2</c:v>
                </c:pt>
                <c:pt idx="6">
                  <c:v>7.5</c:v>
                </c:pt>
                <c:pt idx="7">
                  <c:v>5.3</c:v>
                </c:pt>
                <c:pt idx="8">
                  <c:v>18.600000000000001</c:v>
                </c:pt>
                <c:pt idx="9">
                  <c:v>22.1</c:v>
                </c:pt>
                <c:pt idx="10">
                  <c:v>4</c:v>
                </c:pt>
                <c:pt idx="11">
                  <c:v>60</c:v>
                </c:pt>
                <c:pt idx="12">
                  <c:v>12.2</c:v>
                </c:pt>
                <c:pt idx="13">
                  <c:v>10</c:v>
                </c:pt>
                <c:pt idx="14">
                  <c:v>11.1</c:v>
                </c:pt>
                <c:pt idx="15">
                  <c:v>13.5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10.4</c:v>
                </c:pt>
                <c:pt idx="22">
                  <c:v>13.5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14.5</c:v>
                </c:pt>
                <c:pt idx="28">
                  <c:v>10</c:v>
                </c:pt>
                <c:pt idx="29">
                  <c:v>20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A5-447A-BEE9-A92C7B073C00}"/>
            </c:ext>
          </c:extLst>
        </c:ser>
        <c:ser>
          <c:idx val="5"/>
          <c:order val="5"/>
          <c:tx>
            <c:strRef>
              <c:f>'P. Químicos Gráficos paul'!$C$563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 paul'!$A$579:$A$617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paul'!$C$579:$C$617</c:f>
              <c:numCache>
                <c:formatCode>0.00</c:formatCode>
                <c:ptCount val="39"/>
                <c:pt idx="0">
                  <c:v>13.4</c:v>
                </c:pt>
                <c:pt idx="1">
                  <c:v>4.5</c:v>
                </c:pt>
                <c:pt idx="2">
                  <c:v>20.2</c:v>
                </c:pt>
                <c:pt idx="3">
                  <c:v>50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24.9</c:v>
                </c:pt>
                <c:pt idx="10">
                  <c:v>4</c:v>
                </c:pt>
                <c:pt idx="11">
                  <c:v>59.1</c:v>
                </c:pt>
                <c:pt idx="12">
                  <c:v>15.5</c:v>
                </c:pt>
                <c:pt idx="13">
                  <c:v>10</c:v>
                </c:pt>
                <c:pt idx="14">
                  <c:v>63.5</c:v>
                </c:pt>
                <c:pt idx="15">
                  <c:v>10</c:v>
                </c:pt>
                <c:pt idx="16">
                  <c:v>47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20</c:v>
                </c:pt>
                <c:pt idx="30">
                  <c:v>10</c:v>
                </c:pt>
                <c:pt idx="31">
                  <c:v>28.776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A5-447A-BEE9-A92C7B073C00}"/>
            </c:ext>
          </c:extLst>
        </c:ser>
        <c:ser>
          <c:idx val="6"/>
          <c:order val="6"/>
          <c:tx>
            <c:strRef>
              <c:f>'P. Químicos Gráficos paul'!$H$563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'P. Químicos Gráficos paul'!$H$564:$H$618</c:f>
              <c:numCache>
                <c:formatCode>0.00</c:formatCode>
                <c:ptCount val="5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A5-447A-BEE9-A92C7B073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776816"/>
        <c:axId val="287777376"/>
      </c:lineChart>
      <c:dateAx>
        <c:axId val="28777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777376"/>
        <c:crosses val="autoZero"/>
        <c:auto val="1"/>
        <c:lblOffset val="100"/>
        <c:baseTimeUnit val="months"/>
      </c:dateAx>
      <c:valAx>
        <c:axId val="2877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77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Cromo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Gráficos'!$B$639:$B$673</c:f>
            </c:numRef>
          </c:val>
          <c:smooth val="0"/>
          <c:extLst>
            <c:ext xmlns:c16="http://schemas.microsoft.com/office/drawing/2014/chart" uri="{C3380CC4-5D6E-409C-BE32-E72D297353CC}">
              <c16:uniqueId val="{00000000-7B28-4B72-9157-C2C759A12776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Gráficos'!$C$639:$C$673</c:f>
            </c:numRef>
          </c:val>
          <c:smooth val="0"/>
          <c:extLst>
            <c:ext xmlns:c16="http://schemas.microsoft.com/office/drawing/2014/chart" uri="{C3380CC4-5D6E-409C-BE32-E72D297353CC}">
              <c16:uniqueId val="{00000001-7B28-4B72-9157-C2C759A12776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Gráficos'!$D$639:$D$673</c:f>
            </c:numRef>
          </c:val>
          <c:smooth val="0"/>
          <c:extLst>
            <c:ext xmlns:c16="http://schemas.microsoft.com/office/drawing/2014/chart" uri="{C3380CC4-5D6E-409C-BE32-E72D297353CC}">
              <c16:uniqueId val="{00000002-7B28-4B72-9157-C2C759A12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781296"/>
        <c:axId val="287781856"/>
      </c:lineChart>
      <c:catAx>
        <c:axId val="28778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781856"/>
        <c:crosses val="autoZero"/>
        <c:auto val="1"/>
        <c:lblAlgn val="ctr"/>
        <c:lblOffset val="100"/>
        <c:noMultiLvlLbl val="1"/>
      </c:catAx>
      <c:valAx>
        <c:axId val="28778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layout>
            <c:manualLayout>
              <c:xMode val="edge"/>
              <c:yMode val="edge"/>
              <c:x val="2.0661157024793389E-2"/>
              <c:y val="0.373592234712309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7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Cromo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Gráficos'!$E$639:$E$673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Gráficos'!$F$639:$F$673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Gráficos'!$G$639:$G$673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785776"/>
        <c:axId val="287786336"/>
      </c:lineChart>
      <c:catAx>
        <c:axId val="28778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786336"/>
        <c:crosses val="autoZero"/>
        <c:auto val="1"/>
        <c:lblAlgn val="ctr"/>
        <c:lblOffset val="100"/>
        <c:noMultiLvlLbl val="1"/>
      </c:catAx>
      <c:valAx>
        <c:axId val="28778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778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Hierro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 paul'!$B$13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 paul'!$A$694:$A$732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paul'!$B$694:$B$732</c:f>
              <c:numCache>
                <c:formatCode>0.00</c:formatCode>
                <c:ptCount val="39"/>
                <c:pt idx="0">
                  <c:v>3.4319999999999999</c:v>
                </c:pt>
                <c:pt idx="1">
                  <c:v>0.28589999999999999</c:v>
                </c:pt>
                <c:pt idx="2">
                  <c:v>12.89</c:v>
                </c:pt>
                <c:pt idx="3">
                  <c:v>5.9269999999999996</c:v>
                </c:pt>
                <c:pt idx="4">
                  <c:v>1.9339999999999999</c:v>
                </c:pt>
                <c:pt idx="5">
                  <c:v>6.2557</c:v>
                </c:pt>
                <c:pt idx="6">
                  <c:v>6.6599999999999993E-2</c:v>
                </c:pt>
                <c:pt idx="7">
                  <c:v>0.40600000000000003</c:v>
                </c:pt>
                <c:pt idx="8">
                  <c:v>10.321299999999999</c:v>
                </c:pt>
                <c:pt idx="9">
                  <c:v>0.21480000000000002</c:v>
                </c:pt>
                <c:pt idx="10">
                  <c:v>0.129</c:v>
                </c:pt>
                <c:pt idx="11">
                  <c:v>2.8281000000000001</c:v>
                </c:pt>
                <c:pt idx="12">
                  <c:v>1.3640000000000001</c:v>
                </c:pt>
                <c:pt idx="13">
                  <c:v>0.216</c:v>
                </c:pt>
                <c:pt idx="14">
                  <c:v>2.6983000000000001</c:v>
                </c:pt>
                <c:pt idx="15">
                  <c:v>4.6486000000000001</c:v>
                </c:pt>
                <c:pt idx="16">
                  <c:v>1.7852999999999999</c:v>
                </c:pt>
                <c:pt idx="17">
                  <c:v>0.11309999999999999</c:v>
                </c:pt>
                <c:pt idx="18">
                  <c:v>2.4255</c:v>
                </c:pt>
                <c:pt idx="19">
                  <c:v>1.6247</c:v>
                </c:pt>
                <c:pt idx="20">
                  <c:v>0.4017</c:v>
                </c:pt>
                <c:pt idx="21">
                  <c:v>1.5862000000000001</c:v>
                </c:pt>
                <c:pt idx="22">
                  <c:v>6.6769999999999996</c:v>
                </c:pt>
                <c:pt idx="23">
                  <c:v>1.8622999999999998</c:v>
                </c:pt>
                <c:pt idx="24">
                  <c:v>0.34620000000000001</c:v>
                </c:pt>
                <c:pt idx="25">
                  <c:v>0.30510000000000004</c:v>
                </c:pt>
                <c:pt idx="26">
                  <c:v>1.4377</c:v>
                </c:pt>
                <c:pt idx="27">
                  <c:v>8.657</c:v>
                </c:pt>
                <c:pt idx="28">
                  <c:v>0.3417</c:v>
                </c:pt>
                <c:pt idx="29">
                  <c:v>0.5968</c:v>
                </c:pt>
                <c:pt idx="30">
                  <c:v>0.27599000000000001</c:v>
                </c:pt>
                <c:pt idx="31">
                  <c:v>13.7775</c:v>
                </c:pt>
                <c:pt idx="32">
                  <c:v>0.23155000000000001</c:v>
                </c:pt>
                <c:pt idx="33">
                  <c:v>2.4771999999999998</c:v>
                </c:pt>
                <c:pt idx="34">
                  <c:v>0.91464999999999996</c:v>
                </c:pt>
                <c:pt idx="35">
                  <c:v>0.22352</c:v>
                </c:pt>
                <c:pt idx="36">
                  <c:v>0.1452</c:v>
                </c:pt>
                <c:pt idx="37">
                  <c:v>9.7185000000000007E-2</c:v>
                </c:pt>
                <c:pt idx="38">
                  <c:v>0.12748999999999999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4-476D-96A4-76E3BC7F8204}"/>
            </c:ext>
          </c:extLst>
        </c:ser>
        <c:ser>
          <c:idx val="1"/>
          <c:order val="1"/>
          <c:tx>
            <c:strRef>
              <c:f>'P. Químicos Gráficos paul'!#REF!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 paul'!$A$694:$A$732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paul'!$D$694:$D$732</c:f>
              <c:numCache>
                <c:formatCode>0.00</c:formatCode>
                <c:ptCount val="39"/>
                <c:pt idx="0">
                  <c:v>3.1</c:v>
                </c:pt>
                <c:pt idx="1">
                  <c:v>0.30560000000000004</c:v>
                </c:pt>
                <c:pt idx="2">
                  <c:v>9.9220000000000006</c:v>
                </c:pt>
                <c:pt idx="3">
                  <c:v>8.3249999999999993</c:v>
                </c:pt>
                <c:pt idx="4">
                  <c:v>3.6179999999999999</c:v>
                </c:pt>
                <c:pt idx="5">
                  <c:v>5.8311000000000002</c:v>
                </c:pt>
                <c:pt idx="6">
                  <c:v>7.4799999999999991E-2</c:v>
                </c:pt>
                <c:pt idx="7">
                  <c:v>0.33739999999999998</c:v>
                </c:pt>
                <c:pt idx="8">
                  <c:v>9.4622000000000011</c:v>
                </c:pt>
                <c:pt idx="9">
                  <c:v>0.2137</c:v>
                </c:pt>
                <c:pt idx="10">
                  <c:v>1.23E-2</c:v>
                </c:pt>
                <c:pt idx="11">
                  <c:v>42.691000000000003</c:v>
                </c:pt>
                <c:pt idx="12">
                  <c:v>1.2925</c:v>
                </c:pt>
                <c:pt idx="13">
                  <c:v>0.2064</c:v>
                </c:pt>
                <c:pt idx="14">
                  <c:v>2.6532</c:v>
                </c:pt>
                <c:pt idx="15">
                  <c:v>4.7421000000000006</c:v>
                </c:pt>
                <c:pt idx="16">
                  <c:v>1.9734</c:v>
                </c:pt>
                <c:pt idx="17">
                  <c:v>0.2243</c:v>
                </c:pt>
                <c:pt idx="18">
                  <c:v>2.3319999999999999</c:v>
                </c:pt>
                <c:pt idx="19">
                  <c:v>1.5267999999999999</c:v>
                </c:pt>
                <c:pt idx="20">
                  <c:v>0.3372</c:v>
                </c:pt>
                <c:pt idx="21">
                  <c:v>1.2847999999999999</c:v>
                </c:pt>
                <c:pt idx="22">
                  <c:v>8.1234999999999999</c:v>
                </c:pt>
                <c:pt idx="23">
                  <c:v>1.9129</c:v>
                </c:pt>
                <c:pt idx="24">
                  <c:v>0.32780000000000004</c:v>
                </c:pt>
                <c:pt idx="25">
                  <c:v>0.1845</c:v>
                </c:pt>
                <c:pt idx="26">
                  <c:v>1.2892000000000001</c:v>
                </c:pt>
                <c:pt idx="27">
                  <c:v>8.3666</c:v>
                </c:pt>
                <c:pt idx="28">
                  <c:v>0.29599999999999999</c:v>
                </c:pt>
                <c:pt idx="29">
                  <c:v>0.8478</c:v>
                </c:pt>
                <c:pt idx="30">
                  <c:v>0.32119999999999999</c:v>
                </c:pt>
                <c:pt idx="31">
                  <c:v>14.2835</c:v>
                </c:pt>
                <c:pt idx="32">
                  <c:v>0.23683000000000001</c:v>
                </c:pt>
                <c:pt idx="33">
                  <c:v>2.5684999999999998</c:v>
                </c:pt>
                <c:pt idx="34">
                  <c:v>1.012</c:v>
                </c:pt>
                <c:pt idx="35">
                  <c:v>0.24793999999999999</c:v>
                </c:pt>
                <c:pt idx="36">
                  <c:v>0.11517000000000001</c:v>
                </c:pt>
                <c:pt idx="37">
                  <c:v>0.10959300000000001</c:v>
                </c:pt>
                <c:pt idx="38">
                  <c:v>0.23605999999999999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4-476D-96A4-76E3BC7F8204}"/>
            </c:ext>
          </c:extLst>
        </c:ser>
        <c:ser>
          <c:idx val="2"/>
          <c:order val="2"/>
          <c:tx>
            <c:strRef>
              <c:f>'P. Químicos Gráficos paul'!$F$13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 paul'!$A$694:$A$732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paul'!$F$694:$F$732</c:f>
              <c:numCache>
                <c:formatCode>0.00</c:formatCode>
                <c:ptCount val="39"/>
                <c:pt idx="0">
                  <c:v>4.1950000000000003</c:v>
                </c:pt>
                <c:pt idx="1">
                  <c:v>0.307</c:v>
                </c:pt>
                <c:pt idx="2">
                  <c:v>11.72</c:v>
                </c:pt>
                <c:pt idx="3">
                  <c:v>14.58</c:v>
                </c:pt>
                <c:pt idx="5">
                  <c:v>7.3677999999999999</c:v>
                </c:pt>
                <c:pt idx="6">
                  <c:v>0.10540000000000001</c:v>
                </c:pt>
                <c:pt idx="7">
                  <c:v>0.36889999999999995</c:v>
                </c:pt>
                <c:pt idx="8">
                  <c:v>8.8902000000000001</c:v>
                </c:pt>
                <c:pt idx="9">
                  <c:v>0.27489999999999998</c:v>
                </c:pt>
                <c:pt idx="10">
                  <c:v>6.9000000000000006E-2</c:v>
                </c:pt>
                <c:pt idx="11">
                  <c:v>35.576000000000001</c:v>
                </c:pt>
                <c:pt idx="12">
                  <c:v>1.43</c:v>
                </c:pt>
                <c:pt idx="13">
                  <c:v>0.18630000000000002</c:v>
                </c:pt>
                <c:pt idx="14">
                  <c:v>3.4980000000000002</c:v>
                </c:pt>
                <c:pt idx="15">
                  <c:v>9.9099000000000004</c:v>
                </c:pt>
                <c:pt idx="16">
                  <c:v>1.903</c:v>
                </c:pt>
                <c:pt idx="17">
                  <c:v>0.24309999999999998</c:v>
                </c:pt>
                <c:pt idx="18">
                  <c:v>2.4497</c:v>
                </c:pt>
                <c:pt idx="19">
                  <c:v>1.4883</c:v>
                </c:pt>
                <c:pt idx="20">
                  <c:v>0.31869999999999998</c:v>
                </c:pt>
                <c:pt idx="21">
                  <c:v>1.1814</c:v>
                </c:pt>
                <c:pt idx="22">
                  <c:v>10.813000000000001</c:v>
                </c:pt>
                <c:pt idx="23">
                  <c:v>1.6687000000000001</c:v>
                </c:pt>
                <c:pt idx="24">
                  <c:v>0.28039999999999998</c:v>
                </c:pt>
                <c:pt idx="25">
                  <c:v>0.17580000000000001</c:v>
                </c:pt>
                <c:pt idx="26">
                  <c:v>1.4399000000000002</c:v>
                </c:pt>
                <c:pt idx="27">
                  <c:v>8.3963000000000001</c:v>
                </c:pt>
                <c:pt idx="28">
                  <c:v>7.0599999999999996E-2</c:v>
                </c:pt>
                <c:pt idx="29">
                  <c:v>0.51019999999999999</c:v>
                </c:pt>
                <c:pt idx="30">
                  <c:v>0.84248999999999996</c:v>
                </c:pt>
                <c:pt idx="31">
                  <c:v>12.881</c:v>
                </c:pt>
                <c:pt idx="32">
                  <c:v>0.32544000000000001</c:v>
                </c:pt>
                <c:pt idx="33">
                  <c:v>2.6619999999999999</c:v>
                </c:pt>
                <c:pt idx="34">
                  <c:v>0.85117999999999994</c:v>
                </c:pt>
                <c:pt idx="35">
                  <c:v>0.18809999999999999</c:v>
                </c:pt>
                <c:pt idx="38">
                  <c:v>0.15059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A4-476D-96A4-76E3BC7F8204}"/>
            </c:ext>
          </c:extLst>
        </c:ser>
        <c:ser>
          <c:idx val="3"/>
          <c:order val="3"/>
          <c:tx>
            <c:strRef>
              <c:f>'P. Químicos Gráficos paul'!$G$678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 paul'!$A$694:$A$732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paul'!$G$694:$G$732</c:f>
              <c:numCache>
                <c:formatCode>0.00</c:formatCode>
                <c:ptCount val="39"/>
                <c:pt idx="0">
                  <c:v>9.8030000000000008</c:v>
                </c:pt>
                <c:pt idx="1">
                  <c:v>0.2601</c:v>
                </c:pt>
                <c:pt idx="2">
                  <c:v>13.19</c:v>
                </c:pt>
                <c:pt idx="3">
                  <c:v>20.03</c:v>
                </c:pt>
                <c:pt idx="4">
                  <c:v>8.0470000000000006</c:v>
                </c:pt>
                <c:pt idx="5">
                  <c:v>5.0853000000000002</c:v>
                </c:pt>
                <c:pt idx="6">
                  <c:v>5.4799999999999995E-2</c:v>
                </c:pt>
                <c:pt idx="7">
                  <c:v>0.60829999999999995</c:v>
                </c:pt>
                <c:pt idx="8">
                  <c:v>11.957000000000001</c:v>
                </c:pt>
                <c:pt idx="9">
                  <c:v>2.3727</c:v>
                </c:pt>
                <c:pt idx="10">
                  <c:v>9.01E-2</c:v>
                </c:pt>
                <c:pt idx="11">
                  <c:v>56.341999999999999</c:v>
                </c:pt>
                <c:pt idx="12">
                  <c:v>4.1063000000000001</c:v>
                </c:pt>
                <c:pt idx="13">
                  <c:v>0.3054</c:v>
                </c:pt>
                <c:pt idx="14">
                  <c:v>51.557000000000002</c:v>
                </c:pt>
                <c:pt idx="15">
                  <c:v>21.042999999999999</c:v>
                </c:pt>
                <c:pt idx="16">
                  <c:v>1.3112000000000001</c:v>
                </c:pt>
                <c:pt idx="17">
                  <c:v>0.19750000000000001</c:v>
                </c:pt>
                <c:pt idx="18">
                  <c:v>2.4893000000000001</c:v>
                </c:pt>
                <c:pt idx="19">
                  <c:v>2.3353000000000002</c:v>
                </c:pt>
                <c:pt idx="20">
                  <c:v>0.40720000000000001</c:v>
                </c:pt>
                <c:pt idx="21">
                  <c:v>0.88009999999999999</c:v>
                </c:pt>
                <c:pt idx="22">
                  <c:v>11.308</c:v>
                </c:pt>
                <c:pt idx="23">
                  <c:v>2.5278</c:v>
                </c:pt>
                <c:pt idx="24">
                  <c:v>0.19069999999999998</c:v>
                </c:pt>
                <c:pt idx="25">
                  <c:v>0.30610000000000004</c:v>
                </c:pt>
                <c:pt idx="26">
                  <c:v>1.5554000000000001</c:v>
                </c:pt>
                <c:pt idx="27">
                  <c:v>13.079000000000001</c:v>
                </c:pt>
                <c:pt idx="28">
                  <c:v>8.14E-2</c:v>
                </c:pt>
                <c:pt idx="29">
                  <c:v>0.72170000000000001</c:v>
                </c:pt>
                <c:pt idx="31">
                  <c:v>13.893000000000001</c:v>
                </c:pt>
                <c:pt idx="32">
                  <c:v>0.13365000000000002</c:v>
                </c:pt>
                <c:pt idx="33">
                  <c:v>4.0216000000000003</c:v>
                </c:pt>
                <c:pt idx="34">
                  <c:v>1.4212</c:v>
                </c:pt>
                <c:pt idx="35">
                  <c:v>0.29743999999999998</c:v>
                </c:pt>
                <c:pt idx="38">
                  <c:v>0.51655999999999991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4-4218-961F-7696696B9CDE}"/>
            </c:ext>
          </c:extLst>
        </c:ser>
        <c:ser>
          <c:idx val="4"/>
          <c:order val="4"/>
          <c:tx>
            <c:strRef>
              <c:f>'P. Químicos Gráficos paul'!$E$678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 paul'!$A$694:$A$732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paul'!$E$694:$E$732</c:f>
              <c:numCache>
                <c:formatCode>0.00</c:formatCode>
                <c:ptCount val="39"/>
                <c:pt idx="0">
                  <c:v>5.0019999999999998</c:v>
                </c:pt>
                <c:pt idx="1">
                  <c:v>0.28799999999999998</c:v>
                </c:pt>
                <c:pt idx="2">
                  <c:v>13.5</c:v>
                </c:pt>
                <c:pt idx="3">
                  <c:v>8.9920000000000009</c:v>
                </c:pt>
                <c:pt idx="4">
                  <c:v>4.5759999999999996</c:v>
                </c:pt>
                <c:pt idx="5">
                  <c:v>5.9565000000000001</c:v>
                </c:pt>
                <c:pt idx="6">
                  <c:v>0.1004</c:v>
                </c:pt>
                <c:pt idx="7">
                  <c:v>0.41339999999999999</c:v>
                </c:pt>
                <c:pt idx="8">
                  <c:v>10.5336</c:v>
                </c:pt>
                <c:pt idx="9">
                  <c:v>0.22950000000000001</c:v>
                </c:pt>
                <c:pt idx="10">
                  <c:v>0.2427</c:v>
                </c:pt>
                <c:pt idx="11">
                  <c:v>50.170999999999999</c:v>
                </c:pt>
                <c:pt idx="12">
                  <c:v>2.2363000000000004</c:v>
                </c:pt>
                <c:pt idx="13">
                  <c:v>0.69729999999999992</c:v>
                </c:pt>
                <c:pt idx="14">
                  <c:v>5.1281999999999996</c:v>
                </c:pt>
                <c:pt idx="15">
                  <c:v>7.7593999999999994</c:v>
                </c:pt>
                <c:pt idx="16">
                  <c:v>2.0394000000000001</c:v>
                </c:pt>
                <c:pt idx="17">
                  <c:v>0.21959999999999999</c:v>
                </c:pt>
                <c:pt idx="18">
                  <c:v>2.3683000000000001</c:v>
                </c:pt>
                <c:pt idx="19">
                  <c:v>1.6235999999999999</c:v>
                </c:pt>
                <c:pt idx="20">
                  <c:v>0.40379999999999999</c:v>
                </c:pt>
                <c:pt idx="21">
                  <c:v>1.4718</c:v>
                </c:pt>
                <c:pt idx="22">
                  <c:v>8.6757000000000009</c:v>
                </c:pt>
                <c:pt idx="23">
                  <c:v>0.25380000000000003</c:v>
                </c:pt>
                <c:pt idx="24">
                  <c:v>0.1628</c:v>
                </c:pt>
                <c:pt idx="25">
                  <c:v>0.26519999999999999</c:v>
                </c:pt>
                <c:pt idx="26">
                  <c:v>1.4365999999999999</c:v>
                </c:pt>
                <c:pt idx="27">
                  <c:v>9.0100999999999996</c:v>
                </c:pt>
                <c:pt idx="28">
                  <c:v>9.3400000000000011E-2</c:v>
                </c:pt>
                <c:pt idx="29">
                  <c:v>0.7611</c:v>
                </c:pt>
                <c:pt idx="30">
                  <c:v>0.1991</c:v>
                </c:pt>
                <c:pt idx="31">
                  <c:v>0.20482</c:v>
                </c:pt>
                <c:pt idx="32">
                  <c:v>0.18480000000000002</c:v>
                </c:pt>
                <c:pt idx="33">
                  <c:v>2.5871999999999997</c:v>
                </c:pt>
                <c:pt idx="34">
                  <c:v>0.92257</c:v>
                </c:pt>
                <c:pt idx="35">
                  <c:v>0.23441000000000001</c:v>
                </c:pt>
                <c:pt idx="38">
                  <c:v>0.42998999999999998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4-4218-961F-7696696B9CDE}"/>
            </c:ext>
          </c:extLst>
        </c:ser>
        <c:ser>
          <c:idx val="5"/>
          <c:order val="5"/>
          <c:tx>
            <c:strRef>
              <c:f>'P. Químicos Gráficos paul'!$C$678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 paul'!$A$694:$A$732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paul'!$C$694:$C$732</c:f>
              <c:numCache>
                <c:formatCode>0.00</c:formatCode>
                <c:ptCount val="39"/>
                <c:pt idx="0">
                  <c:v>2.1059999999999999</c:v>
                </c:pt>
                <c:pt idx="1">
                  <c:v>7.7799999999999994E-2</c:v>
                </c:pt>
                <c:pt idx="2">
                  <c:v>0.72650000000000003</c:v>
                </c:pt>
                <c:pt idx="3">
                  <c:v>13.21</c:v>
                </c:pt>
                <c:pt idx="4">
                  <c:v>0.1618</c:v>
                </c:pt>
                <c:pt idx="5">
                  <c:v>0.26</c:v>
                </c:pt>
                <c:pt idx="6">
                  <c:v>0.32219999999999999</c:v>
                </c:pt>
                <c:pt idx="7">
                  <c:v>0.19800000000000001</c:v>
                </c:pt>
                <c:pt idx="8">
                  <c:v>0.159</c:v>
                </c:pt>
                <c:pt idx="9">
                  <c:v>0.1009</c:v>
                </c:pt>
                <c:pt idx="10">
                  <c:v>2.6199999999999998E-2</c:v>
                </c:pt>
                <c:pt idx="11">
                  <c:v>47.750999999999998</c:v>
                </c:pt>
                <c:pt idx="12">
                  <c:v>1.8942000000000001</c:v>
                </c:pt>
                <c:pt idx="13">
                  <c:v>0.13090000000000002</c:v>
                </c:pt>
                <c:pt idx="14">
                  <c:v>44.55</c:v>
                </c:pt>
                <c:pt idx="15">
                  <c:v>5.0886000000000005</c:v>
                </c:pt>
                <c:pt idx="16">
                  <c:v>0.84899999999999998</c:v>
                </c:pt>
                <c:pt idx="19">
                  <c:v>0.21130000000000002</c:v>
                </c:pt>
                <c:pt idx="20">
                  <c:v>8.0099999999999991E-2</c:v>
                </c:pt>
                <c:pt idx="21">
                  <c:v>0.39339999999999997</c:v>
                </c:pt>
                <c:pt idx="22">
                  <c:v>0.40329999999999999</c:v>
                </c:pt>
                <c:pt idx="23">
                  <c:v>0.61150000000000004</c:v>
                </c:pt>
                <c:pt idx="24">
                  <c:v>0.33260000000000001</c:v>
                </c:pt>
                <c:pt idx="25">
                  <c:v>0.1918</c:v>
                </c:pt>
                <c:pt idx="26">
                  <c:v>0.48260000000000003</c:v>
                </c:pt>
                <c:pt idx="27">
                  <c:v>1.155</c:v>
                </c:pt>
                <c:pt idx="28">
                  <c:v>0.10100000000000001</c:v>
                </c:pt>
                <c:pt idx="29">
                  <c:v>6.6299999999999998E-2</c:v>
                </c:pt>
                <c:pt idx="30">
                  <c:v>0.12265000000000001</c:v>
                </c:pt>
                <c:pt idx="31">
                  <c:v>14.470499999999999</c:v>
                </c:pt>
                <c:pt idx="32">
                  <c:v>1.6180999999999999</c:v>
                </c:pt>
                <c:pt idx="33">
                  <c:v>0.35188999999999998</c:v>
                </c:pt>
                <c:pt idx="34">
                  <c:v>0.15411000000000002</c:v>
                </c:pt>
                <c:pt idx="35">
                  <c:v>0.99285999999999996</c:v>
                </c:pt>
                <c:pt idx="38">
                  <c:v>1.1495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4-4218-961F-7696696B9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079664"/>
        <c:axId val="289080224"/>
      </c:lineChart>
      <c:dateAx>
        <c:axId val="28907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80224"/>
        <c:crosses val="autoZero"/>
        <c:auto val="1"/>
        <c:lblOffset val="100"/>
        <c:baseTimeUnit val="days"/>
      </c:dateAx>
      <c:valAx>
        <c:axId val="2890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7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Manganeso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 paul'!$B$13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 paul'!$A$754:$A$792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paul'!$B$754:$B$792</c:f>
              <c:numCache>
                <c:formatCode>0.000</c:formatCode>
                <c:ptCount val="39"/>
                <c:pt idx="0">
                  <c:v>6.0100000000000001E-2</c:v>
                </c:pt>
                <c:pt idx="1">
                  <c:v>2.0899999999999998E-2</c:v>
                </c:pt>
                <c:pt idx="2">
                  <c:v>0.1217</c:v>
                </c:pt>
                <c:pt idx="4">
                  <c:v>3.1399999999999997E-2</c:v>
                </c:pt>
                <c:pt idx="6">
                  <c:v>3.7100000000000001E-2</c:v>
                </c:pt>
                <c:pt idx="8">
                  <c:v>0.20480000000000001</c:v>
                </c:pt>
                <c:pt idx="10">
                  <c:v>2.7100000000000003E-2</c:v>
                </c:pt>
                <c:pt idx="12">
                  <c:v>4.7100000000000003E-2</c:v>
                </c:pt>
                <c:pt idx="15">
                  <c:v>8.3799999999999999E-2</c:v>
                </c:pt>
                <c:pt idx="17">
                  <c:v>2.8799999999999999E-2</c:v>
                </c:pt>
                <c:pt idx="19">
                  <c:v>5.1200000000000002E-2</c:v>
                </c:pt>
                <c:pt idx="20">
                  <c:v>2.1600000000000001E-2</c:v>
                </c:pt>
                <c:pt idx="21">
                  <c:v>5.3200000000000004E-2</c:v>
                </c:pt>
                <c:pt idx="22">
                  <c:v>0.3533</c:v>
                </c:pt>
                <c:pt idx="23">
                  <c:v>8.2000000000000003E-2</c:v>
                </c:pt>
                <c:pt idx="24">
                  <c:v>2.6199999999999998E-2</c:v>
                </c:pt>
                <c:pt idx="25">
                  <c:v>3.2799999999999996E-2</c:v>
                </c:pt>
                <c:pt idx="26">
                  <c:v>7.8799999999999995E-2</c:v>
                </c:pt>
                <c:pt idx="27">
                  <c:v>0.25869999999999999</c:v>
                </c:pt>
                <c:pt idx="28">
                  <c:v>3.78E-2</c:v>
                </c:pt>
                <c:pt idx="29">
                  <c:v>9.3799999999999994E-2</c:v>
                </c:pt>
                <c:pt idx="30">
                  <c:v>6.787E-2</c:v>
                </c:pt>
                <c:pt idx="31">
                  <c:v>0.22516999999999998</c:v>
                </c:pt>
                <c:pt idx="32">
                  <c:v>1.8106000000000001E-2</c:v>
                </c:pt>
                <c:pt idx="33">
                  <c:v>5.1864E-2</c:v>
                </c:pt>
                <c:pt idx="34">
                  <c:v>5.0798000000000003E-2</c:v>
                </c:pt>
                <c:pt idx="35">
                  <c:v>3.2149999999999998E-2</c:v>
                </c:pt>
                <c:pt idx="36">
                  <c:v>2.4958999999999999E-2</c:v>
                </c:pt>
                <c:pt idx="37">
                  <c:v>2.7511000000000001E-2</c:v>
                </c:pt>
                <c:pt idx="38">
                  <c:v>3.8420000000000003E-2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D3-4324-965D-0A3D082E5D18}"/>
            </c:ext>
          </c:extLst>
        </c:ser>
        <c:ser>
          <c:idx val="1"/>
          <c:order val="1"/>
          <c:tx>
            <c:strRef>
              <c:f>'P. Químicos Gráficos paul'!#REF!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 paul'!$A$754:$A$792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paul'!$D$754:$D$792</c:f>
              <c:numCache>
                <c:formatCode>0.000</c:formatCode>
                <c:ptCount val="39"/>
                <c:pt idx="0">
                  <c:v>6.5599999999999992E-2</c:v>
                </c:pt>
                <c:pt idx="1">
                  <c:v>5.1999999999999998E-2</c:v>
                </c:pt>
                <c:pt idx="2">
                  <c:v>0.1133</c:v>
                </c:pt>
                <c:pt idx="4">
                  <c:v>0.114</c:v>
                </c:pt>
                <c:pt idx="6">
                  <c:v>8.3400000000000002E-2</c:v>
                </c:pt>
                <c:pt idx="8">
                  <c:v>0.2001</c:v>
                </c:pt>
                <c:pt idx="10">
                  <c:v>5.6000000000000001E-2</c:v>
                </c:pt>
                <c:pt idx="12">
                  <c:v>7.3599999999999999E-2</c:v>
                </c:pt>
                <c:pt idx="15">
                  <c:v>9.1400000000000009E-2</c:v>
                </c:pt>
                <c:pt idx="17">
                  <c:v>7.3499999999999996E-2</c:v>
                </c:pt>
                <c:pt idx="19">
                  <c:v>5.28E-2</c:v>
                </c:pt>
                <c:pt idx="20">
                  <c:v>2.9899999999999999E-2</c:v>
                </c:pt>
                <c:pt idx="21">
                  <c:v>9.2599999999999988E-2</c:v>
                </c:pt>
                <c:pt idx="22">
                  <c:v>0.34229999999999999</c:v>
                </c:pt>
                <c:pt idx="23">
                  <c:v>0.10590000000000001</c:v>
                </c:pt>
                <c:pt idx="24">
                  <c:v>4.6600000000000003E-2</c:v>
                </c:pt>
                <c:pt idx="25">
                  <c:v>0.1009</c:v>
                </c:pt>
                <c:pt idx="26">
                  <c:v>0.1144</c:v>
                </c:pt>
                <c:pt idx="27">
                  <c:v>0.26319999999999999</c:v>
                </c:pt>
                <c:pt idx="28">
                  <c:v>3.6600000000000001E-2</c:v>
                </c:pt>
                <c:pt idx="29">
                  <c:v>0.2344</c:v>
                </c:pt>
                <c:pt idx="30">
                  <c:v>0.10969</c:v>
                </c:pt>
                <c:pt idx="31">
                  <c:v>0.26069999999999999</c:v>
                </c:pt>
                <c:pt idx="32">
                  <c:v>3.1229E-2</c:v>
                </c:pt>
                <c:pt idx="33">
                  <c:v>7.3436000000000001E-2</c:v>
                </c:pt>
                <c:pt idx="34">
                  <c:v>7.5801000000000007E-2</c:v>
                </c:pt>
                <c:pt idx="35">
                  <c:v>6.2590000000000007E-2</c:v>
                </c:pt>
                <c:pt idx="36">
                  <c:v>5.3613999999999995E-2</c:v>
                </c:pt>
                <c:pt idx="37">
                  <c:v>7.1499999999999994E-2</c:v>
                </c:pt>
                <c:pt idx="38">
                  <c:v>0.15972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D3-4324-965D-0A3D082E5D18}"/>
            </c:ext>
          </c:extLst>
        </c:ser>
        <c:ser>
          <c:idx val="2"/>
          <c:order val="2"/>
          <c:tx>
            <c:strRef>
              <c:f>'P. Químicos Gráficos paul'!$F$13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 paul'!$A$754:$A$792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paul'!$F$754:$F$792</c:f>
              <c:numCache>
                <c:formatCode>0.000</c:formatCode>
                <c:ptCount val="39"/>
                <c:pt idx="0">
                  <c:v>6.9800000000000001E-2</c:v>
                </c:pt>
                <c:pt idx="1">
                  <c:v>4.4600000000000001E-2</c:v>
                </c:pt>
                <c:pt idx="2">
                  <c:v>0.1166</c:v>
                </c:pt>
                <c:pt idx="6">
                  <c:v>3.3000000000000002E-2</c:v>
                </c:pt>
                <c:pt idx="8">
                  <c:v>0.1835</c:v>
                </c:pt>
                <c:pt idx="10">
                  <c:v>1.03E-2</c:v>
                </c:pt>
                <c:pt idx="12">
                  <c:v>5.8400000000000001E-2</c:v>
                </c:pt>
                <c:pt idx="15">
                  <c:v>0.1527</c:v>
                </c:pt>
                <c:pt idx="17">
                  <c:v>4.99E-2</c:v>
                </c:pt>
                <c:pt idx="19">
                  <c:v>4.4400000000000002E-2</c:v>
                </c:pt>
                <c:pt idx="20">
                  <c:v>2.2699999999999998E-2</c:v>
                </c:pt>
                <c:pt idx="21">
                  <c:v>7.2999999999999995E-2</c:v>
                </c:pt>
                <c:pt idx="22">
                  <c:v>0.35270000000000001</c:v>
                </c:pt>
                <c:pt idx="23">
                  <c:v>9.4900000000000012E-2</c:v>
                </c:pt>
                <c:pt idx="24">
                  <c:v>3.5799999999999998E-2</c:v>
                </c:pt>
                <c:pt idx="25">
                  <c:v>3.85E-2</c:v>
                </c:pt>
                <c:pt idx="26">
                  <c:v>0.1462</c:v>
                </c:pt>
                <c:pt idx="27">
                  <c:v>0.2442</c:v>
                </c:pt>
                <c:pt idx="28">
                  <c:v>2.1600000000000001E-2</c:v>
                </c:pt>
                <c:pt idx="29">
                  <c:v>8.6699999999999999E-2</c:v>
                </c:pt>
                <c:pt idx="30">
                  <c:v>6.2329999999999997E-2</c:v>
                </c:pt>
                <c:pt idx="31">
                  <c:v>0.22253000000000001</c:v>
                </c:pt>
                <c:pt idx="32">
                  <c:v>4.3064999999999999E-2</c:v>
                </c:pt>
                <c:pt idx="33">
                  <c:v>7.1400999999999992E-2</c:v>
                </c:pt>
                <c:pt idx="34">
                  <c:v>5.9950000000000003E-2</c:v>
                </c:pt>
                <c:pt idx="35">
                  <c:v>2.4930000000000001E-2</c:v>
                </c:pt>
                <c:pt idx="38">
                  <c:v>2.0129999999999999E-2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D3-4324-965D-0A3D082E5D18}"/>
            </c:ext>
          </c:extLst>
        </c:ser>
        <c:ser>
          <c:idx val="3"/>
          <c:order val="3"/>
          <c:tx>
            <c:strRef>
              <c:f>'P. Químicos Gráficos paul'!$G$738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 paul'!$A$754:$A$792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paul'!$G$754:$G$792</c:f>
              <c:numCache>
                <c:formatCode>0.000</c:formatCode>
                <c:ptCount val="39"/>
                <c:pt idx="0">
                  <c:v>0.16619999999999999</c:v>
                </c:pt>
                <c:pt idx="1">
                  <c:v>3.4500000000000003E-2</c:v>
                </c:pt>
                <c:pt idx="2">
                  <c:v>0.15569999999999998</c:v>
                </c:pt>
                <c:pt idx="4">
                  <c:v>0.15919999999999998</c:v>
                </c:pt>
                <c:pt idx="6">
                  <c:v>7.4999999999999997E-3</c:v>
                </c:pt>
                <c:pt idx="8">
                  <c:v>0.2044</c:v>
                </c:pt>
                <c:pt idx="10">
                  <c:v>8.3000000000000001E-3</c:v>
                </c:pt>
                <c:pt idx="12">
                  <c:v>0.1565</c:v>
                </c:pt>
                <c:pt idx="15">
                  <c:v>0.30530000000000002</c:v>
                </c:pt>
                <c:pt idx="17">
                  <c:v>4.41E-2</c:v>
                </c:pt>
                <c:pt idx="19">
                  <c:v>7.4999999999999997E-2</c:v>
                </c:pt>
                <c:pt idx="20">
                  <c:v>3.2100000000000004E-2</c:v>
                </c:pt>
                <c:pt idx="21">
                  <c:v>5.4450000000000005E-2</c:v>
                </c:pt>
                <c:pt idx="22">
                  <c:v>0.4365</c:v>
                </c:pt>
                <c:pt idx="23">
                  <c:v>0.1052</c:v>
                </c:pt>
                <c:pt idx="24">
                  <c:v>5.3899999999999997E-2</c:v>
                </c:pt>
                <c:pt idx="25">
                  <c:v>2.4E-2</c:v>
                </c:pt>
                <c:pt idx="26">
                  <c:v>8.1599999999999992E-2</c:v>
                </c:pt>
                <c:pt idx="27">
                  <c:v>0.30660000000000004</c:v>
                </c:pt>
                <c:pt idx="28">
                  <c:v>2.53E-2</c:v>
                </c:pt>
                <c:pt idx="29">
                  <c:v>8.9700000000000002E-2</c:v>
                </c:pt>
                <c:pt idx="31">
                  <c:v>0.25662999999999997</c:v>
                </c:pt>
                <c:pt idx="32">
                  <c:v>2.1109000000000003E-2</c:v>
                </c:pt>
                <c:pt idx="33">
                  <c:v>0.12165999999999999</c:v>
                </c:pt>
                <c:pt idx="34">
                  <c:v>7.0543000000000008E-2</c:v>
                </c:pt>
                <c:pt idx="35">
                  <c:v>5.1130000000000002E-2</c:v>
                </c:pt>
                <c:pt idx="38">
                  <c:v>5.4969999999999998E-2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8-4B03-88AF-49E47A418AB9}"/>
            </c:ext>
          </c:extLst>
        </c:ser>
        <c:ser>
          <c:idx val="4"/>
          <c:order val="4"/>
          <c:tx>
            <c:strRef>
              <c:f>'P. Químicos Gráficos paul'!$E$738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 paul'!$A$754:$A$792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paul'!$E$754:$E$792</c:f>
              <c:numCache>
                <c:formatCode>0.000</c:formatCode>
                <c:ptCount val="39"/>
                <c:pt idx="0">
                  <c:v>6.6500000000000004E-2</c:v>
                </c:pt>
                <c:pt idx="1">
                  <c:v>4.6399999999999997E-2</c:v>
                </c:pt>
                <c:pt idx="2">
                  <c:v>0.14649999999999999</c:v>
                </c:pt>
                <c:pt idx="4">
                  <c:v>0.1323</c:v>
                </c:pt>
                <c:pt idx="6">
                  <c:v>8.0500000000000002E-2</c:v>
                </c:pt>
                <c:pt idx="8">
                  <c:v>0.21490000000000001</c:v>
                </c:pt>
                <c:pt idx="10">
                  <c:v>8.72E-2</c:v>
                </c:pt>
                <c:pt idx="12">
                  <c:v>7.8299999999999995E-2</c:v>
                </c:pt>
                <c:pt idx="15">
                  <c:v>0.1021</c:v>
                </c:pt>
                <c:pt idx="17">
                  <c:v>8.4699999999999998E-2</c:v>
                </c:pt>
                <c:pt idx="19">
                  <c:v>4.9799999999999997E-2</c:v>
                </c:pt>
                <c:pt idx="20">
                  <c:v>3.5099999999999999E-2</c:v>
                </c:pt>
                <c:pt idx="21">
                  <c:v>9.2599999999999988E-2</c:v>
                </c:pt>
                <c:pt idx="22">
                  <c:v>0.34210000000000002</c:v>
                </c:pt>
                <c:pt idx="23">
                  <c:v>0.10829999999999999</c:v>
                </c:pt>
                <c:pt idx="24">
                  <c:v>1.2E-2</c:v>
                </c:pt>
                <c:pt idx="25">
                  <c:v>8.6400000000000005E-2</c:v>
                </c:pt>
                <c:pt idx="26">
                  <c:v>9.8799999999999999E-2</c:v>
                </c:pt>
                <c:pt idx="27">
                  <c:v>0.2462</c:v>
                </c:pt>
                <c:pt idx="28">
                  <c:v>3.2000000000000001E-2</c:v>
                </c:pt>
                <c:pt idx="29">
                  <c:v>0.17560000000000001</c:v>
                </c:pt>
                <c:pt idx="30">
                  <c:v>6.2939999999999996E-2</c:v>
                </c:pt>
                <c:pt idx="31">
                  <c:v>0.20899999999999999</c:v>
                </c:pt>
                <c:pt idx="32">
                  <c:v>1.6280000000000003E-2</c:v>
                </c:pt>
                <c:pt idx="33">
                  <c:v>7.2973999999999997E-2</c:v>
                </c:pt>
                <c:pt idx="34">
                  <c:v>7.1543999999999996E-2</c:v>
                </c:pt>
                <c:pt idx="35">
                  <c:v>6.0590000000000005E-2</c:v>
                </c:pt>
                <c:pt idx="38">
                  <c:v>0.16247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8-4B03-88AF-49E47A418AB9}"/>
            </c:ext>
          </c:extLst>
        </c:ser>
        <c:ser>
          <c:idx val="5"/>
          <c:order val="5"/>
          <c:tx>
            <c:strRef>
              <c:f>'P. Químicos Gráficos paul'!$C$738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 paul'!$A$754:$A$792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paul'!$C$754:$C$792</c:f>
              <c:numCache>
                <c:formatCode>0.000</c:formatCode>
                <c:ptCount val="39"/>
                <c:pt idx="0">
                  <c:v>3.5000000000000003E-2</c:v>
                </c:pt>
                <c:pt idx="1">
                  <c:v>9.6999999999999986E-3</c:v>
                </c:pt>
                <c:pt idx="2">
                  <c:v>1.32E-2</c:v>
                </c:pt>
                <c:pt idx="4">
                  <c:v>9.4999999999999998E-3</c:v>
                </c:pt>
                <c:pt idx="6">
                  <c:v>3.9899999999999998E-2</c:v>
                </c:pt>
                <c:pt idx="8">
                  <c:v>1.21E-2</c:v>
                </c:pt>
                <c:pt idx="10">
                  <c:v>2.5100000000000001E-2</c:v>
                </c:pt>
                <c:pt idx="12">
                  <c:v>2.8799999999999999E-2</c:v>
                </c:pt>
                <c:pt idx="15">
                  <c:v>5.5200000000000006E-2</c:v>
                </c:pt>
                <c:pt idx="19">
                  <c:v>1.0500000000000001E-2</c:v>
                </c:pt>
                <c:pt idx="20">
                  <c:v>2.7899999999999998E-2</c:v>
                </c:pt>
                <c:pt idx="21">
                  <c:v>5.3700000000000005E-2</c:v>
                </c:pt>
                <c:pt idx="22">
                  <c:v>7.4000000000000003E-3</c:v>
                </c:pt>
                <c:pt idx="23">
                  <c:v>4.3299999999999998E-2</c:v>
                </c:pt>
                <c:pt idx="24">
                  <c:v>4.5499999999999999E-2</c:v>
                </c:pt>
                <c:pt idx="25">
                  <c:v>6.720000000000001E-2</c:v>
                </c:pt>
                <c:pt idx="26">
                  <c:v>1.9699999999999999E-2</c:v>
                </c:pt>
                <c:pt idx="27">
                  <c:v>1.6300000000000002E-2</c:v>
                </c:pt>
                <c:pt idx="28">
                  <c:v>1.77E-2</c:v>
                </c:pt>
                <c:pt idx="29">
                  <c:v>0</c:v>
                </c:pt>
                <c:pt idx="30">
                  <c:v>2.0500000000000001E-2</c:v>
                </c:pt>
                <c:pt idx="31">
                  <c:v>0.26300999999999997</c:v>
                </c:pt>
                <c:pt idx="32">
                  <c:v>4.7201E-2</c:v>
                </c:pt>
                <c:pt idx="33">
                  <c:v>9.9939999999999994E-3</c:v>
                </c:pt>
                <c:pt idx="34">
                  <c:v>1.0039999999999999E-2</c:v>
                </c:pt>
                <c:pt idx="35">
                  <c:v>5.518E-2</c:v>
                </c:pt>
                <c:pt idx="38">
                  <c:v>9.595999999999999E-2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8-4B03-88AF-49E47A418AB9}"/>
            </c:ext>
          </c:extLst>
        </c:ser>
        <c:ser>
          <c:idx val="6"/>
          <c:order val="6"/>
          <c:tx>
            <c:strRef>
              <c:f>'P. Químicos Gráficos paul'!$H$738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'P. Químicos Gráficos paul'!$H$739:$H$793</c:f>
              <c:numCache>
                <c:formatCode>0.00</c:formatCode>
                <c:ptCount val="5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F8-4B03-88AF-49E47A418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086384"/>
        <c:axId val="289086944"/>
      </c:lineChart>
      <c:dateAx>
        <c:axId val="28908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86944"/>
        <c:crosses val="autoZero"/>
        <c:auto val="1"/>
        <c:lblOffset val="100"/>
        <c:baseTimeUnit val="months"/>
      </c:dateAx>
      <c:valAx>
        <c:axId val="28908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8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Niquel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Gráficos'!$B$814:$B$848</c:f>
            </c:numRef>
          </c:val>
          <c:smooth val="0"/>
          <c:extLst>
            <c:ext xmlns:c16="http://schemas.microsoft.com/office/drawing/2014/chart" uri="{C3380CC4-5D6E-409C-BE32-E72D297353CC}">
              <c16:uniqueId val="{00000000-0A9C-4387-A235-5B1D5B001174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Gráficos'!$C$814:$C$848</c:f>
            </c:numRef>
          </c:val>
          <c:smooth val="0"/>
          <c:extLst>
            <c:ext xmlns:c16="http://schemas.microsoft.com/office/drawing/2014/chart" uri="{C3380CC4-5D6E-409C-BE32-E72D297353CC}">
              <c16:uniqueId val="{00000001-0A9C-4387-A235-5B1D5B001174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Gráficos'!$D$814:$D$848</c:f>
            </c:numRef>
          </c:val>
          <c:smooth val="0"/>
          <c:extLst>
            <c:ext xmlns:c16="http://schemas.microsoft.com/office/drawing/2014/chart" uri="{C3380CC4-5D6E-409C-BE32-E72D297353CC}">
              <c16:uniqueId val="{00000002-0A9C-4387-A235-5B1D5B00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090864"/>
        <c:axId val="289091424"/>
      </c:lineChart>
      <c:catAx>
        <c:axId val="28909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91424"/>
        <c:crosses val="autoZero"/>
        <c:auto val="1"/>
        <c:lblAlgn val="ctr"/>
        <c:lblOffset val="100"/>
        <c:noMultiLvlLbl val="1"/>
      </c:catAx>
      <c:valAx>
        <c:axId val="2890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9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Niquel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Gráficos'!$E$814:$E$848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Gráficos'!$F$814:$F$848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Gráficos'!$G$814:$G$848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095344"/>
        <c:axId val="289095904"/>
      </c:lineChart>
      <c:catAx>
        <c:axId val="28909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95904"/>
        <c:crosses val="autoZero"/>
        <c:auto val="1"/>
        <c:lblAlgn val="ctr"/>
        <c:lblOffset val="100"/>
        <c:noMultiLvlLbl val="1"/>
      </c:catAx>
      <c:valAx>
        <c:axId val="28909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0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Plomo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 paul'!$B$13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 paul'!$A$869:$A$907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paul'!$B$869:$B$907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6-42F2-B343-CAA78CC5FA3B}"/>
            </c:ext>
          </c:extLst>
        </c:ser>
        <c:ser>
          <c:idx val="1"/>
          <c:order val="1"/>
          <c:tx>
            <c:strRef>
              <c:f>'P. Químicos Gráficos paul'!#REF!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 paul'!$A$869:$A$907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paul'!$D$869:$D$907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6-42F2-B343-CAA78CC5FA3B}"/>
            </c:ext>
          </c:extLst>
        </c:ser>
        <c:ser>
          <c:idx val="2"/>
          <c:order val="2"/>
          <c:tx>
            <c:strRef>
              <c:f>'P. Químicos Gráficos paul'!$F$13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 paul'!$A$869:$A$907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paul'!$F$869:$F$907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6-42F2-B343-CAA78CC5FA3B}"/>
            </c:ext>
          </c:extLst>
        </c:ser>
        <c:ser>
          <c:idx val="3"/>
          <c:order val="3"/>
          <c:tx>
            <c:strRef>
              <c:f>'P. Químicos Gráficos paul'!$G$853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 paul'!$A$869:$A$907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paul'!$G$869:$G$907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9-43CD-9B07-347BB256BDBF}"/>
            </c:ext>
          </c:extLst>
        </c:ser>
        <c:ser>
          <c:idx val="4"/>
          <c:order val="4"/>
          <c:tx>
            <c:strRef>
              <c:f>'P. Químicos Gráficos paul'!$E$853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 paul'!$A$869:$A$907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paul'!$E$869:$E$907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79-43CD-9B07-347BB256BDBF}"/>
            </c:ext>
          </c:extLst>
        </c:ser>
        <c:ser>
          <c:idx val="5"/>
          <c:order val="5"/>
          <c:tx>
            <c:strRef>
              <c:f>'P. Químicos Gráficos paul'!$C$853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 paul'!$A$869:$A$907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 paul'!$C$869:$C$907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79-43CD-9B07-347BB256BDBF}"/>
            </c:ext>
          </c:extLst>
        </c:ser>
        <c:ser>
          <c:idx val="6"/>
          <c:order val="6"/>
          <c:tx>
            <c:strRef>
              <c:f>'P. Químicos Gráficos paul'!$H$853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'P. Químicos Gráficos paul'!$H$854:$H$908</c:f>
              <c:numCache>
                <c:formatCode>0.00</c:formatCode>
                <c:ptCount val="5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79-43CD-9B07-347BB256B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102064"/>
        <c:axId val="289102624"/>
      </c:lineChart>
      <c:dateAx>
        <c:axId val="2891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102624"/>
        <c:crosses val="autoZero"/>
        <c:auto val="1"/>
        <c:lblOffset val="100"/>
        <c:baseTimeUnit val="months"/>
      </c:dateAx>
      <c:valAx>
        <c:axId val="2891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1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Zinc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Gráficos'!$B$929:$B$963</c:f>
            </c:numRef>
          </c:val>
          <c:smooth val="0"/>
          <c:extLst>
            <c:ext xmlns:c16="http://schemas.microsoft.com/office/drawing/2014/chart" uri="{C3380CC4-5D6E-409C-BE32-E72D297353CC}">
              <c16:uniqueId val="{00000000-21C2-4916-8D15-4A82E0543A58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Gráficos'!$C$929:$C$963</c:f>
            </c:numRef>
          </c:val>
          <c:smooth val="0"/>
          <c:extLst>
            <c:ext xmlns:c16="http://schemas.microsoft.com/office/drawing/2014/chart" uri="{C3380CC4-5D6E-409C-BE32-E72D297353CC}">
              <c16:uniqueId val="{00000001-21C2-4916-8D15-4A82E0543A58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Gráficos'!$D$929:$D$963</c:f>
            </c:numRef>
          </c:val>
          <c:smooth val="0"/>
          <c:extLst>
            <c:ext xmlns:c16="http://schemas.microsoft.com/office/drawing/2014/chart" uri="{C3380CC4-5D6E-409C-BE32-E72D297353CC}">
              <c16:uniqueId val="{00000002-21C2-4916-8D15-4A82E054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106544"/>
        <c:axId val="289107104"/>
      </c:lineChart>
      <c:catAx>
        <c:axId val="28910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107104"/>
        <c:crosses val="autoZero"/>
        <c:auto val="1"/>
        <c:lblAlgn val="ctr"/>
        <c:lblOffset val="100"/>
        <c:noMultiLvlLbl val="1"/>
      </c:catAx>
      <c:valAx>
        <c:axId val="2891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1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Zinc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Gráficos'!$E$929:$E$963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Gráficos'!$F$929:$F$963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Gráficos'!$G$929:$G$963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52000"/>
        <c:axId val="289652560"/>
      </c:lineChart>
      <c:catAx>
        <c:axId val="28965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52560"/>
        <c:crosses val="autoZero"/>
        <c:auto val="1"/>
        <c:lblAlgn val="ctr"/>
        <c:lblOffset val="100"/>
        <c:noMultiLvlLbl val="1"/>
      </c:catAx>
      <c:valAx>
        <c:axId val="28965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5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GRÁFICO DEL COBRE SOBRE EL RIO QUINGEO EN ugr.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3154649153520339E-2"/>
          <c:y val="0.27314814814814814"/>
          <c:w val="0.83244861034197626"/>
          <c:h val="0.5778550597841936"/>
        </c:manualLayout>
      </c:layout>
      <c:lineChart>
        <c:grouping val="standard"/>
        <c:varyColors val="0"/>
        <c:ser>
          <c:idx val="0"/>
          <c:order val="0"/>
          <c:tx>
            <c:v>19 dic 2020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paul'!$B$563:$G$563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paul'!$B$619:$G$619</c:f>
              <c:numCache>
                <c:formatCode>0.00</c:formatCode>
                <c:ptCount val="6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5-4A80-9D5F-A36614B94D33}"/>
            </c:ext>
          </c:extLst>
        </c:ser>
        <c:ser>
          <c:idx val="1"/>
          <c:order val="1"/>
          <c:tx>
            <c:strRef>
              <c:f>'P. Químicos Gráficos paul'!$H$563</c:f>
              <c:strCache>
                <c:ptCount val="1"/>
                <c:pt idx="0">
                  <c:v>NORMATIVA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'P. Químicos Gráficos paul'!$H$614:$H$619</c:f>
              <c:numCache>
                <c:formatCode>0.00</c:formatCode>
                <c:ptCount val="6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5-4A80-9D5F-A36614B94D33}"/>
            </c:ext>
          </c:extLst>
        </c:ser>
        <c:ser>
          <c:idx val="2"/>
          <c:order val="2"/>
          <c:tx>
            <c:v>11-nov-2020 GRUNTEC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'P. Químicos Gráficos paul'!$B$618:$G$618</c:f>
              <c:numCache>
                <c:formatCode>0.00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26</c:v>
                </c:pt>
                <c:pt idx="3">
                  <c:v>7</c:v>
                </c:pt>
                <c:pt idx="4">
                  <c:v>5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5-4A80-9D5F-A36614B94D33}"/>
            </c:ext>
          </c:extLst>
        </c:ser>
        <c:ser>
          <c:idx val="3"/>
          <c:order val="3"/>
          <c:tx>
            <c:v>11 noviembre ETAPA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'P. Químicos Gráficos paul'!$B$617:$G$617</c:f>
              <c:numCache>
                <c:formatCode>0.00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15-4A80-9D5F-A36614B94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57040"/>
        <c:axId val="289657600"/>
      </c:lineChart>
      <c:catAx>
        <c:axId val="289657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57600"/>
        <c:crosses val="autoZero"/>
        <c:auto val="1"/>
        <c:lblAlgn val="ctr"/>
        <c:lblOffset val="100"/>
        <c:noMultiLvlLbl val="0"/>
      </c:catAx>
      <c:valAx>
        <c:axId val="289657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7866476349533773"/>
          <c:y val="0.23148148148148148"/>
          <c:w val="0.12052552909022546"/>
          <c:h val="0.48090332458442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Hierro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7.9601211818141879E-2"/>
          <c:y val="0.18502369495479731"/>
          <c:w val="0.76223618410581473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v>11/11/2020 ETAPA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paul'!$B$678:$G$678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paul'!$B$732:$G$732</c:f>
              <c:numCache>
                <c:formatCode>0.00</c:formatCode>
                <c:ptCount val="6"/>
                <c:pt idx="0">
                  <c:v>0.12748999999999999</c:v>
                </c:pt>
                <c:pt idx="1">
                  <c:v>1.1495</c:v>
                </c:pt>
                <c:pt idx="2">
                  <c:v>0.23605999999999999</c:v>
                </c:pt>
                <c:pt idx="3">
                  <c:v>0.42998999999999998</c:v>
                </c:pt>
                <c:pt idx="4">
                  <c:v>0.15059</c:v>
                </c:pt>
                <c:pt idx="5">
                  <c:v>0.51655999999999991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C-41AB-9810-0F00645945B5}"/>
            </c:ext>
          </c:extLst>
        </c:ser>
        <c:ser>
          <c:idx val="1"/>
          <c:order val="1"/>
          <c:tx>
            <c:v>11/11/2020 GRUNTEC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paul'!$B$678:$G$678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paul'!$B$733:$G$733</c:f>
              <c:numCache>
                <c:formatCode>0.00</c:formatCode>
                <c:ptCount val="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2C-41AB-9810-0F00645945B5}"/>
            </c:ext>
          </c:extLst>
        </c:ser>
        <c:ser>
          <c:idx val="2"/>
          <c:order val="2"/>
          <c:tx>
            <c:v>19/12/2020 GRUNTEC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paul'!$B$678:$G$678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paul'!$B$734:$G$734</c:f>
              <c:numCache>
                <c:formatCode>0.00</c:formatCode>
                <c:ptCount val="6"/>
                <c:pt idx="0">
                  <c:v>2.2999999999999998</c:v>
                </c:pt>
                <c:pt idx="1">
                  <c:v>0.06</c:v>
                </c:pt>
                <c:pt idx="2">
                  <c:v>1.6</c:v>
                </c:pt>
                <c:pt idx="3">
                  <c:v>1.4</c:v>
                </c:pt>
                <c:pt idx="4">
                  <c:v>1.3</c:v>
                </c:pt>
                <c:pt idx="5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2C-41AB-9810-0F00645945B5}"/>
            </c:ext>
          </c:extLst>
        </c:ser>
        <c:ser>
          <c:idx val="3"/>
          <c:order val="3"/>
          <c:tx>
            <c:strRef>
              <c:f>'P. Químicos Gráficos paul'!$H$678</c:f>
              <c:strCache>
                <c:ptCount val="1"/>
                <c:pt idx="0">
                  <c:v>NORMATIVA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'P. Químicos Gráficos paul'!$H$729:$H$734</c:f>
              <c:numCache>
                <c:formatCode>0.00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2C-41AB-9810-0F0064594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62080"/>
        <c:axId val="289662640"/>
      </c:lineChart>
      <c:catAx>
        <c:axId val="289662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62640"/>
        <c:crosses val="autoZero"/>
        <c:auto val="1"/>
        <c:lblAlgn val="ctr"/>
        <c:lblOffset val="100"/>
        <c:noMultiLvlLbl val="0"/>
      </c:catAx>
      <c:valAx>
        <c:axId val="289662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6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3077860424136352"/>
          <c:y val="0.25041666666666673"/>
          <c:w val="0.16749292497081922"/>
          <c:h val="0.63368110236220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Manganeso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3.7544771701943369E-2"/>
          <c:y val="0.23684909472259474"/>
          <c:w val="0.76601990856707158"/>
          <c:h val="0.67152282413708164"/>
        </c:manualLayout>
      </c:layout>
      <c:lineChart>
        <c:grouping val="standard"/>
        <c:varyColors val="0"/>
        <c:ser>
          <c:idx val="0"/>
          <c:order val="0"/>
          <c:tx>
            <c:v>11/11/2020 ETAPA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paul'!$B$738:$G$738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paul'!$B$792:$G$792</c:f>
              <c:numCache>
                <c:formatCode>0.000</c:formatCode>
                <c:ptCount val="6"/>
                <c:pt idx="0">
                  <c:v>3.8420000000000003E-2</c:v>
                </c:pt>
                <c:pt idx="1">
                  <c:v>9.595999999999999E-2</c:v>
                </c:pt>
                <c:pt idx="2">
                  <c:v>0.15972</c:v>
                </c:pt>
                <c:pt idx="3">
                  <c:v>0.16247</c:v>
                </c:pt>
                <c:pt idx="4">
                  <c:v>2.0129999999999999E-2</c:v>
                </c:pt>
                <c:pt idx="5">
                  <c:v>5.4969999999999998E-2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C-4092-ABE9-985183A73A42}"/>
            </c:ext>
          </c:extLst>
        </c:ser>
        <c:ser>
          <c:idx val="1"/>
          <c:order val="1"/>
          <c:tx>
            <c:v>11/11/2020 GRUNTEC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paul'!$B$738:$G$738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paul'!$B$793:$G$793</c:f>
              <c:numCache>
                <c:formatCode>0.000</c:formatCode>
                <c:ptCount val="6"/>
                <c:pt idx="0">
                  <c:v>6.7000000000000004E-2</c:v>
                </c:pt>
                <c:pt idx="1">
                  <c:v>9.4E-2</c:v>
                </c:pt>
                <c:pt idx="2">
                  <c:v>0.18</c:v>
                </c:pt>
                <c:pt idx="3">
                  <c:v>0.19</c:v>
                </c:pt>
                <c:pt idx="4">
                  <c:v>3.3000000000000002E-2</c:v>
                </c:pt>
                <c:pt idx="5">
                  <c:v>7.1999999999999995E-2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C-4092-ABE9-985183A73A42}"/>
            </c:ext>
          </c:extLst>
        </c:ser>
        <c:ser>
          <c:idx val="2"/>
          <c:order val="2"/>
          <c:tx>
            <c:v>19/12/2020 GRUNTEC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paul'!$B$738:$G$738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paul'!$B$794:$G$794</c:f>
              <c:numCache>
                <c:formatCode>0.000</c:formatCode>
                <c:ptCount val="6"/>
                <c:pt idx="0">
                  <c:v>8.4000000000000005E-2</c:v>
                </c:pt>
                <c:pt idx="1">
                  <c:v>1.0999999999999999E-2</c:v>
                </c:pt>
                <c:pt idx="2">
                  <c:v>0.08</c:v>
                </c:pt>
                <c:pt idx="3">
                  <c:v>7.9000000000000001E-2</c:v>
                </c:pt>
                <c:pt idx="4">
                  <c:v>8.1000000000000003E-2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C-4092-ABE9-985183A73A42}"/>
            </c:ext>
          </c:extLst>
        </c:ser>
        <c:ser>
          <c:idx val="3"/>
          <c:order val="3"/>
          <c:tx>
            <c:strRef>
              <c:f>'P. Químicos Gráficos paul'!$H$738</c:f>
              <c:strCache>
                <c:ptCount val="1"/>
                <c:pt idx="0">
                  <c:v>NORMATIVA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'P. Químicos Gráficos paul'!$H$789:$H$794</c:f>
              <c:numCache>
                <c:formatCode>0.00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C-4092-ABE9-985183A7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67120"/>
        <c:axId val="289667680"/>
      </c:lineChart>
      <c:catAx>
        <c:axId val="289667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67680"/>
        <c:crosses val="autoZero"/>
        <c:auto val="1"/>
        <c:lblAlgn val="ctr"/>
        <c:lblOffset val="100"/>
        <c:noMultiLvlLbl val="0"/>
      </c:catAx>
      <c:valAx>
        <c:axId val="289667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6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3374448609945251"/>
          <c:y val="0.178095633221454"/>
          <c:w val="0.13205578612587243"/>
          <c:h val="0.67096954376606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Plomo (ug/l)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8011844032723197E-2"/>
          <c:y val="0.1282231659742708"/>
          <c:w val="0.79718047928725222"/>
          <c:h val="0.76285011422174065"/>
        </c:manualLayout>
      </c:layout>
      <c:lineChart>
        <c:grouping val="standard"/>
        <c:varyColors val="0"/>
        <c:ser>
          <c:idx val="1"/>
          <c:order val="1"/>
          <c:tx>
            <c:v>11/11/2020 GRUNTEC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paul'!$B$853:$G$853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paul'!$B$908:$G$908</c:f>
              <c:numCache>
                <c:formatCode>0.0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E-49B5-A1B2-1C9CE7F32340}"/>
            </c:ext>
          </c:extLst>
        </c:ser>
        <c:ser>
          <c:idx val="2"/>
          <c:order val="2"/>
          <c:tx>
            <c:v>19/12/2020 GRUNTEC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'P. Químicos Gráficos paul'!$B$853:$G$853</c:f>
              <c:strCache>
                <c:ptCount val="6"/>
                <c:pt idx="0">
                  <c:v>Punto 1</c:v>
                </c:pt>
                <c:pt idx="1">
                  <c:v>Q. Capelo</c:v>
                </c:pt>
                <c:pt idx="2">
                  <c:v>Punto 2</c:v>
                </c:pt>
                <c:pt idx="3">
                  <c:v>100 mts abajo</c:v>
                </c:pt>
                <c:pt idx="4">
                  <c:v>Punto 3</c:v>
                </c:pt>
                <c:pt idx="5">
                  <c:v>Punto 4</c:v>
                </c:pt>
              </c:strCache>
            </c:strRef>
          </c:cat>
          <c:val>
            <c:numRef>
              <c:f>'P. Químicos Gráficos paul'!$B$909:$G$909</c:f>
              <c:numCache>
                <c:formatCode>0.0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0.7</c:v>
                </c:pt>
                <c:pt idx="3">
                  <c:v>2.1</c:v>
                </c:pt>
                <c:pt idx="4">
                  <c:v>0.8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E-49B5-A1B2-1C9CE7F32340}"/>
            </c:ext>
          </c:extLst>
        </c:ser>
        <c:ser>
          <c:idx val="3"/>
          <c:order val="3"/>
          <c:tx>
            <c:strRef>
              <c:f>'P. Químicos Gráficos paul'!$H$853</c:f>
              <c:strCache>
                <c:ptCount val="1"/>
                <c:pt idx="0">
                  <c:v>NORMATIVA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'P. Químicos Gráficos paul'!$H$904:$H$909</c:f>
              <c:numCache>
                <c:formatCode>0.00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E-49B5-A1B2-1C9CE7F32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672160"/>
        <c:axId val="289672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11/11/2020 ETAPA</c:v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'P. Químicos Gráficos paul'!$B$853:$G$853</c15:sqref>
                        </c15:formulaRef>
                      </c:ext>
                    </c:extLst>
                    <c:strCache>
                      <c:ptCount val="6"/>
                      <c:pt idx="0">
                        <c:v>Punto 1</c:v>
                      </c:pt>
                      <c:pt idx="1">
                        <c:v>Q. Capelo</c:v>
                      </c:pt>
                      <c:pt idx="2">
                        <c:v>Punto 2</c:v>
                      </c:pt>
                      <c:pt idx="3">
                        <c:v>100 mts abajo</c:v>
                      </c:pt>
                      <c:pt idx="4">
                        <c:v>Punto 3</c:v>
                      </c:pt>
                      <c:pt idx="5">
                        <c:v>Punto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'P. Químicos Gráficos paul'!$B$907:$G$907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50</c:v>
                      </c:pt>
                      <c:pt idx="3">
                        <c:v>50</c:v>
                      </c:pt>
                      <c:pt idx="4">
                        <c:v>50</c:v>
                      </c:pt>
                      <c:pt idx="5">
                        <c:v>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BCE-49B5-A1B2-1C9CE7F32340}"/>
                  </c:ext>
                </c:extLst>
              </c15:ser>
            </c15:filteredLineSeries>
          </c:ext>
        </c:extLst>
      </c:lineChart>
      <c:catAx>
        <c:axId val="289672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72720"/>
        <c:crosses val="autoZero"/>
        <c:auto val="1"/>
        <c:lblAlgn val="ctr"/>
        <c:lblOffset val="100"/>
        <c:noMultiLvlLbl val="0"/>
      </c:catAx>
      <c:valAx>
        <c:axId val="289672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7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4250169417507625"/>
          <c:y val="0.17135349282313841"/>
          <c:w val="0.14175926037156669"/>
          <c:h val="0.69543773174978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DBO5</a:t>
            </a:r>
          </a:p>
        </c:rich>
      </c:tx>
      <c:layout>
        <c:manualLayout>
          <c:xMode val="edge"/>
          <c:yMode val="edge"/>
          <c:x val="0.40884398747677203"/>
          <c:y val="1.85597624350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Gráficos'!$B$84:$B$118</c:f>
            </c:numRef>
          </c:val>
          <c:smooth val="0"/>
          <c:extLst>
            <c:ext xmlns:c16="http://schemas.microsoft.com/office/drawing/2014/chart" uri="{C3380CC4-5D6E-409C-BE32-E72D297353CC}">
              <c16:uniqueId val="{00000010-DF58-4979-BE5D-CF418192423A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Gráficos'!$C$84:$C$118</c:f>
            </c:numRef>
          </c:val>
          <c:smooth val="0"/>
          <c:extLst>
            <c:ext xmlns:c16="http://schemas.microsoft.com/office/drawing/2014/chart" uri="{C3380CC4-5D6E-409C-BE32-E72D297353CC}">
              <c16:uniqueId val="{00000011-DF58-4979-BE5D-CF418192423A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Gráficos'!$D$84:$D$118</c:f>
            </c:numRef>
          </c:val>
          <c:smooth val="0"/>
          <c:extLst>
            <c:ext xmlns:c16="http://schemas.microsoft.com/office/drawing/2014/chart" uri="{C3380CC4-5D6E-409C-BE32-E72D297353CC}">
              <c16:uniqueId val="{00000015-F3E1-408D-BBF5-82E9408B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77200"/>
        <c:axId val="289677760"/>
      </c:lineChart>
      <c:catAx>
        <c:axId val="2896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77760"/>
        <c:crosses val="autoZero"/>
        <c:auto val="1"/>
        <c:lblAlgn val="ctr"/>
        <c:lblOffset val="100"/>
        <c:noMultiLvlLbl val="1"/>
      </c:catAx>
      <c:valAx>
        <c:axId val="28967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7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DBO5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Gráficos'!$E$84:$E$118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Gráficos'!$F$84:$F$118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Gráficos'!$A$84:$A$118</c:f>
            </c:multiLvlStrRef>
          </c:cat>
          <c:val>
            <c:numRef>
              <c:f>'P. Químicos Gráficos'!$G$84:$G$118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81680"/>
        <c:axId val="289682240"/>
      </c:lineChart>
      <c:catAx>
        <c:axId val="28968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82240"/>
        <c:crosses val="autoZero"/>
        <c:auto val="1"/>
        <c:lblAlgn val="ctr"/>
        <c:lblOffset val="100"/>
        <c:noMultiLvlLbl val="1"/>
      </c:catAx>
      <c:valAx>
        <c:axId val="2896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8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Cianuro Libre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Gráficos'!$B$29:$B$63</c:f>
            </c:numRef>
          </c:val>
          <c:smooth val="0"/>
          <c:extLst>
            <c:ext xmlns:c16="http://schemas.microsoft.com/office/drawing/2014/chart" uri="{C3380CC4-5D6E-409C-BE32-E72D297353CC}">
              <c16:uniqueId val="{00000000-79CD-4735-88A1-272117102628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Gráficos'!$C$29:$C$63</c:f>
            </c:numRef>
          </c:val>
          <c:smooth val="0"/>
          <c:extLst>
            <c:ext xmlns:c16="http://schemas.microsoft.com/office/drawing/2014/chart" uri="{C3380CC4-5D6E-409C-BE32-E72D297353CC}">
              <c16:uniqueId val="{00000001-79CD-4735-88A1-272117102628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Gráficos'!$D$29:$D$63</c:f>
            </c:numRef>
          </c:val>
          <c:smooth val="0"/>
          <c:extLst>
            <c:ext xmlns:c16="http://schemas.microsoft.com/office/drawing/2014/chart" uri="{C3380CC4-5D6E-409C-BE32-E72D297353CC}">
              <c16:uniqueId val="{00000002-79CD-4735-88A1-272117102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86160"/>
        <c:axId val="289686720"/>
      </c:lineChart>
      <c:catAx>
        <c:axId val="28968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86720"/>
        <c:crosses val="autoZero"/>
        <c:auto val="1"/>
        <c:lblAlgn val="ctr"/>
        <c:lblOffset val="100"/>
        <c:noMultiLvlLbl val="1"/>
      </c:catAx>
      <c:valAx>
        <c:axId val="28968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8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Cianuro Libre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Gráficos'!$E$29:$E$63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Gráficos'!$F$29:$F$63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Gráficos'!$A$29:$A$63</c:f>
            </c:multiLvlStrRef>
          </c:cat>
          <c:val>
            <c:numRef>
              <c:f>'P. Químicos Gráficos'!$G$29:$G$63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90640"/>
        <c:axId val="289691200"/>
      </c:lineChart>
      <c:catAx>
        <c:axId val="28969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91200"/>
        <c:crosses val="autoZero"/>
        <c:auto val="1"/>
        <c:lblAlgn val="ctr"/>
        <c:lblOffset val="100"/>
        <c:noMultiLvlLbl val="1"/>
      </c:catAx>
      <c:valAx>
        <c:axId val="2896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9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DQO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Gráficos'!$B$139:$B$173</c:f>
            </c:numRef>
          </c:val>
          <c:smooth val="0"/>
          <c:extLst>
            <c:ext xmlns:c16="http://schemas.microsoft.com/office/drawing/2014/chart" uri="{C3380CC4-5D6E-409C-BE32-E72D297353CC}">
              <c16:uniqueId val="{00000000-2382-4D70-8609-6EEAC5AFC529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Gráficos'!$C$139:$C$173</c:f>
            </c:numRef>
          </c:val>
          <c:smooth val="0"/>
          <c:extLst>
            <c:ext xmlns:c16="http://schemas.microsoft.com/office/drawing/2014/chart" uri="{C3380CC4-5D6E-409C-BE32-E72D297353CC}">
              <c16:uniqueId val="{00000001-2382-4D70-8609-6EEAC5AFC529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Gráficos'!$D$139:$D$173</c:f>
            </c:numRef>
          </c:val>
          <c:smooth val="0"/>
          <c:extLst>
            <c:ext xmlns:c16="http://schemas.microsoft.com/office/drawing/2014/chart" uri="{C3380CC4-5D6E-409C-BE32-E72D297353CC}">
              <c16:uniqueId val="{00000002-2382-4D70-8609-6EEAC5AFC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95120"/>
        <c:axId val="289695680"/>
      </c:lineChart>
      <c:catAx>
        <c:axId val="28969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95680"/>
        <c:crosses val="autoZero"/>
        <c:auto val="1"/>
        <c:lblAlgn val="ctr"/>
        <c:lblOffset val="100"/>
        <c:noMultiLvlLbl val="1"/>
      </c:catAx>
      <c:valAx>
        <c:axId val="28969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9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DQO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Gráficos'!$E$139:$E$173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Gráficos'!$F$139:$F$173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Gráficos'!$A$139:$A$173</c:f>
            </c:multiLvlStrRef>
          </c:cat>
          <c:val>
            <c:numRef>
              <c:f>'P. Químicos Gráficos'!$G$139:$G$173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99600"/>
        <c:axId val="289700160"/>
      </c:lineChart>
      <c:catAx>
        <c:axId val="28969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700160"/>
        <c:crosses val="autoZero"/>
        <c:auto val="1"/>
        <c:lblAlgn val="ctr"/>
        <c:lblOffset val="100"/>
        <c:noMultiLvlLbl val="1"/>
      </c:catAx>
      <c:valAx>
        <c:axId val="28970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69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Fosforo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Gráficos'!$B$194:$B$228</c:f>
            </c:numRef>
          </c:val>
          <c:smooth val="0"/>
          <c:extLst>
            <c:ext xmlns:c16="http://schemas.microsoft.com/office/drawing/2014/chart" uri="{C3380CC4-5D6E-409C-BE32-E72D297353CC}">
              <c16:uniqueId val="{00000000-ED8B-49F9-996D-EA00DE769A01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Gráficos'!$C$194:$C$228</c:f>
            </c:numRef>
          </c:val>
          <c:smooth val="0"/>
          <c:extLst>
            <c:ext xmlns:c16="http://schemas.microsoft.com/office/drawing/2014/chart" uri="{C3380CC4-5D6E-409C-BE32-E72D297353CC}">
              <c16:uniqueId val="{00000001-ED8B-49F9-996D-EA00DE769A01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Gráficos'!$D$194:$D$228</c:f>
            </c:numRef>
          </c:val>
          <c:smooth val="0"/>
          <c:extLst>
            <c:ext xmlns:c16="http://schemas.microsoft.com/office/drawing/2014/chart" uri="{C3380CC4-5D6E-409C-BE32-E72D297353CC}">
              <c16:uniqueId val="{00000002-ED8B-49F9-996D-EA00DE769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704080"/>
        <c:axId val="289704640"/>
      </c:lineChart>
      <c:catAx>
        <c:axId val="28970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704640"/>
        <c:crosses val="autoZero"/>
        <c:auto val="1"/>
        <c:lblAlgn val="ctr"/>
        <c:lblOffset val="100"/>
        <c:noMultiLvlLbl val="1"/>
      </c:catAx>
      <c:valAx>
        <c:axId val="2897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7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Fosforo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Gráficos'!$E$194:$E$228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Gráficos'!$F$194:$F$228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Gráficos'!$A$194:$A$228</c:f>
            </c:multiLvlStrRef>
          </c:cat>
          <c:val>
            <c:numRef>
              <c:f>'P. Químicos Gráficos'!$G$194:$G$228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708560"/>
        <c:axId val="289709120"/>
      </c:lineChart>
      <c:catAx>
        <c:axId val="28970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709120"/>
        <c:crosses val="autoZero"/>
        <c:auto val="1"/>
        <c:lblAlgn val="ctr"/>
        <c:lblOffset val="100"/>
        <c:noMultiLvlLbl val="1"/>
      </c:catAx>
      <c:valAx>
        <c:axId val="2897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7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Nitratos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Gráficos'!$B$249:$B$283</c:f>
            </c:numRef>
          </c:val>
          <c:smooth val="0"/>
          <c:extLst>
            <c:ext xmlns:c16="http://schemas.microsoft.com/office/drawing/2014/chart" uri="{C3380CC4-5D6E-409C-BE32-E72D297353CC}">
              <c16:uniqueId val="{00000000-6A97-4643-97F5-AA1F913CE307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Gráficos'!$C$249:$C$283</c:f>
            </c:numRef>
          </c:val>
          <c:smooth val="0"/>
          <c:extLst>
            <c:ext xmlns:c16="http://schemas.microsoft.com/office/drawing/2014/chart" uri="{C3380CC4-5D6E-409C-BE32-E72D297353CC}">
              <c16:uniqueId val="{00000001-6A97-4643-97F5-AA1F913CE307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Gráficos'!$D$249:$D$283</c:f>
            </c:numRef>
          </c:val>
          <c:smooth val="0"/>
          <c:extLst>
            <c:ext xmlns:c16="http://schemas.microsoft.com/office/drawing/2014/chart" uri="{C3380CC4-5D6E-409C-BE32-E72D297353CC}">
              <c16:uniqueId val="{00000002-6A97-4643-97F5-AA1F913CE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713040"/>
        <c:axId val="289713600"/>
      </c:lineChart>
      <c:catAx>
        <c:axId val="28971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713600"/>
        <c:crosses val="autoZero"/>
        <c:auto val="1"/>
        <c:lblAlgn val="ctr"/>
        <c:lblOffset val="100"/>
        <c:noMultiLvlLbl val="1"/>
      </c:catAx>
      <c:valAx>
        <c:axId val="2897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mgN/l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8971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Nitratos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Gráficos'!$E$249:$E$283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Gráficos'!$F$249:$F$283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Gráficos'!$A$249:$A$283</c:f>
            </c:multiLvlStrRef>
          </c:cat>
          <c:val>
            <c:numRef>
              <c:f>'P. Químicos Gráficos'!$G$249:$G$283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83568"/>
        <c:axId val="318384128"/>
      </c:lineChart>
      <c:catAx>
        <c:axId val="3183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84128"/>
        <c:crosses val="autoZero"/>
        <c:auto val="1"/>
        <c:lblAlgn val="ctr"/>
        <c:lblOffset val="100"/>
        <c:noMultiLvlLbl val="1"/>
      </c:catAx>
      <c:valAx>
        <c:axId val="3183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mgN/l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8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Nitritos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Gráficos'!$B$304:$B$338</c:f>
            </c:numRef>
          </c:val>
          <c:smooth val="0"/>
          <c:extLst>
            <c:ext xmlns:c16="http://schemas.microsoft.com/office/drawing/2014/chart" uri="{C3380CC4-5D6E-409C-BE32-E72D297353CC}">
              <c16:uniqueId val="{00000000-E566-46AF-834C-FCA70701994D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Gráficos'!$C$304:$C$338</c:f>
            </c:numRef>
          </c:val>
          <c:smooth val="0"/>
          <c:extLst>
            <c:ext xmlns:c16="http://schemas.microsoft.com/office/drawing/2014/chart" uri="{C3380CC4-5D6E-409C-BE32-E72D297353CC}">
              <c16:uniqueId val="{00000001-E566-46AF-834C-FCA70701994D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Gráficos'!$D$304:$D$338</c:f>
            </c:numRef>
          </c:val>
          <c:smooth val="0"/>
          <c:extLst>
            <c:ext xmlns:c16="http://schemas.microsoft.com/office/drawing/2014/chart" uri="{C3380CC4-5D6E-409C-BE32-E72D297353CC}">
              <c16:uniqueId val="{00000002-E566-46AF-834C-FCA707019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88048"/>
        <c:axId val="318388608"/>
      </c:lineChart>
      <c:catAx>
        <c:axId val="31838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88608"/>
        <c:crosses val="autoZero"/>
        <c:auto val="1"/>
        <c:lblAlgn val="ctr"/>
        <c:lblOffset val="100"/>
        <c:noMultiLvlLbl val="1"/>
      </c:catAx>
      <c:valAx>
        <c:axId val="3183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mgN/l</a:t>
                </a:r>
              </a:p>
            </c:rich>
          </c:tx>
          <c:layout>
            <c:manualLayout>
              <c:xMode val="edge"/>
              <c:yMode val="edge"/>
              <c:x val="2.7548209366391185E-2"/>
              <c:y val="0.38109037873606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8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Nitritos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Gráficos'!$E$304:$E$338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Gráficos'!$F$304:$F$338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Gráficos'!$A$304:$A$338</c:f>
            </c:multiLvlStrRef>
          </c:cat>
          <c:val>
            <c:numRef>
              <c:f>'P. Químicos Gráficos'!$G$304:$G$338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92528"/>
        <c:axId val="318393088"/>
      </c:lineChart>
      <c:catAx>
        <c:axId val="31839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93088"/>
        <c:crosses val="autoZero"/>
        <c:auto val="1"/>
        <c:lblAlgn val="ctr"/>
        <c:lblOffset val="100"/>
        <c:noMultiLvlLbl val="1"/>
      </c:catAx>
      <c:valAx>
        <c:axId val="3183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100" b="0" i="0" baseline="0">
                    <a:effectLst/>
                  </a:rPr>
                  <a:t>mgN/l</a:t>
                </a:r>
                <a:endParaRPr lang="es-EC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Gráficos'!$B$359:$B$393</c:f>
            </c:numRef>
          </c:val>
          <c:smooth val="0"/>
          <c:extLst>
            <c:ext xmlns:c16="http://schemas.microsoft.com/office/drawing/2014/chart" uri="{C3380CC4-5D6E-409C-BE32-E72D297353CC}">
              <c16:uniqueId val="{00000000-A24F-43C0-9093-0FB6A6EE2EBF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Gráficos'!$C$359:$C$393</c:f>
            </c:numRef>
          </c:val>
          <c:smooth val="0"/>
          <c:extLst>
            <c:ext xmlns:c16="http://schemas.microsoft.com/office/drawing/2014/chart" uri="{C3380CC4-5D6E-409C-BE32-E72D297353CC}">
              <c16:uniqueId val="{00000001-A24F-43C0-9093-0FB6A6EE2EBF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Gráficos'!$D$359:$D$393</c:f>
            </c:numRef>
          </c:val>
          <c:smooth val="0"/>
          <c:extLst>
            <c:ext xmlns:c16="http://schemas.microsoft.com/office/drawing/2014/chart" uri="{C3380CC4-5D6E-409C-BE32-E72D297353CC}">
              <c16:uniqueId val="{00000002-A24F-43C0-9093-0FB6A6EE2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97008"/>
        <c:axId val="318397568"/>
      </c:lineChart>
      <c:catAx>
        <c:axId val="31839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97568"/>
        <c:crosses val="autoZero"/>
        <c:auto val="1"/>
        <c:lblAlgn val="ctr"/>
        <c:lblOffset val="100"/>
        <c:noMultiLvlLbl val="1"/>
      </c:catAx>
      <c:valAx>
        <c:axId val="3183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39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Gráficos'!$E$359:$E$393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Gráficos'!$F$359:$F$393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Gráficos'!$A$359:$A$393</c:f>
            </c:multiLvlStrRef>
          </c:cat>
          <c:val>
            <c:numRef>
              <c:f>'P. Químicos Gráficos'!$G$359:$G$393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01488"/>
        <c:axId val="318402048"/>
      </c:lineChart>
      <c:catAx>
        <c:axId val="31840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02048"/>
        <c:crosses val="autoZero"/>
        <c:auto val="1"/>
        <c:lblAlgn val="ctr"/>
        <c:lblOffset val="100"/>
        <c:noMultiLvlLbl val="1"/>
      </c:catAx>
      <c:valAx>
        <c:axId val="3184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0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Sustancias solubles al hexano</a:t>
            </a:r>
          </a:p>
        </c:rich>
      </c:tx>
      <c:layout>
        <c:manualLayout>
          <c:xMode val="edge"/>
          <c:yMode val="edge"/>
          <c:x val="0.43639219684316327"/>
          <c:y val="2.2271714922048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Gráficos'!$B$414:$B$448</c:f>
            </c:numRef>
          </c:val>
          <c:smooth val="0"/>
          <c:extLst>
            <c:ext xmlns:c16="http://schemas.microsoft.com/office/drawing/2014/chart" uri="{C3380CC4-5D6E-409C-BE32-E72D297353CC}">
              <c16:uniqueId val="{00000000-C7E4-4069-9787-D77508B92009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Gráficos'!$C$414:$C$448</c:f>
            </c:numRef>
          </c:val>
          <c:smooth val="0"/>
          <c:extLst>
            <c:ext xmlns:c16="http://schemas.microsoft.com/office/drawing/2014/chart" uri="{C3380CC4-5D6E-409C-BE32-E72D297353CC}">
              <c16:uniqueId val="{00000001-C7E4-4069-9787-D77508B92009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Gráficos'!$D$414:$D$448</c:f>
            </c:numRef>
          </c:val>
          <c:smooth val="0"/>
          <c:extLst>
            <c:ext xmlns:c16="http://schemas.microsoft.com/office/drawing/2014/chart" uri="{C3380CC4-5D6E-409C-BE32-E72D297353CC}">
              <c16:uniqueId val="{00000002-C7E4-4069-9787-D77508B92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05968"/>
        <c:axId val="318406528"/>
      </c:lineChart>
      <c:catAx>
        <c:axId val="318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06528"/>
        <c:crosses val="autoZero"/>
        <c:auto val="1"/>
        <c:lblAlgn val="ctr"/>
        <c:lblOffset val="100"/>
        <c:noMultiLvlLbl val="1"/>
      </c:catAx>
      <c:valAx>
        <c:axId val="3184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Sustancias solubles al hexano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Gráficos'!$E$414:$E$448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Gráficos'!$F$414:$F$448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Gráficos'!$A$414:$A$448</c:f>
            </c:multiLvlStrRef>
          </c:cat>
          <c:val>
            <c:numRef>
              <c:f>'P. Químicos Gráficos'!$G$414:$G$448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10448"/>
        <c:axId val="318411008"/>
      </c:lineChart>
      <c:catAx>
        <c:axId val="31841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11008"/>
        <c:crosses val="autoZero"/>
        <c:auto val="1"/>
        <c:lblAlgn val="ctr"/>
        <c:lblOffset val="100"/>
        <c:noMultiLvlLbl val="1"/>
      </c:catAx>
      <c:valAx>
        <c:axId val="3184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1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Aluminio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Gráficos'!$B$469:$B$503</c:f>
            </c:numRef>
          </c:val>
          <c:smooth val="0"/>
          <c:extLst>
            <c:ext xmlns:c16="http://schemas.microsoft.com/office/drawing/2014/chart" uri="{C3380CC4-5D6E-409C-BE32-E72D297353CC}">
              <c16:uniqueId val="{00000000-CBDD-4504-8660-0355F320F65D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Gráficos'!$C$469:$C$503</c:f>
            </c:numRef>
          </c:val>
          <c:smooth val="0"/>
          <c:extLst>
            <c:ext xmlns:c16="http://schemas.microsoft.com/office/drawing/2014/chart" uri="{C3380CC4-5D6E-409C-BE32-E72D297353CC}">
              <c16:uniqueId val="{00000001-CBDD-4504-8660-0355F320F65D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Gráficos'!$D$469:$D$503</c:f>
            </c:numRef>
          </c:val>
          <c:smooth val="0"/>
          <c:extLst>
            <c:ext xmlns:c16="http://schemas.microsoft.com/office/drawing/2014/chart" uri="{C3380CC4-5D6E-409C-BE32-E72D297353CC}">
              <c16:uniqueId val="{00000002-CBDD-4504-8660-0355F320F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14928"/>
        <c:axId val="318415488"/>
      </c:lineChart>
      <c:catAx>
        <c:axId val="3184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15488"/>
        <c:crosses val="autoZero"/>
        <c:auto val="1"/>
        <c:lblAlgn val="ctr"/>
        <c:lblOffset val="100"/>
        <c:noMultiLvlLbl val="1"/>
      </c:catAx>
      <c:valAx>
        <c:axId val="3184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1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Aluminio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Gráficos'!$E$469:$E$503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Gráficos'!$F$469:$F$503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Gráficos'!$A$469:$A$503</c:f>
            </c:multiLvlStrRef>
          </c:cat>
          <c:val>
            <c:numRef>
              <c:f>'P. Químicos Gráficos'!$G$469:$G$503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19408"/>
        <c:axId val="318419968"/>
      </c:lineChart>
      <c:catAx>
        <c:axId val="31841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19968"/>
        <c:crosses val="autoZero"/>
        <c:auto val="1"/>
        <c:lblAlgn val="ctr"/>
        <c:lblOffset val="100"/>
        <c:noMultiLvlLbl val="1"/>
      </c:catAx>
      <c:valAx>
        <c:axId val="3184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Cadmio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Gráficos'!$B$524:$B$558</c:f>
            </c:numRef>
          </c:val>
          <c:smooth val="0"/>
          <c:extLst>
            <c:ext xmlns:c16="http://schemas.microsoft.com/office/drawing/2014/chart" uri="{C3380CC4-5D6E-409C-BE32-E72D297353CC}">
              <c16:uniqueId val="{00000000-B7A2-4744-8F91-1B24C34B6D77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Gráficos'!$C$524:$C$558</c:f>
            </c:numRef>
          </c:val>
          <c:smooth val="0"/>
          <c:extLst>
            <c:ext xmlns:c16="http://schemas.microsoft.com/office/drawing/2014/chart" uri="{C3380CC4-5D6E-409C-BE32-E72D297353CC}">
              <c16:uniqueId val="{00000001-B7A2-4744-8F91-1B24C34B6D77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Gráficos'!$D$524:$D$558</c:f>
            </c:numRef>
          </c:val>
          <c:smooth val="0"/>
          <c:extLst>
            <c:ext xmlns:c16="http://schemas.microsoft.com/office/drawing/2014/chart" uri="{C3380CC4-5D6E-409C-BE32-E72D297353CC}">
              <c16:uniqueId val="{00000002-B7A2-4744-8F91-1B24C34B6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23888"/>
        <c:axId val="318424448"/>
      </c:lineChart>
      <c:catAx>
        <c:axId val="31842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24448"/>
        <c:crosses val="autoZero"/>
        <c:auto val="1"/>
        <c:lblAlgn val="ctr"/>
        <c:lblOffset val="100"/>
        <c:noMultiLvlLbl val="1"/>
      </c:catAx>
      <c:valAx>
        <c:axId val="3184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2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Cadmio</a:t>
            </a:r>
          </a:p>
        </c:rich>
      </c:tx>
      <c:layout>
        <c:manualLayout>
          <c:xMode val="edge"/>
          <c:yMode val="edge"/>
          <c:x val="0.40425261924904016"/>
          <c:y val="2.969561989606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Gráficos'!$E$524:$E$558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Gráficos'!$F$524:$F$558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Gráficos'!$A$524:$A$558</c:f>
            </c:multiLvlStrRef>
          </c:cat>
          <c:val>
            <c:numRef>
              <c:f>'P. Químicos Gráficos'!$G$524:$G$558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28368"/>
        <c:axId val="318428928"/>
      </c:lineChart>
      <c:catAx>
        <c:axId val="31842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28928"/>
        <c:crosses val="autoZero"/>
        <c:auto val="1"/>
        <c:lblAlgn val="ctr"/>
        <c:lblOffset val="100"/>
        <c:noMultiLvlLbl val="1"/>
      </c:catAx>
      <c:valAx>
        <c:axId val="3184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Cobre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Gráficos'!$B$579:$B$617</c:f>
              <c:numCache>
                <c:formatCode>0.00</c:formatCode>
                <c:ptCount val="39"/>
                <c:pt idx="0">
                  <c:v>30.9</c:v>
                </c:pt>
                <c:pt idx="1">
                  <c:v>6.3</c:v>
                </c:pt>
                <c:pt idx="2">
                  <c:v>22</c:v>
                </c:pt>
                <c:pt idx="3">
                  <c:v>4</c:v>
                </c:pt>
                <c:pt idx="4">
                  <c:v>501.9</c:v>
                </c:pt>
                <c:pt idx="5">
                  <c:v>12.4</c:v>
                </c:pt>
                <c:pt idx="6">
                  <c:v>9.6</c:v>
                </c:pt>
                <c:pt idx="7">
                  <c:v>7.4</c:v>
                </c:pt>
                <c:pt idx="8">
                  <c:v>18.5</c:v>
                </c:pt>
                <c:pt idx="9">
                  <c:v>37.5</c:v>
                </c:pt>
                <c:pt idx="10">
                  <c:v>4</c:v>
                </c:pt>
                <c:pt idx="11">
                  <c:v>45.5</c:v>
                </c:pt>
                <c:pt idx="12">
                  <c:v>10</c:v>
                </c:pt>
                <c:pt idx="13">
                  <c:v>10</c:v>
                </c:pt>
                <c:pt idx="14">
                  <c:v>18.3</c:v>
                </c:pt>
                <c:pt idx="15">
                  <c:v>13.4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12.3</c:v>
                </c:pt>
                <c:pt idx="22">
                  <c:v>12.9</c:v>
                </c:pt>
                <c:pt idx="23">
                  <c:v>10</c:v>
                </c:pt>
                <c:pt idx="24">
                  <c:v>11.8</c:v>
                </c:pt>
                <c:pt idx="25">
                  <c:v>10</c:v>
                </c:pt>
                <c:pt idx="26">
                  <c:v>11.6</c:v>
                </c:pt>
                <c:pt idx="27">
                  <c:v>19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23.837</c:v>
                </c:pt>
                <c:pt idx="32">
                  <c:v>14.343999999999999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28.995999999999999</c:v>
                </c:pt>
                <c:pt idx="37">
                  <c:v>19.701000000000001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7-49C2-8205-CFFD8DA8B637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Gráficos'!$C$579:$C$617</c:f>
              <c:numCache>
                <c:formatCode>0.00</c:formatCode>
                <c:ptCount val="39"/>
                <c:pt idx="0">
                  <c:v>20.7</c:v>
                </c:pt>
                <c:pt idx="1">
                  <c:v>6.4</c:v>
                </c:pt>
                <c:pt idx="2">
                  <c:v>24.4</c:v>
                </c:pt>
                <c:pt idx="3">
                  <c:v>4</c:v>
                </c:pt>
                <c:pt idx="4">
                  <c:v>12.5</c:v>
                </c:pt>
                <c:pt idx="5">
                  <c:v>12.7</c:v>
                </c:pt>
                <c:pt idx="6">
                  <c:v>8.5</c:v>
                </c:pt>
                <c:pt idx="7">
                  <c:v>6.2</c:v>
                </c:pt>
                <c:pt idx="8">
                  <c:v>16.8</c:v>
                </c:pt>
                <c:pt idx="9">
                  <c:v>20.8</c:v>
                </c:pt>
                <c:pt idx="10">
                  <c:v>4</c:v>
                </c:pt>
                <c:pt idx="11">
                  <c:v>57.6</c:v>
                </c:pt>
                <c:pt idx="12">
                  <c:v>10</c:v>
                </c:pt>
                <c:pt idx="13">
                  <c:v>10</c:v>
                </c:pt>
                <c:pt idx="14">
                  <c:v>10.3</c:v>
                </c:pt>
                <c:pt idx="15">
                  <c:v>12.3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10.1</c:v>
                </c:pt>
                <c:pt idx="22">
                  <c:v>13.2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18.7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34.496000000000002</c:v>
                </c:pt>
                <c:pt idx="32">
                  <c:v>14.244999999999999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17.390999999999998</c:v>
                </c:pt>
                <c:pt idx="37">
                  <c:v>16.577000000000002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F7-49C2-8205-CFFD8DA8B637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Gráficos'!$D$579:$D$617</c:f>
              <c:numCache>
                <c:formatCode>0.00</c:formatCode>
                <c:ptCount val="39"/>
                <c:pt idx="0">
                  <c:v>18.899999999999999</c:v>
                </c:pt>
                <c:pt idx="1">
                  <c:v>5.9</c:v>
                </c:pt>
                <c:pt idx="2">
                  <c:v>18.399999999999999</c:v>
                </c:pt>
                <c:pt idx="3">
                  <c:v>6.1</c:v>
                </c:pt>
                <c:pt idx="4">
                  <c:v>111.9</c:v>
                </c:pt>
                <c:pt idx="5">
                  <c:v>13.3</c:v>
                </c:pt>
                <c:pt idx="6">
                  <c:v>8.6</c:v>
                </c:pt>
                <c:pt idx="7">
                  <c:v>5.6</c:v>
                </c:pt>
                <c:pt idx="8">
                  <c:v>18.399999999999999</c:v>
                </c:pt>
                <c:pt idx="9">
                  <c:v>21</c:v>
                </c:pt>
                <c:pt idx="10">
                  <c:v>4</c:v>
                </c:pt>
                <c:pt idx="11">
                  <c:v>51.6</c:v>
                </c:pt>
                <c:pt idx="12">
                  <c:v>10</c:v>
                </c:pt>
                <c:pt idx="13">
                  <c:v>10</c:v>
                </c:pt>
                <c:pt idx="14">
                  <c:v>13.3</c:v>
                </c:pt>
                <c:pt idx="15">
                  <c:v>36.700000000000003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15.3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14.3</c:v>
                </c:pt>
                <c:pt idx="28">
                  <c:v>10</c:v>
                </c:pt>
                <c:pt idx="29">
                  <c:v>20</c:v>
                </c:pt>
                <c:pt idx="30">
                  <c:v>38.65</c:v>
                </c:pt>
                <c:pt idx="31">
                  <c:v>73.667000000000002</c:v>
                </c:pt>
                <c:pt idx="32">
                  <c:v>11.032999999999999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F7-49C2-8205-CFFD8DA8B637}"/>
            </c:ext>
          </c:extLst>
        </c:ser>
        <c:ser>
          <c:idx val="3"/>
          <c:order val="3"/>
          <c:tx>
            <c:strRef>
              <c:f>'P. Químicos Gráficos'!$E$563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Gráficos'!$E$579:$E$617</c:f>
              <c:numCache>
                <c:formatCode>0.00</c:formatCode>
                <c:ptCount val="39"/>
                <c:pt idx="0">
                  <c:v>28.2</c:v>
                </c:pt>
                <c:pt idx="1">
                  <c:v>6.2</c:v>
                </c:pt>
                <c:pt idx="2">
                  <c:v>22.5</c:v>
                </c:pt>
                <c:pt idx="3">
                  <c:v>11.9</c:v>
                </c:pt>
                <c:pt idx="4">
                  <c:v>160.69999999999999</c:v>
                </c:pt>
                <c:pt idx="5">
                  <c:v>10.8</c:v>
                </c:pt>
                <c:pt idx="6">
                  <c:v>49.9</c:v>
                </c:pt>
                <c:pt idx="7">
                  <c:v>12.9</c:v>
                </c:pt>
                <c:pt idx="8">
                  <c:v>20.9</c:v>
                </c:pt>
                <c:pt idx="9">
                  <c:v>28</c:v>
                </c:pt>
                <c:pt idx="10">
                  <c:v>4</c:v>
                </c:pt>
                <c:pt idx="11">
                  <c:v>68.5</c:v>
                </c:pt>
                <c:pt idx="12">
                  <c:v>24.2</c:v>
                </c:pt>
                <c:pt idx="13">
                  <c:v>96.7</c:v>
                </c:pt>
                <c:pt idx="14">
                  <c:v>77.099999999999994</c:v>
                </c:pt>
                <c:pt idx="15">
                  <c:v>28.9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17.2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14.4</c:v>
                </c:pt>
                <c:pt idx="27">
                  <c:v>21.8</c:v>
                </c:pt>
                <c:pt idx="28">
                  <c:v>10</c:v>
                </c:pt>
                <c:pt idx="29">
                  <c:v>20</c:v>
                </c:pt>
                <c:pt idx="31">
                  <c:v>32.395000000000003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4-4312-AD58-523CACF8819B}"/>
            </c:ext>
          </c:extLst>
        </c:ser>
        <c:ser>
          <c:idx val="4"/>
          <c:order val="4"/>
          <c:tx>
            <c:strRef>
              <c:f>'P. Químicos Gráficos'!$F$563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Gráficos'!$F$579:$F$617</c:f>
              <c:numCache>
                <c:formatCode>0.00</c:formatCode>
                <c:ptCount val="39"/>
                <c:pt idx="0">
                  <c:v>17.7</c:v>
                </c:pt>
                <c:pt idx="1">
                  <c:v>5.7</c:v>
                </c:pt>
                <c:pt idx="2">
                  <c:v>20.7</c:v>
                </c:pt>
                <c:pt idx="3">
                  <c:v>4</c:v>
                </c:pt>
                <c:pt idx="4">
                  <c:v>244.9</c:v>
                </c:pt>
                <c:pt idx="5">
                  <c:v>15.2</c:v>
                </c:pt>
                <c:pt idx="6">
                  <c:v>7.5</c:v>
                </c:pt>
                <c:pt idx="7">
                  <c:v>5.3</c:v>
                </c:pt>
                <c:pt idx="8">
                  <c:v>18.600000000000001</c:v>
                </c:pt>
                <c:pt idx="9">
                  <c:v>22.1</c:v>
                </c:pt>
                <c:pt idx="10">
                  <c:v>4</c:v>
                </c:pt>
                <c:pt idx="11">
                  <c:v>60</c:v>
                </c:pt>
                <c:pt idx="12">
                  <c:v>12.2</c:v>
                </c:pt>
                <c:pt idx="13">
                  <c:v>10</c:v>
                </c:pt>
                <c:pt idx="14">
                  <c:v>11.1</c:v>
                </c:pt>
                <c:pt idx="15">
                  <c:v>13.5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10.4</c:v>
                </c:pt>
                <c:pt idx="22">
                  <c:v>13.5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14.5</c:v>
                </c:pt>
                <c:pt idx="28">
                  <c:v>10</c:v>
                </c:pt>
                <c:pt idx="29">
                  <c:v>20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44-4312-AD58-523CACF8819B}"/>
            </c:ext>
          </c:extLst>
        </c:ser>
        <c:ser>
          <c:idx val="5"/>
          <c:order val="5"/>
          <c:tx>
            <c:strRef>
              <c:f>'P. Químicos Gráficos'!$G$563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Gráficos'!$A$579:$A$617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Gráficos'!$G$579:$G$617</c:f>
              <c:numCache>
                <c:formatCode>0.00</c:formatCode>
                <c:ptCount val="39"/>
                <c:pt idx="0">
                  <c:v>13.4</c:v>
                </c:pt>
                <c:pt idx="1">
                  <c:v>4.5</c:v>
                </c:pt>
                <c:pt idx="2">
                  <c:v>20.2</c:v>
                </c:pt>
                <c:pt idx="3">
                  <c:v>50</c:v>
                </c:pt>
                <c:pt idx="4">
                  <c:v>13.6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24.9</c:v>
                </c:pt>
                <c:pt idx="10">
                  <c:v>4</c:v>
                </c:pt>
                <c:pt idx="11">
                  <c:v>59.1</c:v>
                </c:pt>
                <c:pt idx="12">
                  <c:v>15.5</c:v>
                </c:pt>
                <c:pt idx="13">
                  <c:v>10</c:v>
                </c:pt>
                <c:pt idx="14">
                  <c:v>63.5</c:v>
                </c:pt>
                <c:pt idx="15">
                  <c:v>10</c:v>
                </c:pt>
                <c:pt idx="16">
                  <c:v>47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20</c:v>
                </c:pt>
                <c:pt idx="30">
                  <c:v>10</c:v>
                </c:pt>
                <c:pt idx="31">
                  <c:v>28.776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4-4312-AD58-523CACF8819B}"/>
            </c:ext>
          </c:extLst>
        </c:ser>
        <c:ser>
          <c:idx val="6"/>
          <c:order val="6"/>
          <c:tx>
            <c:strRef>
              <c:f>'P. Químicos Gráficos'!$H$563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'P. Químicos Gráficos'!$H$564:$H$618</c:f>
              <c:numCache>
                <c:formatCode>0.00</c:formatCode>
                <c:ptCount val="5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44-4312-AD58-523CACF8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35088"/>
        <c:axId val="318435648"/>
      </c:lineChart>
      <c:dateAx>
        <c:axId val="31843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35648"/>
        <c:crosses val="autoZero"/>
        <c:auto val="1"/>
        <c:lblOffset val="100"/>
        <c:baseTimeUnit val="months"/>
      </c:dateAx>
      <c:valAx>
        <c:axId val="3184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3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Cromo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Gráficos'!$B$639:$B$673</c:f>
            </c:numRef>
          </c:val>
          <c:smooth val="0"/>
          <c:extLst>
            <c:ext xmlns:c16="http://schemas.microsoft.com/office/drawing/2014/chart" uri="{C3380CC4-5D6E-409C-BE32-E72D297353CC}">
              <c16:uniqueId val="{00000000-7B28-4B72-9157-C2C759A12776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Gráficos'!$C$639:$C$673</c:f>
            </c:numRef>
          </c:val>
          <c:smooth val="0"/>
          <c:extLst>
            <c:ext xmlns:c16="http://schemas.microsoft.com/office/drawing/2014/chart" uri="{C3380CC4-5D6E-409C-BE32-E72D297353CC}">
              <c16:uniqueId val="{00000001-7B28-4B72-9157-C2C759A12776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Gráficos'!$D$639:$D$673</c:f>
            </c:numRef>
          </c:val>
          <c:smooth val="0"/>
          <c:extLst>
            <c:ext xmlns:c16="http://schemas.microsoft.com/office/drawing/2014/chart" uri="{C3380CC4-5D6E-409C-BE32-E72D297353CC}">
              <c16:uniqueId val="{00000002-7B28-4B72-9157-C2C759A12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39568"/>
        <c:axId val="318440128"/>
      </c:lineChart>
      <c:catAx>
        <c:axId val="31843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40128"/>
        <c:crosses val="autoZero"/>
        <c:auto val="1"/>
        <c:lblAlgn val="ctr"/>
        <c:lblOffset val="100"/>
        <c:noMultiLvlLbl val="1"/>
      </c:catAx>
      <c:valAx>
        <c:axId val="3184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layout>
            <c:manualLayout>
              <c:xMode val="edge"/>
              <c:yMode val="edge"/>
              <c:x val="2.0661157024793389E-2"/>
              <c:y val="0.373592234712309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Cromo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Gráficos'!$E$639:$E$673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Gráficos'!$F$639:$F$673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Gráficos'!$A$639:$A$673</c:f>
            </c:multiLvlStrRef>
          </c:cat>
          <c:val>
            <c:numRef>
              <c:f>'P. Químicos Gráficos'!$G$639:$G$673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44048"/>
        <c:axId val="318444608"/>
      </c:lineChart>
      <c:catAx>
        <c:axId val="31844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44608"/>
        <c:crosses val="autoZero"/>
        <c:auto val="1"/>
        <c:lblAlgn val="ctr"/>
        <c:lblOffset val="100"/>
        <c:noMultiLvlLbl val="1"/>
      </c:catAx>
      <c:valAx>
        <c:axId val="3184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84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Hierro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Gráficos'!$B$694:$B$732</c:f>
              <c:numCache>
                <c:formatCode>0.00</c:formatCode>
                <c:ptCount val="39"/>
                <c:pt idx="0">
                  <c:v>3.4319999999999999</c:v>
                </c:pt>
                <c:pt idx="1">
                  <c:v>0.28589999999999999</c:v>
                </c:pt>
                <c:pt idx="2">
                  <c:v>12.89</c:v>
                </c:pt>
                <c:pt idx="3">
                  <c:v>5.9269999999999996</c:v>
                </c:pt>
                <c:pt idx="4">
                  <c:v>1.9339999999999999</c:v>
                </c:pt>
                <c:pt idx="5">
                  <c:v>6.2557</c:v>
                </c:pt>
                <c:pt idx="6">
                  <c:v>6.6599999999999993E-2</c:v>
                </c:pt>
                <c:pt idx="7">
                  <c:v>0.40600000000000003</c:v>
                </c:pt>
                <c:pt idx="8">
                  <c:v>10.321299999999999</c:v>
                </c:pt>
                <c:pt idx="9">
                  <c:v>0.21480000000000002</c:v>
                </c:pt>
                <c:pt idx="10">
                  <c:v>0.129</c:v>
                </c:pt>
                <c:pt idx="11">
                  <c:v>2.8281000000000001</c:v>
                </c:pt>
                <c:pt idx="12">
                  <c:v>1.3640000000000001</c:v>
                </c:pt>
                <c:pt idx="13">
                  <c:v>0.216</c:v>
                </c:pt>
                <c:pt idx="14">
                  <c:v>2.6983000000000001</c:v>
                </c:pt>
                <c:pt idx="15">
                  <c:v>4.6486000000000001</c:v>
                </c:pt>
                <c:pt idx="16">
                  <c:v>1.7852999999999999</c:v>
                </c:pt>
                <c:pt idx="17">
                  <c:v>0.11309999999999999</c:v>
                </c:pt>
                <c:pt idx="18">
                  <c:v>2.4255</c:v>
                </c:pt>
                <c:pt idx="19">
                  <c:v>1.6247</c:v>
                </c:pt>
                <c:pt idx="20">
                  <c:v>0.4017</c:v>
                </c:pt>
                <c:pt idx="21">
                  <c:v>1.5862000000000001</c:v>
                </c:pt>
                <c:pt idx="22">
                  <c:v>6.6769999999999996</c:v>
                </c:pt>
                <c:pt idx="23">
                  <c:v>1.8622999999999998</c:v>
                </c:pt>
                <c:pt idx="24">
                  <c:v>0.34620000000000001</c:v>
                </c:pt>
                <c:pt idx="25">
                  <c:v>0.30510000000000004</c:v>
                </c:pt>
                <c:pt idx="26">
                  <c:v>1.4377</c:v>
                </c:pt>
                <c:pt idx="27">
                  <c:v>8.657</c:v>
                </c:pt>
                <c:pt idx="28">
                  <c:v>0.3417</c:v>
                </c:pt>
                <c:pt idx="29">
                  <c:v>0.5968</c:v>
                </c:pt>
                <c:pt idx="30">
                  <c:v>0.27599000000000001</c:v>
                </c:pt>
                <c:pt idx="31">
                  <c:v>13.7775</c:v>
                </c:pt>
                <c:pt idx="32">
                  <c:v>0.23155000000000001</c:v>
                </c:pt>
                <c:pt idx="33">
                  <c:v>2.4771999999999998</c:v>
                </c:pt>
                <c:pt idx="34">
                  <c:v>0.91464999999999996</c:v>
                </c:pt>
                <c:pt idx="35">
                  <c:v>0.22352</c:v>
                </c:pt>
                <c:pt idx="36">
                  <c:v>0.1452</c:v>
                </c:pt>
                <c:pt idx="37">
                  <c:v>9.7185000000000007E-2</c:v>
                </c:pt>
                <c:pt idx="38">
                  <c:v>0.12748999999999999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4-476D-96A4-76E3BC7F8204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Gráficos'!$C$694:$C$732</c:f>
              <c:numCache>
                <c:formatCode>0.00</c:formatCode>
                <c:ptCount val="39"/>
                <c:pt idx="0">
                  <c:v>3.1</c:v>
                </c:pt>
                <c:pt idx="1">
                  <c:v>0.30560000000000004</c:v>
                </c:pt>
                <c:pt idx="2">
                  <c:v>9.9220000000000006</c:v>
                </c:pt>
                <c:pt idx="3">
                  <c:v>8.3249999999999993</c:v>
                </c:pt>
                <c:pt idx="4">
                  <c:v>3.6179999999999999</c:v>
                </c:pt>
                <c:pt idx="5">
                  <c:v>5.8311000000000002</c:v>
                </c:pt>
                <c:pt idx="6">
                  <c:v>7.4799999999999991E-2</c:v>
                </c:pt>
                <c:pt idx="7">
                  <c:v>0.33739999999999998</c:v>
                </c:pt>
                <c:pt idx="8">
                  <c:v>9.4622000000000011</c:v>
                </c:pt>
                <c:pt idx="9">
                  <c:v>0.2137</c:v>
                </c:pt>
                <c:pt idx="10">
                  <c:v>1.23E-2</c:v>
                </c:pt>
                <c:pt idx="11">
                  <c:v>42.691000000000003</c:v>
                </c:pt>
                <c:pt idx="12">
                  <c:v>1.2925</c:v>
                </c:pt>
                <c:pt idx="13">
                  <c:v>0.2064</c:v>
                </c:pt>
                <c:pt idx="14">
                  <c:v>2.6532</c:v>
                </c:pt>
                <c:pt idx="15">
                  <c:v>4.7421000000000006</c:v>
                </c:pt>
                <c:pt idx="16">
                  <c:v>1.9734</c:v>
                </c:pt>
                <c:pt idx="17">
                  <c:v>0.2243</c:v>
                </c:pt>
                <c:pt idx="18">
                  <c:v>2.3319999999999999</c:v>
                </c:pt>
                <c:pt idx="19">
                  <c:v>1.5267999999999999</c:v>
                </c:pt>
                <c:pt idx="20">
                  <c:v>0.3372</c:v>
                </c:pt>
                <c:pt idx="21">
                  <c:v>1.2847999999999999</c:v>
                </c:pt>
                <c:pt idx="22">
                  <c:v>8.1234999999999999</c:v>
                </c:pt>
                <c:pt idx="23">
                  <c:v>1.9129</c:v>
                </c:pt>
                <c:pt idx="24">
                  <c:v>0.32780000000000004</c:v>
                </c:pt>
                <c:pt idx="25">
                  <c:v>0.1845</c:v>
                </c:pt>
                <c:pt idx="26">
                  <c:v>1.2892000000000001</c:v>
                </c:pt>
                <c:pt idx="27">
                  <c:v>8.3666</c:v>
                </c:pt>
                <c:pt idx="28">
                  <c:v>0.29599999999999999</c:v>
                </c:pt>
                <c:pt idx="29">
                  <c:v>0.8478</c:v>
                </c:pt>
                <c:pt idx="30">
                  <c:v>0.32119999999999999</c:v>
                </c:pt>
                <c:pt idx="31">
                  <c:v>14.2835</c:v>
                </c:pt>
                <c:pt idx="32">
                  <c:v>0.23683000000000001</c:v>
                </c:pt>
                <c:pt idx="33">
                  <c:v>2.5684999999999998</c:v>
                </c:pt>
                <c:pt idx="34">
                  <c:v>1.012</c:v>
                </c:pt>
                <c:pt idx="35">
                  <c:v>0.24793999999999999</c:v>
                </c:pt>
                <c:pt idx="36">
                  <c:v>0.11517000000000001</c:v>
                </c:pt>
                <c:pt idx="37">
                  <c:v>0.10959300000000001</c:v>
                </c:pt>
                <c:pt idx="38">
                  <c:v>0.23605999999999999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4-476D-96A4-76E3BC7F8204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Gráficos'!$D$694:$D$732</c:f>
              <c:numCache>
                <c:formatCode>0.00</c:formatCode>
                <c:ptCount val="39"/>
                <c:pt idx="0">
                  <c:v>4.1950000000000003</c:v>
                </c:pt>
                <c:pt idx="1">
                  <c:v>0.307</c:v>
                </c:pt>
                <c:pt idx="2">
                  <c:v>11.72</c:v>
                </c:pt>
                <c:pt idx="3">
                  <c:v>14.58</c:v>
                </c:pt>
                <c:pt idx="4">
                  <c:v>78.62</c:v>
                </c:pt>
                <c:pt idx="5">
                  <c:v>7.3677999999999999</c:v>
                </c:pt>
                <c:pt idx="6">
                  <c:v>0.10540000000000001</c:v>
                </c:pt>
                <c:pt idx="7">
                  <c:v>0.36889999999999995</c:v>
                </c:pt>
                <c:pt idx="8">
                  <c:v>8.8902000000000001</c:v>
                </c:pt>
                <c:pt idx="9">
                  <c:v>0.27489999999999998</c:v>
                </c:pt>
                <c:pt idx="10">
                  <c:v>6.9000000000000006E-2</c:v>
                </c:pt>
                <c:pt idx="11">
                  <c:v>35.576000000000001</c:v>
                </c:pt>
                <c:pt idx="12">
                  <c:v>1.43</c:v>
                </c:pt>
                <c:pt idx="13">
                  <c:v>0.18630000000000002</c:v>
                </c:pt>
                <c:pt idx="14">
                  <c:v>3.4980000000000002</c:v>
                </c:pt>
                <c:pt idx="15">
                  <c:v>9.9099000000000004</c:v>
                </c:pt>
                <c:pt idx="16">
                  <c:v>1.903</c:v>
                </c:pt>
                <c:pt idx="17">
                  <c:v>0.24309999999999998</c:v>
                </c:pt>
                <c:pt idx="18">
                  <c:v>2.4497</c:v>
                </c:pt>
                <c:pt idx="19">
                  <c:v>1.4883</c:v>
                </c:pt>
                <c:pt idx="20">
                  <c:v>0.31869999999999998</c:v>
                </c:pt>
                <c:pt idx="21">
                  <c:v>1.1814</c:v>
                </c:pt>
                <c:pt idx="22">
                  <c:v>10.813000000000001</c:v>
                </c:pt>
                <c:pt idx="23">
                  <c:v>1.6687000000000001</c:v>
                </c:pt>
                <c:pt idx="24">
                  <c:v>0.28039999999999998</c:v>
                </c:pt>
                <c:pt idx="25">
                  <c:v>0.17580000000000001</c:v>
                </c:pt>
                <c:pt idx="26">
                  <c:v>1.4399000000000002</c:v>
                </c:pt>
                <c:pt idx="27">
                  <c:v>8.3963000000000001</c:v>
                </c:pt>
                <c:pt idx="28">
                  <c:v>7.0599999999999996E-2</c:v>
                </c:pt>
                <c:pt idx="29">
                  <c:v>0.51019999999999999</c:v>
                </c:pt>
                <c:pt idx="30">
                  <c:v>0.84248999999999996</c:v>
                </c:pt>
                <c:pt idx="31">
                  <c:v>12.881</c:v>
                </c:pt>
                <c:pt idx="32">
                  <c:v>0.32544000000000001</c:v>
                </c:pt>
                <c:pt idx="33">
                  <c:v>2.6619999999999999</c:v>
                </c:pt>
                <c:pt idx="34">
                  <c:v>0.85117999999999994</c:v>
                </c:pt>
                <c:pt idx="35">
                  <c:v>0.18809999999999999</c:v>
                </c:pt>
                <c:pt idx="38">
                  <c:v>0.15059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A4-476D-96A4-76E3BC7F8204}"/>
            </c:ext>
          </c:extLst>
        </c:ser>
        <c:ser>
          <c:idx val="3"/>
          <c:order val="3"/>
          <c:tx>
            <c:strRef>
              <c:f>'P. Químicos Gráficos'!$E$678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Gráficos'!$E$694:$E$732</c:f>
              <c:numCache>
                <c:formatCode>0.00</c:formatCode>
                <c:ptCount val="39"/>
                <c:pt idx="0">
                  <c:v>9.8030000000000008</c:v>
                </c:pt>
                <c:pt idx="1">
                  <c:v>0.2601</c:v>
                </c:pt>
                <c:pt idx="2">
                  <c:v>13.19</c:v>
                </c:pt>
                <c:pt idx="3">
                  <c:v>20.03</c:v>
                </c:pt>
                <c:pt idx="4">
                  <c:v>8.0470000000000006</c:v>
                </c:pt>
                <c:pt idx="5">
                  <c:v>5.0853000000000002</c:v>
                </c:pt>
                <c:pt idx="6">
                  <c:v>5.4799999999999995E-2</c:v>
                </c:pt>
                <c:pt idx="7">
                  <c:v>0.60829999999999995</c:v>
                </c:pt>
                <c:pt idx="8">
                  <c:v>11.957000000000001</c:v>
                </c:pt>
                <c:pt idx="9">
                  <c:v>2.3727</c:v>
                </c:pt>
                <c:pt idx="10">
                  <c:v>9.01E-2</c:v>
                </c:pt>
                <c:pt idx="11">
                  <c:v>56.341999999999999</c:v>
                </c:pt>
                <c:pt idx="12">
                  <c:v>4.1063000000000001</c:v>
                </c:pt>
                <c:pt idx="13">
                  <c:v>0.3054</c:v>
                </c:pt>
                <c:pt idx="14">
                  <c:v>51.557000000000002</c:v>
                </c:pt>
                <c:pt idx="15">
                  <c:v>21.042999999999999</c:v>
                </c:pt>
                <c:pt idx="16">
                  <c:v>1.3112000000000001</c:v>
                </c:pt>
                <c:pt idx="17">
                  <c:v>0.19750000000000001</c:v>
                </c:pt>
                <c:pt idx="18">
                  <c:v>2.4893000000000001</c:v>
                </c:pt>
                <c:pt idx="19">
                  <c:v>2.3353000000000002</c:v>
                </c:pt>
                <c:pt idx="20">
                  <c:v>0.40720000000000001</c:v>
                </c:pt>
                <c:pt idx="21">
                  <c:v>0.88009999999999999</c:v>
                </c:pt>
                <c:pt idx="22">
                  <c:v>11.308</c:v>
                </c:pt>
                <c:pt idx="23">
                  <c:v>2.5278</c:v>
                </c:pt>
                <c:pt idx="24">
                  <c:v>0.19069999999999998</c:v>
                </c:pt>
                <c:pt idx="25">
                  <c:v>0.30610000000000004</c:v>
                </c:pt>
                <c:pt idx="26">
                  <c:v>1.5554000000000001</c:v>
                </c:pt>
                <c:pt idx="27">
                  <c:v>13.079000000000001</c:v>
                </c:pt>
                <c:pt idx="28">
                  <c:v>8.14E-2</c:v>
                </c:pt>
                <c:pt idx="29">
                  <c:v>0.72170000000000001</c:v>
                </c:pt>
                <c:pt idx="31">
                  <c:v>13.893000000000001</c:v>
                </c:pt>
                <c:pt idx="32">
                  <c:v>0.13365000000000002</c:v>
                </c:pt>
                <c:pt idx="33">
                  <c:v>4.0216000000000003</c:v>
                </c:pt>
                <c:pt idx="34">
                  <c:v>1.4212</c:v>
                </c:pt>
                <c:pt idx="35">
                  <c:v>0.29743999999999998</c:v>
                </c:pt>
                <c:pt idx="38">
                  <c:v>0.51655999999999991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F-4CEE-9235-344CD99E05C3}"/>
            </c:ext>
          </c:extLst>
        </c:ser>
        <c:ser>
          <c:idx val="4"/>
          <c:order val="4"/>
          <c:tx>
            <c:strRef>
              <c:f>'P. Químicos Gráficos'!$F$678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Gráficos'!$F$694:$F$732</c:f>
              <c:numCache>
                <c:formatCode>0.00</c:formatCode>
                <c:ptCount val="39"/>
                <c:pt idx="0">
                  <c:v>5.0019999999999998</c:v>
                </c:pt>
                <c:pt idx="1">
                  <c:v>0.28799999999999998</c:v>
                </c:pt>
                <c:pt idx="2">
                  <c:v>13.5</c:v>
                </c:pt>
                <c:pt idx="3">
                  <c:v>8.9920000000000009</c:v>
                </c:pt>
                <c:pt idx="4">
                  <c:v>4.5759999999999996</c:v>
                </c:pt>
                <c:pt idx="5">
                  <c:v>5.9565000000000001</c:v>
                </c:pt>
                <c:pt idx="6">
                  <c:v>0.1004</c:v>
                </c:pt>
                <c:pt idx="7">
                  <c:v>0.41339999999999999</c:v>
                </c:pt>
                <c:pt idx="8">
                  <c:v>10.5336</c:v>
                </c:pt>
                <c:pt idx="9">
                  <c:v>0.22950000000000001</c:v>
                </c:pt>
                <c:pt idx="10">
                  <c:v>0.2427</c:v>
                </c:pt>
                <c:pt idx="11">
                  <c:v>50.170999999999999</c:v>
                </c:pt>
                <c:pt idx="12">
                  <c:v>2.2363000000000004</c:v>
                </c:pt>
                <c:pt idx="13">
                  <c:v>0.69729999999999992</c:v>
                </c:pt>
                <c:pt idx="14">
                  <c:v>5.1281999999999996</c:v>
                </c:pt>
                <c:pt idx="15">
                  <c:v>7.7593999999999994</c:v>
                </c:pt>
                <c:pt idx="16">
                  <c:v>2.0394000000000001</c:v>
                </c:pt>
                <c:pt idx="17">
                  <c:v>0.21959999999999999</c:v>
                </c:pt>
                <c:pt idx="18">
                  <c:v>2.3683000000000001</c:v>
                </c:pt>
                <c:pt idx="19">
                  <c:v>1.6235999999999999</c:v>
                </c:pt>
                <c:pt idx="20">
                  <c:v>0.40379999999999999</c:v>
                </c:pt>
                <c:pt idx="21">
                  <c:v>1.4718</c:v>
                </c:pt>
                <c:pt idx="22">
                  <c:v>8.6757000000000009</c:v>
                </c:pt>
                <c:pt idx="23">
                  <c:v>0.25380000000000003</c:v>
                </c:pt>
                <c:pt idx="24">
                  <c:v>0.1628</c:v>
                </c:pt>
                <c:pt idx="25">
                  <c:v>0.26519999999999999</c:v>
                </c:pt>
                <c:pt idx="26">
                  <c:v>1.4365999999999999</c:v>
                </c:pt>
                <c:pt idx="27">
                  <c:v>9.0100999999999996</c:v>
                </c:pt>
                <c:pt idx="28">
                  <c:v>9.3400000000000011E-2</c:v>
                </c:pt>
                <c:pt idx="29">
                  <c:v>0.7611</c:v>
                </c:pt>
                <c:pt idx="30">
                  <c:v>0.1991</c:v>
                </c:pt>
                <c:pt idx="31">
                  <c:v>0.20482</c:v>
                </c:pt>
                <c:pt idx="32">
                  <c:v>0.18480000000000002</c:v>
                </c:pt>
                <c:pt idx="33">
                  <c:v>2.5871999999999997</c:v>
                </c:pt>
                <c:pt idx="34">
                  <c:v>0.92257</c:v>
                </c:pt>
                <c:pt idx="35">
                  <c:v>0.23441000000000001</c:v>
                </c:pt>
                <c:pt idx="38">
                  <c:v>0.42998999999999998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F-4CEE-9235-344CD99E05C3}"/>
            </c:ext>
          </c:extLst>
        </c:ser>
        <c:ser>
          <c:idx val="5"/>
          <c:order val="5"/>
          <c:tx>
            <c:strRef>
              <c:f>'P. Químicos Gráficos'!$G$678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Gráficos'!$A$694:$A$732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Gráficos'!$G$694:$G$732</c:f>
              <c:numCache>
                <c:formatCode>0.00</c:formatCode>
                <c:ptCount val="39"/>
                <c:pt idx="0">
                  <c:v>2.1059999999999999</c:v>
                </c:pt>
                <c:pt idx="1">
                  <c:v>7.7799999999999994E-2</c:v>
                </c:pt>
                <c:pt idx="2">
                  <c:v>0.72650000000000003</c:v>
                </c:pt>
                <c:pt idx="3">
                  <c:v>13.21</c:v>
                </c:pt>
                <c:pt idx="4">
                  <c:v>0.1618</c:v>
                </c:pt>
                <c:pt idx="5">
                  <c:v>0.26</c:v>
                </c:pt>
                <c:pt idx="6">
                  <c:v>0.32219999999999999</c:v>
                </c:pt>
                <c:pt idx="7">
                  <c:v>0.19800000000000001</c:v>
                </c:pt>
                <c:pt idx="8">
                  <c:v>0.159</c:v>
                </c:pt>
                <c:pt idx="9">
                  <c:v>0.1009</c:v>
                </c:pt>
                <c:pt idx="10">
                  <c:v>2.6199999999999998E-2</c:v>
                </c:pt>
                <c:pt idx="11">
                  <c:v>47.750999999999998</c:v>
                </c:pt>
                <c:pt idx="12">
                  <c:v>1.8942000000000001</c:v>
                </c:pt>
                <c:pt idx="13">
                  <c:v>0.13090000000000002</c:v>
                </c:pt>
                <c:pt idx="14">
                  <c:v>44.55</c:v>
                </c:pt>
                <c:pt idx="15">
                  <c:v>5.0886000000000005</c:v>
                </c:pt>
                <c:pt idx="16">
                  <c:v>0.84899999999999998</c:v>
                </c:pt>
                <c:pt idx="19">
                  <c:v>0.21130000000000002</c:v>
                </c:pt>
                <c:pt idx="20">
                  <c:v>8.0099999999999991E-2</c:v>
                </c:pt>
                <c:pt idx="21">
                  <c:v>0.39339999999999997</c:v>
                </c:pt>
                <c:pt idx="22">
                  <c:v>0.40329999999999999</c:v>
                </c:pt>
                <c:pt idx="23">
                  <c:v>0.61150000000000004</c:v>
                </c:pt>
                <c:pt idx="24">
                  <c:v>0.33260000000000001</c:v>
                </c:pt>
                <c:pt idx="25">
                  <c:v>0.1918</c:v>
                </c:pt>
                <c:pt idx="26">
                  <c:v>0.48260000000000003</c:v>
                </c:pt>
                <c:pt idx="27">
                  <c:v>1.155</c:v>
                </c:pt>
                <c:pt idx="28">
                  <c:v>0.10100000000000001</c:v>
                </c:pt>
                <c:pt idx="29">
                  <c:v>6.6299999999999998E-2</c:v>
                </c:pt>
                <c:pt idx="30">
                  <c:v>0.12265000000000001</c:v>
                </c:pt>
                <c:pt idx="31">
                  <c:v>14.470499999999999</c:v>
                </c:pt>
                <c:pt idx="32">
                  <c:v>1.6180999999999999</c:v>
                </c:pt>
                <c:pt idx="33">
                  <c:v>0.35188999999999998</c:v>
                </c:pt>
                <c:pt idx="34">
                  <c:v>0.15411000000000002</c:v>
                </c:pt>
                <c:pt idx="35">
                  <c:v>0.99285999999999996</c:v>
                </c:pt>
                <c:pt idx="38">
                  <c:v>1.1495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EF-4CEE-9235-344CD99E0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998416"/>
        <c:axId val="319998976"/>
      </c:lineChart>
      <c:dateAx>
        <c:axId val="3199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9998976"/>
        <c:crosses val="autoZero"/>
        <c:auto val="1"/>
        <c:lblOffset val="100"/>
        <c:baseTimeUnit val="days"/>
      </c:dateAx>
      <c:valAx>
        <c:axId val="3199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1999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Manganeso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Gráficos'!$B$754:$B$792</c:f>
              <c:numCache>
                <c:formatCode>0.000</c:formatCode>
                <c:ptCount val="39"/>
                <c:pt idx="0">
                  <c:v>6.0100000000000001E-2</c:v>
                </c:pt>
                <c:pt idx="1">
                  <c:v>2.0899999999999998E-2</c:v>
                </c:pt>
                <c:pt idx="2">
                  <c:v>0.1217</c:v>
                </c:pt>
                <c:pt idx="4">
                  <c:v>3.1399999999999997E-2</c:v>
                </c:pt>
                <c:pt idx="6">
                  <c:v>3.7100000000000001E-2</c:v>
                </c:pt>
                <c:pt idx="8">
                  <c:v>0.20480000000000001</c:v>
                </c:pt>
                <c:pt idx="10">
                  <c:v>2.7100000000000003E-2</c:v>
                </c:pt>
                <c:pt idx="12">
                  <c:v>4.7100000000000003E-2</c:v>
                </c:pt>
                <c:pt idx="15">
                  <c:v>8.3799999999999999E-2</c:v>
                </c:pt>
                <c:pt idx="17">
                  <c:v>2.8799999999999999E-2</c:v>
                </c:pt>
                <c:pt idx="19">
                  <c:v>5.1200000000000002E-2</c:v>
                </c:pt>
                <c:pt idx="20">
                  <c:v>2.1600000000000001E-2</c:v>
                </c:pt>
                <c:pt idx="21">
                  <c:v>5.3200000000000004E-2</c:v>
                </c:pt>
                <c:pt idx="22">
                  <c:v>0.3533</c:v>
                </c:pt>
                <c:pt idx="23">
                  <c:v>8.2000000000000003E-2</c:v>
                </c:pt>
                <c:pt idx="24">
                  <c:v>2.6199999999999998E-2</c:v>
                </c:pt>
                <c:pt idx="25">
                  <c:v>3.2799999999999996E-2</c:v>
                </c:pt>
                <c:pt idx="26">
                  <c:v>7.8799999999999995E-2</c:v>
                </c:pt>
                <c:pt idx="27">
                  <c:v>0.25869999999999999</c:v>
                </c:pt>
                <c:pt idx="28">
                  <c:v>3.78E-2</c:v>
                </c:pt>
                <c:pt idx="29">
                  <c:v>9.3799999999999994E-2</c:v>
                </c:pt>
                <c:pt idx="30">
                  <c:v>6.787E-2</c:v>
                </c:pt>
                <c:pt idx="31">
                  <c:v>0.22516999999999998</c:v>
                </c:pt>
                <c:pt idx="32">
                  <c:v>1.8106000000000001E-2</c:v>
                </c:pt>
                <c:pt idx="33">
                  <c:v>5.1864E-2</c:v>
                </c:pt>
                <c:pt idx="34">
                  <c:v>5.0798000000000003E-2</c:v>
                </c:pt>
                <c:pt idx="35">
                  <c:v>3.2149999999999998E-2</c:v>
                </c:pt>
                <c:pt idx="36">
                  <c:v>2.4958999999999999E-2</c:v>
                </c:pt>
                <c:pt idx="37">
                  <c:v>2.7511000000000001E-2</c:v>
                </c:pt>
                <c:pt idx="38">
                  <c:v>3.8420000000000003E-2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D3-4324-965D-0A3D082E5D18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Gráficos'!$C$754:$C$792</c:f>
              <c:numCache>
                <c:formatCode>0.000</c:formatCode>
                <c:ptCount val="39"/>
                <c:pt idx="0">
                  <c:v>6.5599999999999992E-2</c:v>
                </c:pt>
                <c:pt idx="1">
                  <c:v>5.1999999999999998E-2</c:v>
                </c:pt>
                <c:pt idx="2">
                  <c:v>0.1133</c:v>
                </c:pt>
                <c:pt idx="4">
                  <c:v>0.114</c:v>
                </c:pt>
                <c:pt idx="6">
                  <c:v>8.3400000000000002E-2</c:v>
                </c:pt>
                <c:pt idx="8">
                  <c:v>0.2001</c:v>
                </c:pt>
                <c:pt idx="10">
                  <c:v>5.6000000000000001E-2</c:v>
                </c:pt>
                <c:pt idx="12">
                  <c:v>7.3599999999999999E-2</c:v>
                </c:pt>
                <c:pt idx="15">
                  <c:v>9.1400000000000009E-2</c:v>
                </c:pt>
                <c:pt idx="17">
                  <c:v>7.3499999999999996E-2</c:v>
                </c:pt>
                <c:pt idx="19">
                  <c:v>5.28E-2</c:v>
                </c:pt>
                <c:pt idx="20">
                  <c:v>2.9899999999999999E-2</c:v>
                </c:pt>
                <c:pt idx="21">
                  <c:v>9.2599999999999988E-2</c:v>
                </c:pt>
                <c:pt idx="22">
                  <c:v>0.34229999999999999</c:v>
                </c:pt>
                <c:pt idx="23">
                  <c:v>0.10590000000000001</c:v>
                </c:pt>
                <c:pt idx="24">
                  <c:v>4.6600000000000003E-2</c:v>
                </c:pt>
                <c:pt idx="25">
                  <c:v>0.1009</c:v>
                </c:pt>
                <c:pt idx="26">
                  <c:v>0.1144</c:v>
                </c:pt>
                <c:pt idx="27">
                  <c:v>0.26319999999999999</c:v>
                </c:pt>
                <c:pt idx="28">
                  <c:v>3.6600000000000001E-2</c:v>
                </c:pt>
                <c:pt idx="29">
                  <c:v>0.2344</c:v>
                </c:pt>
                <c:pt idx="30">
                  <c:v>0.10969</c:v>
                </c:pt>
                <c:pt idx="31">
                  <c:v>0.26069999999999999</c:v>
                </c:pt>
                <c:pt idx="32">
                  <c:v>3.1229E-2</c:v>
                </c:pt>
                <c:pt idx="33">
                  <c:v>7.3436000000000001E-2</c:v>
                </c:pt>
                <c:pt idx="34">
                  <c:v>7.5801000000000007E-2</c:v>
                </c:pt>
                <c:pt idx="35">
                  <c:v>6.2590000000000007E-2</c:v>
                </c:pt>
                <c:pt idx="36">
                  <c:v>5.3613999999999995E-2</c:v>
                </c:pt>
                <c:pt idx="37">
                  <c:v>7.1499999999999994E-2</c:v>
                </c:pt>
                <c:pt idx="38">
                  <c:v>0.15972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D3-4324-965D-0A3D082E5D18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Gráficos'!$D$754:$D$792</c:f>
              <c:numCache>
                <c:formatCode>0.000</c:formatCode>
                <c:ptCount val="39"/>
                <c:pt idx="0">
                  <c:v>6.9800000000000001E-2</c:v>
                </c:pt>
                <c:pt idx="1">
                  <c:v>4.4600000000000001E-2</c:v>
                </c:pt>
                <c:pt idx="2">
                  <c:v>0.1166</c:v>
                </c:pt>
                <c:pt idx="6">
                  <c:v>3.3000000000000002E-2</c:v>
                </c:pt>
                <c:pt idx="8">
                  <c:v>0.1835</c:v>
                </c:pt>
                <c:pt idx="10">
                  <c:v>1.03E-2</c:v>
                </c:pt>
                <c:pt idx="12">
                  <c:v>5.8400000000000001E-2</c:v>
                </c:pt>
                <c:pt idx="15">
                  <c:v>0.1527</c:v>
                </c:pt>
                <c:pt idx="17">
                  <c:v>4.99E-2</c:v>
                </c:pt>
                <c:pt idx="19">
                  <c:v>4.4400000000000002E-2</c:v>
                </c:pt>
                <c:pt idx="20">
                  <c:v>2.2699999999999998E-2</c:v>
                </c:pt>
                <c:pt idx="21">
                  <c:v>7.2999999999999995E-2</c:v>
                </c:pt>
                <c:pt idx="22">
                  <c:v>0.35270000000000001</c:v>
                </c:pt>
                <c:pt idx="23">
                  <c:v>9.4900000000000012E-2</c:v>
                </c:pt>
                <c:pt idx="24">
                  <c:v>3.5799999999999998E-2</c:v>
                </c:pt>
                <c:pt idx="25">
                  <c:v>3.85E-2</c:v>
                </c:pt>
                <c:pt idx="26">
                  <c:v>0.1462</c:v>
                </c:pt>
                <c:pt idx="27">
                  <c:v>0.2442</c:v>
                </c:pt>
                <c:pt idx="28">
                  <c:v>2.1600000000000001E-2</c:v>
                </c:pt>
                <c:pt idx="29">
                  <c:v>8.6699999999999999E-2</c:v>
                </c:pt>
                <c:pt idx="30">
                  <c:v>6.2329999999999997E-2</c:v>
                </c:pt>
                <c:pt idx="31">
                  <c:v>0.22253000000000001</c:v>
                </c:pt>
                <c:pt idx="32">
                  <c:v>4.3064999999999999E-2</c:v>
                </c:pt>
                <c:pt idx="33">
                  <c:v>7.1400999999999992E-2</c:v>
                </c:pt>
                <c:pt idx="34">
                  <c:v>5.9950000000000003E-2</c:v>
                </c:pt>
                <c:pt idx="35">
                  <c:v>2.4930000000000001E-2</c:v>
                </c:pt>
                <c:pt idx="38">
                  <c:v>2.0129999999999999E-2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D3-4324-965D-0A3D082E5D18}"/>
            </c:ext>
          </c:extLst>
        </c:ser>
        <c:ser>
          <c:idx val="3"/>
          <c:order val="3"/>
          <c:tx>
            <c:strRef>
              <c:f>'P. Químicos Gráficos'!$E$738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Gráficos'!$E$754:$E$792</c:f>
              <c:numCache>
                <c:formatCode>0.000</c:formatCode>
                <c:ptCount val="39"/>
                <c:pt idx="0">
                  <c:v>0.16619999999999999</c:v>
                </c:pt>
                <c:pt idx="1">
                  <c:v>3.4500000000000003E-2</c:v>
                </c:pt>
                <c:pt idx="2">
                  <c:v>0.15569999999999998</c:v>
                </c:pt>
                <c:pt idx="4">
                  <c:v>0.15919999999999998</c:v>
                </c:pt>
                <c:pt idx="6">
                  <c:v>7.4999999999999997E-3</c:v>
                </c:pt>
                <c:pt idx="8">
                  <c:v>0.2044</c:v>
                </c:pt>
                <c:pt idx="10">
                  <c:v>8.3000000000000001E-3</c:v>
                </c:pt>
                <c:pt idx="12">
                  <c:v>0.1565</c:v>
                </c:pt>
                <c:pt idx="15">
                  <c:v>0.30530000000000002</c:v>
                </c:pt>
                <c:pt idx="17">
                  <c:v>4.41E-2</c:v>
                </c:pt>
                <c:pt idx="19">
                  <c:v>7.4999999999999997E-2</c:v>
                </c:pt>
                <c:pt idx="20">
                  <c:v>3.2100000000000004E-2</c:v>
                </c:pt>
                <c:pt idx="21">
                  <c:v>5.4450000000000005E-2</c:v>
                </c:pt>
                <c:pt idx="22">
                  <c:v>0.4365</c:v>
                </c:pt>
                <c:pt idx="23">
                  <c:v>0.1052</c:v>
                </c:pt>
                <c:pt idx="24">
                  <c:v>5.3899999999999997E-2</c:v>
                </c:pt>
                <c:pt idx="25">
                  <c:v>2.4E-2</c:v>
                </c:pt>
                <c:pt idx="26">
                  <c:v>8.1599999999999992E-2</c:v>
                </c:pt>
                <c:pt idx="27">
                  <c:v>0.30660000000000004</c:v>
                </c:pt>
                <c:pt idx="28">
                  <c:v>2.53E-2</c:v>
                </c:pt>
                <c:pt idx="29">
                  <c:v>8.9700000000000002E-2</c:v>
                </c:pt>
                <c:pt idx="31">
                  <c:v>0.25662999999999997</c:v>
                </c:pt>
                <c:pt idx="32">
                  <c:v>2.1109000000000003E-2</c:v>
                </c:pt>
                <c:pt idx="33">
                  <c:v>0.12165999999999999</c:v>
                </c:pt>
                <c:pt idx="34">
                  <c:v>7.0543000000000008E-2</c:v>
                </c:pt>
                <c:pt idx="35">
                  <c:v>5.1130000000000002E-2</c:v>
                </c:pt>
                <c:pt idx="38">
                  <c:v>5.4969999999999998E-2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2-4072-BD90-544258B5A4EF}"/>
            </c:ext>
          </c:extLst>
        </c:ser>
        <c:ser>
          <c:idx val="4"/>
          <c:order val="4"/>
          <c:tx>
            <c:strRef>
              <c:f>'P. Químicos Gráficos'!$F$738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Gráficos'!$F$754:$F$792</c:f>
              <c:numCache>
                <c:formatCode>0.000</c:formatCode>
                <c:ptCount val="39"/>
                <c:pt idx="0">
                  <c:v>6.6500000000000004E-2</c:v>
                </c:pt>
                <c:pt idx="1">
                  <c:v>4.6399999999999997E-2</c:v>
                </c:pt>
                <c:pt idx="2">
                  <c:v>0.14649999999999999</c:v>
                </c:pt>
                <c:pt idx="4">
                  <c:v>0.1323</c:v>
                </c:pt>
                <c:pt idx="6">
                  <c:v>8.0500000000000002E-2</c:v>
                </c:pt>
                <c:pt idx="8">
                  <c:v>0.21490000000000001</c:v>
                </c:pt>
                <c:pt idx="10">
                  <c:v>8.72E-2</c:v>
                </c:pt>
                <c:pt idx="12">
                  <c:v>7.8299999999999995E-2</c:v>
                </c:pt>
                <c:pt idx="15">
                  <c:v>0.1021</c:v>
                </c:pt>
                <c:pt idx="17">
                  <c:v>8.4699999999999998E-2</c:v>
                </c:pt>
                <c:pt idx="19">
                  <c:v>4.9799999999999997E-2</c:v>
                </c:pt>
                <c:pt idx="20">
                  <c:v>3.5099999999999999E-2</c:v>
                </c:pt>
                <c:pt idx="21">
                  <c:v>9.2599999999999988E-2</c:v>
                </c:pt>
                <c:pt idx="22">
                  <c:v>0.34210000000000002</c:v>
                </c:pt>
                <c:pt idx="23">
                  <c:v>0.10829999999999999</c:v>
                </c:pt>
                <c:pt idx="24">
                  <c:v>1.2E-2</c:v>
                </c:pt>
                <c:pt idx="25">
                  <c:v>8.6400000000000005E-2</c:v>
                </c:pt>
                <c:pt idx="26">
                  <c:v>9.8799999999999999E-2</c:v>
                </c:pt>
                <c:pt idx="27">
                  <c:v>0.2462</c:v>
                </c:pt>
                <c:pt idx="28">
                  <c:v>3.2000000000000001E-2</c:v>
                </c:pt>
                <c:pt idx="29">
                  <c:v>0.17560000000000001</c:v>
                </c:pt>
                <c:pt idx="30">
                  <c:v>6.2939999999999996E-2</c:v>
                </c:pt>
                <c:pt idx="31">
                  <c:v>0.20899999999999999</c:v>
                </c:pt>
                <c:pt idx="32">
                  <c:v>1.6280000000000003E-2</c:v>
                </c:pt>
                <c:pt idx="33">
                  <c:v>7.2973999999999997E-2</c:v>
                </c:pt>
                <c:pt idx="34">
                  <c:v>7.1543999999999996E-2</c:v>
                </c:pt>
                <c:pt idx="35">
                  <c:v>6.0590000000000005E-2</c:v>
                </c:pt>
                <c:pt idx="38">
                  <c:v>0.16247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92-4072-BD90-544258B5A4EF}"/>
            </c:ext>
          </c:extLst>
        </c:ser>
        <c:ser>
          <c:idx val="5"/>
          <c:order val="5"/>
          <c:tx>
            <c:strRef>
              <c:f>'P. Químicos Gráficos'!$G$738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Gráficos'!$A$754:$A$792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Gráficos'!$G$754:$G$792</c:f>
              <c:numCache>
                <c:formatCode>0.000</c:formatCode>
                <c:ptCount val="39"/>
                <c:pt idx="0">
                  <c:v>3.5000000000000003E-2</c:v>
                </c:pt>
                <c:pt idx="1">
                  <c:v>9.6999999999999986E-3</c:v>
                </c:pt>
                <c:pt idx="2">
                  <c:v>1.32E-2</c:v>
                </c:pt>
                <c:pt idx="4">
                  <c:v>9.4999999999999998E-3</c:v>
                </c:pt>
                <c:pt idx="6">
                  <c:v>3.9899999999999998E-2</c:v>
                </c:pt>
                <c:pt idx="8">
                  <c:v>1.21E-2</c:v>
                </c:pt>
                <c:pt idx="10">
                  <c:v>2.5100000000000001E-2</c:v>
                </c:pt>
                <c:pt idx="12">
                  <c:v>2.8799999999999999E-2</c:v>
                </c:pt>
                <c:pt idx="15">
                  <c:v>5.5200000000000006E-2</c:v>
                </c:pt>
                <c:pt idx="19">
                  <c:v>1.0500000000000001E-2</c:v>
                </c:pt>
                <c:pt idx="20">
                  <c:v>2.7899999999999998E-2</c:v>
                </c:pt>
                <c:pt idx="21">
                  <c:v>5.3700000000000005E-2</c:v>
                </c:pt>
                <c:pt idx="22">
                  <c:v>7.4000000000000003E-3</c:v>
                </c:pt>
                <c:pt idx="23">
                  <c:v>4.3299999999999998E-2</c:v>
                </c:pt>
                <c:pt idx="24">
                  <c:v>4.5499999999999999E-2</c:v>
                </c:pt>
                <c:pt idx="25">
                  <c:v>6.720000000000001E-2</c:v>
                </c:pt>
                <c:pt idx="26">
                  <c:v>1.9699999999999999E-2</c:v>
                </c:pt>
                <c:pt idx="27">
                  <c:v>1.6300000000000002E-2</c:v>
                </c:pt>
                <c:pt idx="28">
                  <c:v>1.77E-2</c:v>
                </c:pt>
                <c:pt idx="29">
                  <c:v>0.73799999999999999</c:v>
                </c:pt>
                <c:pt idx="30">
                  <c:v>2.0500000000000001E-2</c:v>
                </c:pt>
                <c:pt idx="31">
                  <c:v>0.26300999999999997</c:v>
                </c:pt>
                <c:pt idx="32">
                  <c:v>4.7201E-2</c:v>
                </c:pt>
                <c:pt idx="33">
                  <c:v>9.9939999999999994E-3</c:v>
                </c:pt>
                <c:pt idx="34">
                  <c:v>1.0039999999999999E-2</c:v>
                </c:pt>
                <c:pt idx="35">
                  <c:v>5.518E-2</c:v>
                </c:pt>
                <c:pt idx="38">
                  <c:v>9.595999999999999E-2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92-4072-BD90-544258B5A4EF}"/>
            </c:ext>
          </c:extLst>
        </c:ser>
        <c:ser>
          <c:idx val="6"/>
          <c:order val="6"/>
          <c:tx>
            <c:strRef>
              <c:f>'P. Químicos Gráficos'!$H$738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'P. Químicos Gráficos'!$H$739:$H$793</c:f>
              <c:numCache>
                <c:formatCode>General</c:formatCode>
                <c:ptCount val="5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92-4072-BD90-544258B5A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05136"/>
        <c:axId val="320005696"/>
      </c:lineChart>
      <c:dateAx>
        <c:axId val="32000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05696"/>
        <c:crosses val="autoZero"/>
        <c:auto val="1"/>
        <c:lblOffset val="100"/>
        <c:baseTimeUnit val="months"/>
      </c:dateAx>
      <c:valAx>
        <c:axId val="3200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0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Niquel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Gráficos'!$B$814:$B$848</c:f>
            </c:numRef>
          </c:val>
          <c:smooth val="0"/>
          <c:extLst>
            <c:ext xmlns:c16="http://schemas.microsoft.com/office/drawing/2014/chart" uri="{C3380CC4-5D6E-409C-BE32-E72D297353CC}">
              <c16:uniqueId val="{00000000-0A9C-4387-A235-5B1D5B001174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Gráficos'!$C$814:$C$848</c:f>
            </c:numRef>
          </c:val>
          <c:smooth val="0"/>
          <c:extLst>
            <c:ext xmlns:c16="http://schemas.microsoft.com/office/drawing/2014/chart" uri="{C3380CC4-5D6E-409C-BE32-E72D297353CC}">
              <c16:uniqueId val="{00000001-0A9C-4387-A235-5B1D5B001174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Gráficos'!$D$814:$D$848</c:f>
            </c:numRef>
          </c:val>
          <c:smooth val="0"/>
          <c:extLst>
            <c:ext xmlns:c16="http://schemas.microsoft.com/office/drawing/2014/chart" uri="{C3380CC4-5D6E-409C-BE32-E72D297353CC}">
              <c16:uniqueId val="{00000002-0A9C-4387-A235-5B1D5B00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09616"/>
        <c:axId val="320010176"/>
      </c:lineChart>
      <c:catAx>
        <c:axId val="3200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10176"/>
        <c:crosses val="autoZero"/>
        <c:auto val="1"/>
        <c:lblAlgn val="ctr"/>
        <c:lblOffset val="100"/>
        <c:noMultiLvlLbl val="1"/>
      </c:catAx>
      <c:valAx>
        <c:axId val="3200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0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Niquel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Gráficos'!$E$814:$E$848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Gráficos'!$F$814:$F$848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Gráficos'!$A$814:$A$848</c:f>
            </c:multiLvlStrRef>
          </c:cat>
          <c:val>
            <c:numRef>
              <c:f>'P. Químicos Gráficos'!$G$814:$G$848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14096"/>
        <c:axId val="320014656"/>
      </c:lineChart>
      <c:catAx>
        <c:axId val="32001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14656"/>
        <c:crosses val="autoZero"/>
        <c:auto val="1"/>
        <c:lblAlgn val="ctr"/>
        <c:lblOffset val="100"/>
        <c:noMultiLvlLbl val="1"/>
      </c:catAx>
      <c:valAx>
        <c:axId val="3200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1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Plomo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Gráficos'!$B$869:$B$907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6-42F2-B343-CAA78CC5FA3B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Gráficos'!$C$869:$C$907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6-42F2-B343-CAA78CC5FA3B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Gráficos'!$D$869:$D$907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6-42F2-B343-CAA78CC5FA3B}"/>
            </c:ext>
          </c:extLst>
        </c:ser>
        <c:ser>
          <c:idx val="3"/>
          <c:order val="3"/>
          <c:tx>
            <c:strRef>
              <c:f>'P. Químicos Gráficos'!$E$853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Gráficos'!$E$869:$E$907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4-471E-BE3D-F0018368408B}"/>
            </c:ext>
          </c:extLst>
        </c:ser>
        <c:ser>
          <c:idx val="4"/>
          <c:order val="4"/>
          <c:tx>
            <c:strRef>
              <c:f>'P. Químicos Gráficos'!$F$853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Gráficos'!$F$869:$F$907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4-471E-BE3D-F0018368408B}"/>
            </c:ext>
          </c:extLst>
        </c:ser>
        <c:ser>
          <c:idx val="5"/>
          <c:order val="5"/>
          <c:tx>
            <c:strRef>
              <c:f>'P. Químicos Gráficos'!$G$853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Gráficos'!$A$869:$A$907</c:f>
              <c:numCache>
                <c:formatCode>dd/mmm/yy</c:formatCode>
                <c:ptCount val="39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  <c:pt idx="35">
                  <c:v>44111</c:v>
                </c:pt>
                <c:pt idx="36">
                  <c:v>44119</c:v>
                </c:pt>
                <c:pt idx="37">
                  <c:v>44120</c:v>
                </c:pt>
                <c:pt idx="38">
                  <c:v>44146</c:v>
                </c:pt>
              </c:numCache>
            </c:numRef>
          </c:cat>
          <c:val>
            <c:numRef>
              <c:f>'P. Químicos Gráficos'!$G$869:$G$907</c:f>
              <c:numCache>
                <c:formatCode>0.0</c:formatCode>
                <c:ptCount val="3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4-471E-BE3D-F0018368408B}"/>
            </c:ext>
          </c:extLst>
        </c:ser>
        <c:ser>
          <c:idx val="6"/>
          <c:order val="6"/>
          <c:tx>
            <c:strRef>
              <c:f>'P. Químicos Gráficos'!$H$853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'P. Químicos Gráficos'!$H$854:$H$908</c:f>
              <c:numCache>
                <c:formatCode>0.00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4-471E-BE3D-F00183684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20816"/>
        <c:axId val="320021376"/>
      </c:lineChart>
      <c:dateAx>
        <c:axId val="32002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21376"/>
        <c:crosses val="autoZero"/>
        <c:auto val="1"/>
        <c:lblOffset val="100"/>
        <c:baseTimeUnit val="months"/>
      </c:dateAx>
      <c:valAx>
        <c:axId val="3200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ug/l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2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Zinc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Gráficos'!$B$929:$B$963</c:f>
            </c:numRef>
          </c:val>
          <c:smooth val="0"/>
          <c:extLst>
            <c:ext xmlns:c16="http://schemas.microsoft.com/office/drawing/2014/chart" uri="{C3380CC4-5D6E-409C-BE32-E72D297353CC}">
              <c16:uniqueId val="{00000000-21C2-4916-8D15-4A82E0543A58}"/>
            </c:ext>
          </c:extLst>
        </c:ser>
        <c:ser>
          <c:idx val="1"/>
          <c:order val="1"/>
          <c:tx>
            <c:strRef>
              <c:f>'P. Químicos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Gráficos'!$C$929:$C$963</c:f>
            </c:numRef>
          </c:val>
          <c:smooth val="0"/>
          <c:extLst>
            <c:ext xmlns:c16="http://schemas.microsoft.com/office/drawing/2014/chart" uri="{C3380CC4-5D6E-409C-BE32-E72D297353CC}">
              <c16:uniqueId val="{00000001-21C2-4916-8D15-4A82E0543A58}"/>
            </c:ext>
          </c:extLst>
        </c:ser>
        <c:ser>
          <c:idx val="2"/>
          <c:order val="2"/>
          <c:tx>
            <c:strRef>
              <c:f>'P. Químicos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Gráficos'!$D$929:$D$963</c:f>
            </c:numRef>
          </c:val>
          <c:smooth val="0"/>
          <c:extLst>
            <c:ext xmlns:c16="http://schemas.microsoft.com/office/drawing/2014/chart" uri="{C3380CC4-5D6E-409C-BE32-E72D297353CC}">
              <c16:uniqueId val="{00000002-21C2-4916-8D15-4A82E054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25296"/>
        <c:axId val="320025856"/>
      </c:lineChart>
      <c:catAx>
        <c:axId val="32002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25856"/>
        <c:crosses val="autoZero"/>
        <c:auto val="1"/>
        <c:lblAlgn val="ctr"/>
        <c:lblOffset val="100"/>
        <c:noMultiLvlLbl val="1"/>
      </c:catAx>
      <c:valAx>
        <c:axId val="32002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Zinc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Gráficos'!$E$929:$E$963</c:f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Químicos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Gráficos'!$F$929:$F$963</c:f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Químicos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'P. Químicos Gráficos'!$A$929:$A$963</c:f>
            </c:multiLvlStrRef>
          </c:cat>
          <c:val>
            <c:numRef>
              <c:f>'P. Químicos Gráficos'!$G$929:$G$963</c:f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29776"/>
        <c:axId val="320030336"/>
      </c:lineChart>
      <c:catAx>
        <c:axId val="32002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30336"/>
        <c:crosses val="autoZero"/>
        <c:auto val="1"/>
        <c:lblAlgn val="ctr"/>
        <c:lblOffset val="100"/>
        <c:noMultiLvlLbl val="1"/>
      </c:catAx>
      <c:valAx>
        <c:axId val="3200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2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Cobre GRUNTEC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Gráficos'!$B$563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Gráficos'!$A$618:$A$619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Gráficos'!$B$618:$B$619</c:f>
              <c:numCache>
                <c:formatCode>0.00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5-419E-B6CD-9D1D89E7FB76}"/>
            </c:ext>
          </c:extLst>
        </c:ser>
        <c:ser>
          <c:idx val="1"/>
          <c:order val="1"/>
          <c:tx>
            <c:strRef>
              <c:f>'P. Químicos Gráficos'!$C$563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Gráficos'!$A$618:$A$619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Gráficos'!$C$618:$C$619</c:f>
              <c:numCache>
                <c:formatCode>0.00</c:formatCode>
                <c:ptCount val="2"/>
                <c:pt idx="0">
                  <c:v>26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25-419E-B6CD-9D1D89E7FB76}"/>
            </c:ext>
          </c:extLst>
        </c:ser>
        <c:ser>
          <c:idx val="2"/>
          <c:order val="2"/>
          <c:tx>
            <c:strRef>
              <c:f>'P. Químicos Gráficos'!$D$563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Gráficos'!$A$618:$A$619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Gráficos'!$D$618:$D$619</c:f>
              <c:numCache>
                <c:formatCode>0.00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25-419E-B6CD-9D1D89E7FB76}"/>
            </c:ext>
          </c:extLst>
        </c:ser>
        <c:ser>
          <c:idx val="3"/>
          <c:order val="3"/>
          <c:tx>
            <c:strRef>
              <c:f>'P. Químicos Gráficos'!$E$563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Gráficos'!$A$618:$A$619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Gráficos'!$E$618:$E$619</c:f>
              <c:numCache>
                <c:formatCode>0.00</c:formatCode>
                <c:ptCount val="2"/>
                <c:pt idx="0">
                  <c:v>14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25-419E-B6CD-9D1D89E7FB76}"/>
            </c:ext>
          </c:extLst>
        </c:ser>
        <c:ser>
          <c:idx val="4"/>
          <c:order val="4"/>
          <c:tx>
            <c:strRef>
              <c:f>'P. Químicos Gráficos'!$F$563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Gráficos'!$A$618:$A$619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Gráficos'!$F$618:$F$619</c:f>
              <c:numCache>
                <c:formatCode>0.00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25-419E-B6CD-9D1D89E7FB76}"/>
            </c:ext>
          </c:extLst>
        </c:ser>
        <c:ser>
          <c:idx val="5"/>
          <c:order val="5"/>
          <c:tx>
            <c:strRef>
              <c:f>'P. Químicos Gráficos'!$G$563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Gráficos'!$A$618:$A$619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Gráficos'!$G$618:$G$619</c:f>
              <c:numCache>
                <c:formatCode>0.00</c:formatCode>
                <c:ptCount val="2"/>
                <c:pt idx="0">
                  <c:v>15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25-419E-B6CD-9D1D89E7FB76}"/>
            </c:ext>
          </c:extLst>
        </c:ser>
        <c:ser>
          <c:idx val="6"/>
          <c:order val="6"/>
          <c:tx>
            <c:strRef>
              <c:f>'P. Químicos Gráficos'!$H$563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'P. Químicos Gráficos'!$A$618:$A$619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Gráficos'!$H$618:$H$619</c:f>
              <c:numCache>
                <c:formatCode>0.00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25-419E-B6CD-9D1D89E7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36496"/>
        <c:axId val="320037056"/>
      </c:lineChart>
      <c:dateAx>
        <c:axId val="320036496"/>
        <c:scaling>
          <c:orientation val="minMax"/>
          <c:max val="44196"/>
        </c:scaling>
        <c:delete val="0"/>
        <c:axPos val="b"/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37056"/>
        <c:crosses val="autoZero"/>
        <c:auto val="1"/>
        <c:lblOffset val="100"/>
        <c:baseTimeUnit val="months"/>
      </c:dateAx>
      <c:valAx>
        <c:axId val="3200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36496"/>
        <c:crossesAt val="4413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Hierro GRUNTEC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Gráficos'!$B$678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Gráficos'!$A$733:$A$734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Gráficos'!$B$733:$B$734</c:f>
              <c:numCache>
                <c:formatCode>0.00</c:formatCode>
                <c:ptCount val="2"/>
                <c:pt idx="0">
                  <c:v>0.02</c:v>
                </c:pt>
                <c:pt idx="1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E-4AD2-8EB1-0BAC087303A9}"/>
            </c:ext>
          </c:extLst>
        </c:ser>
        <c:ser>
          <c:idx val="1"/>
          <c:order val="1"/>
          <c:tx>
            <c:strRef>
              <c:f>'P. Químicos Gráficos'!$C$678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Gráficos'!$A$733:$A$734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Gráficos'!$C$733:$C$734</c:f>
              <c:numCache>
                <c:formatCode>0.00</c:formatCode>
                <c:ptCount val="2"/>
                <c:pt idx="0">
                  <c:v>0.02</c:v>
                </c:pt>
                <c:pt idx="1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E-4AD2-8EB1-0BAC087303A9}"/>
            </c:ext>
          </c:extLst>
        </c:ser>
        <c:ser>
          <c:idx val="2"/>
          <c:order val="2"/>
          <c:tx>
            <c:strRef>
              <c:f>'P. Químicos Gráficos'!$D$678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Gráficos'!$A$733:$A$734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Gráficos'!$D$733:$D$734</c:f>
              <c:numCache>
                <c:formatCode>0.00</c:formatCode>
                <c:ptCount val="2"/>
                <c:pt idx="0">
                  <c:v>0.02</c:v>
                </c:pt>
                <c:pt idx="1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6E-4AD2-8EB1-0BAC087303A9}"/>
            </c:ext>
          </c:extLst>
        </c:ser>
        <c:ser>
          <c:idx val="3"/>
          <c:order val="3"/>
          <c:tx>
            <c:strRef>
              <c:f>'P. Químicos Gráficos'!$E$678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Gráficos'!$A$733:$A$734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Gráficos'!$E$733:$E$734</c:f>
              <c:numCache>
                <c:formatCode>0.00</c:formatCode>
                <c:ptCount val="2"/>
                <c:pt idx="0">
                  <c:v>0.11</c:v>
                </c:pt>
                <c:pt idx="1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6E-4AD2-8EB1-0BAC087303A9}"/>
            </c:ext>
          </c:extLst>
        </c:ser>
        <c:ser>
          <c:idx val="4"/>
          <c:order val="4"/>
          <c:tx>
            <c:strRef>
              <c:f>'P. Químicos Gráficos'!$F$678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Gráficos'!$A$733:$A$734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Gráficos'!$F$733:$F$734</c:f>
              <c:numCache>
                <c:formatCode>0.00</c:formatCode>
                <c:ptCount val="2"/>
                <c:pt idx="0">
                  <c:v>0.02</c:v>
                </c:pt>
                <c:pt idx="1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6E-4AD2-8EB1-0BAC087303A9}"/>
            </c:ext>
          </c:extLst>
        </c:ser>
        <c:ser>
          <c:idx val="5"/>
          <c:order val="5"/>
          <c:tx>
            <c:strRef>
              <c:f>'P. Químicos Gráficos'!$G$678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Gráficos'!$A$733:$A$734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Gráficos'!$G$733:$G$734</c:f>
              <c:numCache>
                <c:formatCode>0.00</c:formatCode>
                <c:ptCount val="2"/>
                <c:pt idx="0">
                  <c:v>0.02</c:v>
                </c:pt>
                <c:pt idx="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6E-4AD2-8EB1-0BAC087303A9}"/>
            </c:ext>
          </c:extLst>
        </c:ser>
        <c:ser>
          <c:idx val="6"/>
          <c:order val="6"/>
          <c:tx>
            <c:strRef>
              <c:f>'P. Químicos Gráficos'!$H$678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'P. Químicos Gráficos'!$A$733:$A$734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Gráficos'!$H$733:$H$734</c:f>
              <c:numCache>
                <c:formatCode>0.00</c:formatCode>
                <c:ptCount val="2"/>
                <c:pt idx="0">
                  <c:v>0.3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6E-4AD2-8EB1-0BAC08730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43216"/>
        <c:axId val="320043776"/>
      </c:lineChart>
      <c:dateAx>
        <c:axId val="320043216"/>
        <c:scaling>
          <c:orientation val="minMax"/>
        </c:scaling>
        <c:delete val="0"/>
        <c:axPos val="b"/>
        <c:numFmt formatCode="dd/m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43776"/>
        <c:crosses val="autoZero"/>
        <c:auto val="1"/>
        <c:lblOffset val="100"/>
        <c:baseTimeUnit val="months"/>
      </c:dateAx>
      <c:valAx>
        <c:axId val="3200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4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Manganeso GRUNTEC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Gráficos'!$B$738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Gráficos'!$A$793:$A$794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Gráficos'!$B$793:$B$794</c:f>
              <c:numCache>
                <c:formatCode>0.000</c:formatCode>
                <c:ptCount val="2"/>
                <c:pt idx="0">
                  <c:v>6.7000000000000004E-2</c:v>
                </c:pt>
                <c:pt idx="1">
                  <c:v>8.4000000000000005E-2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3-48E4-BFFC-D85FA9CC6772}"/>
            </c:ext>
          </c:extLst>
        </c:ser>
        <c:ser>
          <c:idx val="1"/>
          <c:order val="1"/>
          <c:tx>
            <c:strRef>
              <c:f>'P. Químicos Gráficos'!$C$738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Gráficos'!$A$793:$A$794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Gráficos'!$C$793:$C$794</c:f>
              <c:numCache>
                <c:formatCode>0.000</c:formatCode>
                <c:ptCount val="2"/>
                <c:pt idx="0">
                  <c:v>0.18</c:v>
                </c:pt>
                <c:pt idx="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23-48E4-BFFC-D85FA9CC6772}"/>
            </c:ext>
          </c:extLst>
        </c:ser>
        <c:ser>
          <c:idx val="2"/>
          <c:order val="2"/>
          <c:tx>
            <c:strRef>
              <c:f>'P. Químicos Gráficos'!$D$738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Gráficos'!$A$793:$A$794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Gráficos'!$D$793:$D$794</c:f>
              <c:numCache>
                <c:formatCode>0.000</c:formatCode>
                <c:ptCount val="2"/>
                <c:pt idx="0">
                  <c:v>3.3000000000000002E-2</c:v>
                </c:pt>
                <c:pt idx="1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23-48E4-BFFC-D85FA9CC6772}"/>
            </c:ext>
          </c:extLst>
        </c:ser>
        <c:ser>
          <c:idx val="3"/>
          <c:order val="3"/>
          <c:tx>
            <c:strRef>
              <c:f>'P. Químicos Gráficos'!$E$738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Gráficos'!$A$793:$A$794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Gráficos'!$E$793:$E$794</c:f>
              <c:numCache>
                <c:formatCode>0.000</c:formatCode>
                <c:ptCount val="2"/>
                <c:pt idx="0">
                  <c:v>7.1999999999999995E-2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23-48E4-BFFC-D85FA9CC6772}"/>
            </c:ext>
          </c:extLst>
        </c:ser>
        <c:ser>
          <c:idx val="4"/>
          <c:order val="4"/>
          <c:tx>
            <c:strRef>
              <c:f>'P. Químicos Gráficos'!$F$738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Gráficos'!$A$793:$A$794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Gráficos'!$F$793:$F$794</c:f>
              <c:numCache>
                <c:formatCode>0.000</c:formatCode>
                <c:ptCount val="2"/>
                <c:pt idx="0">
                  <c:v>0.19</c:v>
                </c:pt>
                <c:pt idx="1">
                  <c:v>7.9000000000000001E-2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23-48E4-BFFC-D85FA9CC6772}"/>
            </c:ext>
          </c:extLst>
        </c:ser>
        <c:ser>
          <c:idx val="5"/>
          <c:order val="5"/>
          <c:tx>
            <c:strRef>
              <c:f>'P. Químicos Gráficos'!$G$738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Gráficos'!$A$793:$A$794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Gráficos'!$G$793:$G$794</c:f>
              <c:numCache>
                <c:formatCode>0.000</c:formatCode>
                <c:ptCount val="2"/>
                <c:pt idx="0">
                  <c:v>9.4E-2</c:v>
                </c:pt>
                <c:pt idx="1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23-48E4-BFFC-D85FA9CC6772}"/>
            </c:ext>
          </c:extLst>
        </c:ser>
        <c:ser>
          <c:idx val="6"/>
          <c:order val="6"/>
          <c:tx>
            <c:strRef>
              <c:f>'P. Químicos Gráficos'!$H$738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'P. Químicos Gráficos'!$A$793:$A$794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Gráficos'!$H$793:$H$794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23-48E4-BFFC-D85FA9CC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49936"/>
        <c:axId val="320050496"/>
      </c:lineChart>
      <c:dateAx>
        <c:axId val="320049936"/>
        <c:scaling>
          <c:orientation val="minMax"/>
        </c:scaling>
        <c:delete val="0"/>
        <c:axPos val="b"/>
        <c:numFmt formatCode="dd/m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50496"/>
        <c:crosses val="autoZero"/>
        <c:auto val="1"/>
        <c:lblOffset val="100"/>
        <c:baseTimeUnit val="months"/>
      </c:dateAx>
      <c:valAx>
        <c:axId val="3200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4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PLOMO GRUNTEC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Químicos Gráficos'!$B$853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Químicos Gráficos'!$A$908:$A$909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Gráficos'!$B$908:$B$909</c:f>
              <c:numCache>
                <c:formatCode>0.0</c:formatCode>
                <c:ptCount val="2"/>
                <c:pt idx="0">
                  <c:v>0.5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9-46D0-8972-B8D7BFAAD003}"/>
            </c:ext>
          </c:extLst>
        </c:ser>
        <c:ser>
          <c:idx val="1"/>
          <c:order val="1"/>
          <c:tx>
            <c:strRef>
              <c:f>'P. Químicos Gráficos'!$C$853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Químicos Gráficos'!$A$908:$A$909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Gráficos'!$C$908:$C$909</c:f>
              <c:numCache>
                <c:formatCode>0.0</c:formatCode>
                <c:ptCount val="2"/>
                <c:pt idx="0">
                  <c:v>0.5</c:v>
                </c:pt>
                <c:pt idx="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9-46D0-8972-B8D7BFAAD003}"/>
            </c:ext>
          </c:extLst>
        </c:ser>
        <c:ser>
          <c:idx val="2"/>
          <c:order val="2"/>
          <c:tx>
            <c:strRef>
              <c:f>'P. Químicos Gráficos'!$D$853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Químicos Gráficos'!$A$908:$A$909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Gráficos'!$D$908:$D$909</c:f>
              <c:numCache>
                <c:formatCode>0.0</c:formatCode>
                <c:ptCount val="2"/>
                <c:pt idx="0">
                  <c:v>0.5</c:v>
                </c:pt>
                <c:pt idx="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9-46D0-8972-B8D7BFAAD003}"/>
            </c:ext>
          </c:extLst>
        </c:ser>
        <c:ser>
          <c:idx val="3"/>
          <c:order val="3"/>
          <c:tx>
            <c:strRef>
              <c:f>'P. Químicos Gráficos'!$E$853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Químicos Gráficos'!$A$908:$A$909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Gráficos'!$E$908:$E$909</c:f>
              <c:numCache>
                <c:formatCode>0.0</c:formatCode>
                <c:ptCount val="2"/>
                <c:pt idx="0">
                  <c:v>16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29-46D0-8972-B8D7BFAAD003}"/>
            </c:ext>
          </c:extLst>
        </c:ser>
        <c:ser>
          <c:idx val="4"/>
          <c:order val="4"/>
          <c:tx>
            <c:strRef>
              <c:f>'P. Químicos Gráficos'!$F$853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Químicos Gráficos'!$A$908:$A$909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Gráficos'!$F$908:$F$909</c:f>
              <c:numCache>
                <c:formatCode>0.0</c:formatCode>
                <c:ptCount val="2"/>
                <c:pt idx="0">
                  <c:v>0.5</c:v>
                </c:pt>
                <c:pt idx="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29-46D0-8972-B8D7BFAAD003}"/>
            </c:ext>
          </c:extLst>
        </c:ser>
        <c:ser>
          <c:idx val="5"/>
          <c:order val="5"/>
          <c:tx>
            <c:strRef>
              <c:f>'P. Químicos Gráficos'!$G$853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Químicos Gráficos'!$A$908:$A$909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Gráficos'!$G$908:$G$909</c:f>
              <c:numCache>
                <c:formatCode>0.0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29-46D0-8972-B8D7BFAAD003}"/>
            </c:ext>
          </c:extLst>
        </c:ser>
        <c:ser>
          <c:idx val="6"/>
          <c:order val="6"/>
          <c:tx>
            <c:strRef>
              <c:f>'P. Químicos Gráficos'!$H$853</c:f>
              <c:strCache>
                <c:ptCount val="1"/>
                <c:pt idx="0">
                  <c:v>NORMATIVA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'P. Químicos Gráficos'!$A$908:$A$909</c:f>
              <c:numCache>
                <c:formatCode>dd/mmm/yy</c:formatCode>
                <c:ptCount val="2"/>
                <c:pt idx="0">
                  <c:v>44146</c:v>
                </c:pt>
                <c:pt idx="1">
                  <c:v>44184</c:v>
                </c:pt>
              </c:numCache>
            </c:numRef>
          </c:cat>
          <c:val>
            <c:numRef>
              <c:f>'P. Químicos Gráficos'!$H$908:$H$909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29-46D0-8972-B8D7BFAA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56656"/>
        <c:axId val="320057216"/>
      </c:lineChart>
      <c:dateAx>
        <c:axId val="320056656"/>
        <c:scaling>
          <c:orientation val="minMax"/>
        </c:scaling>
        <c:delete val="0"/>
        <c:axPos val="b"/>
        <c:numFmt formatCode="dd/m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57216"/>
        <c:crosses val="autoZero"/>
        <c:auto val="1"/>
        <c:lblOffset val="100"/>
        <c:baseTimeUnit val="months"/>
      </c:dateAx>
      <c:valAx>
        <c:axId val="3200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005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Sólidos suspendidos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Físico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Gráficos'!$B$29:$B$63</c:f>
              <c:numCache>
                <c:formatCode>General</c:formatCode>
                <c:ptCount val="35"/>
                <c:pt idx="0">
                  <c:v>38</c:v>
                </c:pt>
                <c:pt idx="2">
                  <c:v>105</c:v>
                </c:pt>
                <c:pt idx="4">
                  <c:v>13</c:v>
                </c:pt>
                <c:pt idx="6">
                  <c:v>6.4</c:v>
                </c:pt>
                <c:pt idx="8">
                  <c:v>128</c:v>
                </c:pt>
                <c:pt idx="10">
                  <c:v>6</c:v>
                </c:pt>
                <c:pt idx="12">
                  <c:v>15</c:v>
                </c:pt>
                <c:pt idx="15">
                  <c:v>85</c:v>
                </c:pt>
                <c:pt idx="17">
                  <c:v>6</c:v>
                </c:pt>
                <c:pt idx="19">
                  <c:v>8</c:v>
                </c:pt>
                <c:pt idx="21">
                  <c:v>6</c:v>
                </c:pt>
                <c:pt idx="23">
                  <c:v>7</c:v>
                </c:pt>
                <c:pt idx="25">
                  <c:v>6</c:v>
                </c:pt>
                <c:pt idx="26">
                  <c:v>9</c:v>
                </c:pt>
                <c:pt idx="27">
                  <c:v>230</c:v>
                </c:pt>
                <c:pt idx="29">
                  <c:v>18</c:v>
                </c:pt>
                <c:pt idx="31">
                  <c:v>113</c:v>
                </c:pt>
                <c:pt idx="33">
                  <c:v>12</c:v>
                </c:pt>
                <c:pt idx="3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A-4529-8BA2-6D9D848BB925}"/>
            </c:ext>
          </c:extLst>
        </c:ser>
        <c:ser>
          <c:idx val="1"/>
          <c:order val="1"/>
          <c:tx>
            <c:strRef>
              <c:f>'P. Físico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Gráficos'!$C$29:$C$63</c:f>
              <c:numCache>
                <c:formatCode>General</c:formatCode>
                <c:ptCount val="35"/>
                <c:pt idx="0">
                  <c:v>22</c:v>
                </c:pt>
                <c:pt idx="2">
                  <c:v>116</c:v>
                </c:pt>
                <c:pt idx="4">
                  <c:v>153</c:v>
                </c:pt>
                <c:pt idx="6">
                  <c:v>6.4</c:v>
                </c:pt>
                <c:pt idx="8">
                  <c:v>124</c:v>
                </c:pt>
                <c:pt idx="10">
                  <c:v>6</c:v>
                </c:pt>
                <c:pt idx="12">
                  <c:v>22</c:v>
                </c:pt>
                <c:pt idx="15">
                  <c:v>180</c:v>
                </c:pt>
                <c:pt idx="17">
                  <c:v>6</c:v>
                </c:pt>
                <c:pt idx="19">
                  <c:v>12</c:v>
                </c:pt>
                <c:pt idx="21">
                  <c:v>6</c:v>
                </c:pt>
                <c:pt idx="23">
                  <c:v>10</c:v>
                </c:pt>
                <c:pt idx="25">
                  <c:v>7</c:v>
                </c:pt>
                <c:pt idx="26">
                  <c:v>8</c:v>
                </c:pt>
                <c:pt idx="27">
                  <c:v>198</c:v>
                </c:pt>
                <c:pt idx="29">
                  <c:v>31</c:v>
                </c:pt>
                <c:pt idx="31">
                  <c:v>176</c:v>
                </c:pt>
                <c:pt idx="33">
                  <c:v>30</c:v>
                </c:pt>
                <c:pt idx="3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A-4529-8BA2-6D9D848BB925}"/>
            </c:ext>
          </c:extLst>
        </c:ser>
        <c:ser>
          <c:idx val="2"/>
          <c:order val="2"/>
          <c:tx>
            <c:strRef>
              <c:f>'P. Físico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Gráficos'!$D$29:$D$63</c:f>
              <c:numCache>
                <c:formatCode>General</c:formatCode>
                <c:ptCount val="35"/>
                <c:pt idx="0">
                  <c:v>28</c:v>
                </c:pt>
                <c:pt idx="2">
                  <c:v>101</c:v>
                </c:pt>
                <c:pt idx="4">
                  <c:v>2320</c:v>
                </c:pt>
                <c:pt idx="6">
                  <c:v>6.4</c:v>
                </c:pt>
                <c:pt idx="8">
                  <c:v>116</c:v>
                </c:pt>
                <c:pt idx="10">
                  <c:v>6</c:v>
                </c:pt>
                <c:pt idx="12">
                  <c:v>28</c:v>
                </c:pt>
                <c:pt idx="15">
                  <c:v>180</c:v>
                </c:pt>
                <c:pt idx="17">
                  <c:v>6</c:v>
                </c:pt>
                <c:pt idx="19">
                  <c:v>9</c:v>
                </c:pt>
                <c:pt idx="21">
                  <c:v>6</c:v>
                </c:pt>
                <c:pt idx="23">
                  <c:v>11</c:v>
                </c:pt>
                <c:pt idx="25">
                  <c:v>6</c:v>
                </c:pt>
                <c:pt idx="26">
                  <c:v>11</c:v>
                </c:pt>
                <c:pt idx="27">
                  <c:v>180</c:v>
                </c:pt>
                <c:pt idx="29">
                  <c:v>19</c:v>
                </c:pt>
                <c:pt idx="31">
                  <c:v>120</c:v>
                </c:pt>
                <c:pt idx="33">
                  <c:v>11</c:v>
                </c:pt>
                <c:pt idx="3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A-4529-8BA2-6D9D848BB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18304"/>
        <c:axId val="321518864"/>
      </c:lineChart>
      <c:dateAx>
        <c:axId val="3215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18864"/>
        <c:crosses val="autoZero"/>
        <c:auto val="1"/>
        <c:lblOffset val="100"/>
        <c:baseTimeUnit val="months"/>
      </c:dateAx>
      <c:valAx>
        <c:axId val="32151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Sólidos suspendidos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Físico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Gráficos'!$E$29:$E$63</c:f>
              <c:numCache>
                <c:formatCode>General</c:formatCode>
                <c:ptCount val="35"/>
                <c:pt idx="0">
                  <c:v>193</c:v>
                </c:pt>
                <c:pt idx="2">
                  <c:v>143</c:v>
                </c:pt>
                <c:pt idx="4">
                  <c:v>180</c:v>
                </c:pt>
                <c:pt idx="6">
                  <c:v>6.4</c:v>
                </c:pt>
                <c:pt idx="8">
                  <c:v>155</c:v>
                </c:pt>
                <c:pt idx="10">
                  <c:v>6</c:v>
                </c:pt>
                <c:pt idx="12">
                  <c:v>134</c:v>
                </c:pt>
                <c:pt idx="15">
                  <c:v>420</c:v>
                </c:pt>
                <c:pt idx="17">
                  <c:v>6</c:v>
                </c:pt>
                <c:pt idx="19">
                  <c:v>42</c:v>
                </c:pt>
                <c:pt idx="21">
                  <c:v>6</c:v>
                </c:pt>
                <c:pt idx="23">
                  <c:v>20</c:v>
                </c:pt>
                <c:pt idx="25">
                  <c:v>6</c:v>
                </c:pt>
                <c:pt idx="26">
                  <c:v>22</c:v>
                </c:pt>
                <c:pt idx="27">
                  <c:v>290</c:v>
                </c:pt>
                <c:pt idx="29">
                  <c:v>22</c:v>
                </c:pt>
                <c:pt idx="31">
                  <c:v>194</c:v>
                </c:pt>
                <c:pt idx="33">
                  <c:v>40</c:v>
                </c:pt>
                <c:pt idx="3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D-4733-AA2A-D09CBE8E3CD1}"/>
            </c:ext>
          </c:extLst>
        </c:ser>
        <c:ser>
          <c:idx val="1"/>
          <c:order val="1"/>
          <c:tx>
            <c:strRef>
              <c:f>'P. Físico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Gráficos'!$F$29:$F$63</c:f>
              <c:numCache>
                <c:formatCode>General</c:formatCode>
                <c:ptCount val="35"/>
                <c:pt idx="0">
                  <c:v>37</c:v>
                </c:pt>
                <c:pt idx="2">
                  <c:v>103</c:v>
                </c:pt>
                <c:pt idx="4">
                  <c:v>170</c:v>
                </c:pt>
                <c:pt idx="6">
                  <c:v>6.4</c:v>
                </c:pt>
                <c:pt idx="8">
                  <c:v>130</c:v>
                </c:pt>
                <c:pt idx="10">
                  <c:v>6</c:v>
                </c:pt>
                <c:pt idx="12">
                  <c:v>48</c:v>
                </c:pt>
                <c:pt idx="15">
                  <c:v>98</c:v>
                </c:pt>
                <c:pt idx="17">
                  <c:v>6</c:v>
                </c:pt>
                <c:pt idx="19">
                  <c:v>8</c:v>
                </c:pt>
                <c:pt idx="21">
                  <c:v>6</c:v>
                </c:pt>
                <c:pt idx="23">
                  <c:v>18</c:v>
                </c:pt>
                <c:pt idx="25">
                  <c:v>6</c:v>
                </c:pt>
                <c:pt idx="26">
                  <c:v>17</c:v>
                </c:pt>
                <c:pt idx="27">
                  <c:v>198</c:v>
                </c:pt>
                <c:pt idx="29">
                  <c:v>27</c:v>
                </c:pt>
                <c:pt idx="31">
                  <c:v>6</c:v>
                </c:pt>
                <c:pt idx="33">
                  <c:v>6</c:v>
                </c:pt>
                <c:pt idx="3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D-4733-AA2A-D09CBE8E3CD1}"/>
            </c:ext>
          </c:extLst>
        </c:ser>
        <c:ser>
          <c:idx val="2"/>
          <c:order val="2"/>
          <c:tx>
            <c:strRef>
              <c:f>'P. Físico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Gráficos'!$G$29:$G$63</c:f>
              <c:numCache>
                <c:formatCode>General</c:formatCode>
                <c:ptCount val="35"/>
                <c:pt idx="0">
                  <c:v>37</c:v>
                </c:pt>
                <c:pt idx="2">
                  <c:v>9</c:v>
                </c:pt>
                <c:pt idx="4">
                  <c:v>9</c:v>
                </c:pt>
                <c:pt idx="6">
                  <c:v>6.4</c:v>
                </c:pt>
                <c:pt idx="8">
                  <c:v>6.4</c:v>
                </c:pt>
                <c:pt idx="10">
                  <c:v>6</c:v>
                </c:pt>
                <c:pt idx="12">
                  <c:v>47</c:v>
                </c:pt>
                <c:pt idx="15">
                  <c:v>115</c:v>
                </c:pt>
                <c:pt idx="19">
                  <c:v>6</c:v>
                </c:pt>
                <c:pt idx="21">
                  <c:v>6</c:v>
                </c:pt>
                <c:pt idx="23">
                  <c:v>4</c:v>
                </c:pt>
                <c:pt idx="25">
                  <c:v>6</c:v>
                </c:pt>
                <c:pt idx="26">
                  <c:v>8</c:v>
                </c:pt>
                <c:pt idx="27">
                  <c:v>15</c:v>
                </c:pt>
                <c:pt idx="29">
                  <c:v>6</c:v>
                </c:pt>
                <c:pt idx="31">
                  <c:v>177</c:v>
                </c:pt>
                <c:pt idx="33">
                  <c:v>6</c:v>
                </c:pt>
                <c:pt idx="3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D-4733-AA2A-D09CBE8E3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22784"/>
        <c:axId val="321523344"/>
      </c:lineChart>
      <c:dateAx>
        <c:axId val="32152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23344"/>
        <c:crosses val="autoZero"/>
        <c:auto val="1"/>
        <c:lblOffset val="100"/>
        <c:baseTimeUnit val="months"/>
      </c:dateAx>
      <c:valAx>
        <c:axId val="3215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Sólidos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Físico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Gráficos'!$B$29:$B$63</c:f>
              <c:numCache>
                <c:formatCode>General</c:formatCode>
                <c:ptCount val="35"/>
                <c:pt idx="0">
                  <c:v>38</c:v>
                </c:pt>
                <c:pt idx="2">
                  <c:v>105</c:v>
                </c:pt>
                <c:pt idx="4">
                  <c:v>13</c:v>
                </c:pt>
                <c:pt idx="6">
                  <c:v>6.4</c:v>
                </c:pt>
                <c:pt idx="8">
                  <c:v>128</c:v>
                </c:pt>
                <c:pt idx="10">
                  <c:v>6</c:v>
                </c:pt>
                <c:pt idx="12">
                  <c:v>15</c:v>
                </c:pt>
                <c:pt idx="15">
                  <c:v>85</c:v>
                </c:pt>
                <c:pt idx="17">
                  <c:v>6</c:v>
                </c:pt>
                <c:pt idx="19">
                  <c:v>8</c:v>
                </c:pt>
                <c:pt idx="21">
                  <c:v>6</c:v>
                </c:pt>
                <c:pt idx="23">
                  <c:v>7</c:v>
                </c:pt>
                <c:pt idx="25">
                  <c:v>6</c:v>
                </c:pt>
                <c:pt idx="26">
                  <c:v>9</c:v>
                </c:pt>
                <c:pt idx="27">
                  <c:v>230</c:v>
                </c:pt>
                <c:pt idx="29">
                  <c:v>18</c:v>
                </c:pt>
                <c:pt idx="31">
                  <c:v>113</c:v>
                </c:pt>
                <c:pt idx="33">
                  <c:v>12</c:v>
                </c:pt>
                <c:pt idx="3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B-45A9-A691-2FEEC5FAD16A}"/>
            </c:ext>
          </c:extLst>
        </c:ser>
        <c:ser>
          <c:idx val="1"/>
          <c:order val="1"/>
          <c:tx>
            <c:strRef>
              <c:f>'P. Físico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Gráficos'!$C$29:$C$63</c:f>
              <c:numCache>
                <c:formatCode>General</c:formatCode>
                <c:ptCount val="35"/>
                <c:pt idx="0">
                  <c:v>22</c:v>
                </c:pt>
                <c:pt idx="2">
                  <c:v>116</c:v>
                </c:pt>
                <c:pt idx="4">
                  <c:v>153</c:v>
                </c:pt>
                <c:pt idx="6">
                  <c:v>6.4</c:v>
                </c:pt>
                <c:pt idx="8">
                  <c:v>124</c:v>
                </c:pt>
                <c:pt idx="10">
                  <c:v>6</c:v>
                </c:pt>
                <c:pt idx="12">
                  <c:v>22</c:v>
                </c:pt>
                <c:pt idx="15">
                  <c:v>180</c:v>
                </c:pt>
                <c:pt idx="17">
                  <c:v>6</c:v>
                </c:pt>
                <c:pt idx="19">
                  <c:v>12</c:v>
                </c:pt>
                <c:pt idx="21">
                  <c:v>6</c:v>
                </c:pt>
                <c:pt idx="23">
                  <c:v>10</c:v>
                </c:pt>
                <c:pt idx="25">
                  <c:v>7</c:v>
                </c:pt>
                <c:pt idx="26">
                  <c:v>8</c:v>
                </c:pt>
                <c:pt idx="27">
                  <c:v>198</c:v>
                </c:pt>
                <c:pt idx="29">
                  <c:v>31</c:v>
                </c:pt>
                <c:pt idx="31">
                  <c:v>176</c:v>
                </c:pt>
                <c:pt idx="33">
                  <c:v>30</c:v>
                </c:pt>
                <c:pt idx="3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B-45A9-A691-2FEEC5FAD16A}"/>
            </c:ext>
          </c:extLst>
        </c:ser>
        <c:ser>
          <c:idx val="2"/>
          <c:order val="2"/>
          <c:tx>
            <c:strRef>
              <c:f>'P. Físico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Gráficos'!$D$29:$D$63</c:f>
              <c:numCache>
                <c:formatCode>General</c:formatCode>
                <c:ptCount val="35"/>
                <c:pt idx="0">
                  <c:v>28</c:v>
                </c:pt>
                <c:pt idx="2">
                  <c:v>101</c:v>
                </c:pt>
                <c:pt idx="4">
                  <c:v>2320</c:v>
                </c:pt>
                <c:pt idx="6">
                  <c:v>6.4</c:v>
                </c:pt>
                <c:pt idx="8">
                  <c:v>116</c:v>
                </c:pt>
                <c:pt idx="10">
                  <c:v>6</c:v>
                </c:pt>
                <c:pt idx="12">
                  <c:v>28</c:v>
                </c:pt>
                <c:pt idx="15">
                  <c:v>180</c:v>
                </c:pt>
                <c:pt idx="17">
                  <c:v>6</c:v>
                </c:pt>
                <c:pt idx="19">
                  <c:v>9</c:v>
                </c:pt>
                <c:pt idx="21">
                  <c:v>6</c:v>
                </c:pt>
                <c:pt idx="23">
                  <c:v>11</c:v>
                </c:pt>
                <c:pt idx="25">
                  <c:v>6</c:v>
                </c:pt>
                <c:pt idx="26">
                  <c:v>11</c:v>
                </c:pt>
                <c:pt idx="27">
                  <c:v>180</c:v>
                </c:pt>
                <c:pt idx="29">
                  <c:v>19</c:v>
                </c:pt>
                <c:pt idx="31">
                  <c:v>120</c:v>
                </c:pt>
                <c:pt idx="33">
                  <c:v>11</c:v>
                </c:pt>
                <c:pt idx="3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B-45A9-A691-2FEEC5FAD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27264"/>
        <c:axId val="321527824"/>
      </c:lineChart>
      <c:dateAx>
        <c:axId val="3215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27824"/>
        <c:crosses val="autoZero"/>
        <c:auto val="1"/>
        <c:lblOffset val="100"/>
        <c:baseTimeUnit val="months"/>
      </c:dateAx>
      <c:valAx>
        <c:axId val="32152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2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Sólidos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Físico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Gráficos'!$E$29:$E$63</c:f>
              <c:numCache>
                <c:formatCode>General</c:formatCode>
                <c:ptCount val="35"/>
                <c:pt idx="0">
                  <c:v>193</c:v>
                </c:pt>
                <c:pt idx="2">
                  <c:v>143</c:v>
                </c:pt>
                <c:pt idx="4">
                  <c:v>180</c:v>
                </c:pt>
                <c:pt idx="6">
                  <c:v>6.4</c:v>
                </c:pt>
                <c:pt idx="8">
                  <c:v>155</c:v>
                </c:pt>
                <c:pt idx="10">
                  <c:v>6</c:v>
                </c:pt>
                <c:pt idx="12">
                  <c:v>134</c:v>
                </c:pt>
                <c:pt idx="15">
                  <c:v>420</c:v>
                </c:pt>
                <c:pt idx="17">
                  <c:v>6</c:v>
                </c:pt>
                <c:pt idx="19">
                  <c:v>42</c:v>
                </c:pt>
                <c:pt idx="21">
                  <c:v>6</c:v>
                </c:pt>
                <c:pt idx="23">
                  <c:v>20</c:v>
                </c:pt>
                <c:pt idx="25">
                  <c:v>6</c:v>
                </c:pt>
                <c:pt idx="26">
                  <c:v>22</c:v>
                </c:pt>
                <c:pt idx="27">
                  <c:v>290</c:v>
                </c:pt>
                <c:pt idx="29">
                  <c:v>22</c:v>
                </c:pt>
                <c:pt idx="31">
                  <c:v>194</c:v>
                </c:pt>
                <c:pt idx="33">
                  <c:v>40</c:v>
                </c:pt>
                <c:pt idx="3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B-43D6-AFF1-47ED735EDFC5}"/>
            </c:ext>
          </c:extLst>
        </c:ser>
        <c:ser>
          <c:idx val="1"/>
          <c:order val="1"/>
          <c:tx>
            <c:strRef>
              <c:f>'P. Físico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Gráficos'!$F$29:$F$63</c:f>
              <c:numCache>
                <c:formatCode>General</c:formatCode>
                <c:ptCount val="35"/>
                <c:pt idx="0">
                  <c:v>37</c:v>
                </c:pt>
                <c:pt idx="2">
                  <c:v>103</c:v>
                </c:pt>
                <c:pt idx="4">
                  <c:v>170</c:v>
                </c:pt>
                <c:pt idx="6">
                  <c:v>6.4</c:v>
                </c:pt>
                <c:pt idx="8">
                  <c:v>130</c:v>
                </c:pt>
                <c:pt idx="10">
                  <c:v>6</c:v>
                </c:pt>
                <c:pt idx="12">
                  <c:v>48</c:v>
                </c:pt>
                <c:pt idx="15">
                  <c:v>98</c:v>
                </c:pt>
                <c:pt idx="17">
                  <c:v>6</c:v>
                </c:pt>
                <c:pt idx="19">
                  <c:v>8</c:v>
                </c:pt>
                <c:pt idx="21">
                  <c:v>6</c:v>
                </c:pt>
                <c:pt idx="23">
                  <c:v>18</c:v>
                </c:pt>
                <c:pt idx="25">
                  <c:v>6</c:v>
                </c:pt>
                <c:pt idx="26">
                  <c:v>17</c:v>
                </c:pt>
                <c:pt idx="27">
                  <c:v>198</c:v>
                </c:pt>
                <c:pt idx="29">
                  <c:v>27</c:v>
                </c:pt>
                <c:pt idx="31">
                  <c:v>6</c:v>
                </c:pt>
                <c:pt idx="33">
                  <c:v>6</c:v>
                </c:pt>
                <c:pt idx="3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B-43D6-AFF1-47ED735EDFC5}"/>
            </c:ext>
          </c:extLst>
        </c:ser>
        <c:ser>
          <c:idx val="2"/>
          <c:order val="2"/>
          <c:tx>
            <c:strRef>
              <c:f>'P. Físico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Físico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Físico Gráficos'!$G$29:$G$63</c:f>
              <c:numCache>
                <c:formatCode>General</c:formatCode>
                <c:ptCount val="35"/>
                <c:pt idx="0">
                  <c:v>37</c:v>
                </c:pt>
                <c:pt idx="2">
                  <c:v>9</c:v>
                </c:pt>
                <c:pt idx="4">
                  <c:v>9</c:v>
                </c:pt>
                <c:pt idx="6">
                  <c:v>6.4</c:v>
                </c:pt>
                <c:pt idx="8">
                  <c:v>6.4</c:v>
                </c:pt>
                <c:pt idx="10">
                  <c:v>6</c:v>
                </c:pt>
                <c:pt idx="12">
                  <c:v>47</c:v>
                </c:pt>
                <c:pt idx="15">
                  <c:v>115</c:v>
                </c:pt>
                <c:pt idx="19">
                  <c:v>6</c:v>
                </c:pt>
                <c:pt idx="21">
                  <c:v>6</c:v>
                </c:pt>
                <c:pt idx="23">
                  <c:v>4</c:v>
                </c:pt>
                <c:pt idx="25">
                  <c:v>6</c:v>
                </c:pt>
                <c:pt idx="26">
                  <c:v>8</c:v>
                </c:pt>
                <c:pt idx="27">
                  <c:v>15</c:v>
                </c:pt>
                <c:pt idx="29">
                  <c:v>6</c:v>
                </c:pt>
                <c:pt idx="31">
                  <c:v>177</c:v>
                </c:pt>
                <c:pt idx="33">
                  <c:v>6</c:v>
                </c:pt>
                <c:pt idx="3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FB-43D6-AFF1-47ED735ED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31744"/>
        <c:axId val="321532304"/>
      </c:lineChart>
      <c:dateAx>
        <c:axId val="32153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32304"/>
        <c:crosses val="autoZero"/>
        <c:auto val="1"/>
        <c:lblOffset val="100"/>
        <c:baseTimeUnit val="months"/>
      </c:dateAx>
      <c:valAx>
        <c:axId val="3215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mg/l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3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Coliformes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Biológicos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Biológicos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Gráficos'!$B$29:$B$63</c:f>
              <c:numCache>
                <c:formatCode>0.00E+00</c:formatCode>
                <c:ptCount val="35"/>
                <c:pt idx="0">
                  <c:v>22000</c:v>
                </c:pt>
                <c:pt idx="1">
                  <c:v>2400</c:v>
                </c:pt>
                <c:pt idx="2">
                  <c:v>4900</c:v>
                </c:pt>
                <c:pt idx="3">
                  <c:v>4000</c:v>
                </c:pt>
                <c:pt idx="4">
                  <c:v>7900</c:v>
                </c:pt>
                <c:pt idx="5">
                  <c:v>14000</c:v>
                </c:pt>
                <c:pt idx="6">
                  <c:v>1700</c:v>
                </c:pt>
                <c:pt idx="7">
                  <c:v>3300</c:v>
                </c:pt>
                <c:pt idx="8">
                  <c:v>92000</c:v>
                </c:pt>
                <c:pt idx="9">
                  <c:v>3500</c:v>
                </c:pt>
                <c:pt idx="10">
                  <c:v>1300</c:v>
                </c:pt>
                <c:pt idx="12">
                  <c:v>54000</c:v>
                </c:pt>
                <c:pt idx="13">
                  <c:v>2400</c:v>
                </c:pt>
                <c:pt idx="14">
                  <c:v>16000</c:v>
                </c:pt>
                <c:pt idx="15">
                  <c:v>92000</c:v>
                </c:pt>
                <c:pt idx="16">
                  <c:v>3300</c:v>
                </c:pt>
                <c:pt idx="17">
                  <c:v>1300</c:v>
                </c:pt>
                <c:pt idx="18">
                  <c:v>4600</c:v>
                </c:pt>
                <c:pt idx="19">
                  <c:v>11000</c:v>
                </c:pt>
                <c:pt idx="20">
                  <c:v>1700</c:v>
                </c:pt>
                <c:pt idx="21">
                  <c:v>1700</c:v>
                </c:pt>
                <c:pt idx="22">
                  <c:v>33000</c:v>
                </c:pt>
                <c:pt idx="23">
                  <c:v>3500</c:v>
                </c:pt>
                <c:pt idx="25">
                  <c:v>1100</c:v>
                </c:pt>
                <c:pt idx="26">
                  <c:v>4900</c:v>
                </c:pt>
                <c:pt idx="27">
                  <c:v>3300</c:v>
                </c:pt>
                <c:pt idx="28">
                  <c:v>490</c:v>
                </c:pt>
                <c:pt idx="29">
                  <c:v>1700</c:v>
                </c:pt>
                <c:pt idx="30">
                  <c:v>450</c:v>
                </c:pt>
                <c:pt idx="31">
                  <c:v>22000</c:v>
                </c:pt>
                <c:pt idx="32">
                  <c:v>1100</c:v>
                </c:pt>
                <c:pt idx="33">
                  <c:v>27000</c:v>
                </c:pt>
                <c:pt idx="34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9-40DF-9D1E-706F2F35DA4B}"/>
            </c:ext>
          </c:extLst>
        </c:ser>
        <c:ser>
          <c:idx val="1"/>
          <c:order val="1"/>
          <c:tx>
            <c:strRef>
              <c:f>'P. Biológicos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Biológicos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Gráficos'!$C$29:$C$63</c:f>
              <c:numCache>
                <c:formatCode>0.00E+00</c:formatCode>
                <c:ptCount val="35"/>
                <c:pt idx="0">
                  <c:v>9400</c:v>
                </c:pt>
                <c:pt idx="1">
                  <c:v>2200</c:v>
                </c:pt>
                <c:pt idx="2">
                  <c:v>13000</c:v>
                </c:pt>
                <c:pt idx="3">
                  <c:v>11000</c:v>
                </c:pt>
                <c:pt idx="4">
                  <c:v>11000</c:v>
                </c:pt>
                <c:pt idx="5">
                  <c:v>17000</c:v>
                </c:pt>
                <c:pt idx="6">
                  <c:v>1400</c:v>
                </c:pt>
                <c:pt idx="7">
                  <c:v>1700</c:v>
                </c:pt>
                <c:pt idx="8">
                  <c:v>92000</c:v>
                </c:pt>
                <c:pt idx="9">
                  <c:v>5400</c:v>
                </c:pt>
                <c:pt idx="10">
                  <c:v>490</c:v>
                </c:pt>
                <c:pt idx="12">
                  <c:v>7900</c:v>
                </c:pt>
                <c:pt idx="13">
                  <c:v>170</c:v>
                </c:pt>
                <c:pt idx="14">
                  <c:v>16000</c:v>
                </c:pt>
                <c:pt idx="15">
                  <c:v>35000</c:v>
                </c:pt>
                <c:pt idx="16">
                  <c:v>1300</c:v>
                </c:pt>
                <c:pt idx="17">
                  <c:v>46</c:v>
                </c:pt>
                <c:pt idx="18">
                  <c:v>7900</c:v>
                </c:pt>
                <c:pt idx="19">
                  <c:v>2300</c:v>
                </c:pt>
                <c:pt idx="20">
                  <c:v>1200</c:v>
                </c:pt>
                <c:pt idx="21">
                  <c:v>2300</c:v>
                </c:pt>
                <c:pt idx="22">
                  <c:v>110000</c:v>
                </c:pt>
                <c:pt idx="23">
                  <c:v>490</c:v>
                </c:pt>
                <c:pt idx="25">
                  <c:v>200</c:v>
                </c:pt>
                <c:pt idx="26">
                  <c:v>7000</c:v>
                </c:pt>
                <c:pt idx="27">
                  <c:v>17000</c:v>
                </c:pt>
                <c:pt idx="28">
                  <c:v>490</c:v>
                </c:pt>
                <c:pt idx="29">
                  <c:v>3500</c:v>
                </c:pt>
                <c:pt idx="30">
                  <c:v>780</c:v>
                </c:pt>
                <c:pt idx="31">
                  <c:v>11000</c:v>
                </c:pt>
                <c:pt idx="32">
                  <c:v>490</c:v>
                </c:pt>
                <c:pt idx="33">
                  <c:v>9100</c:v>
                </c:pt>
                <c:pt idx="34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9-40DF-9D1E-706F2F35DA4B}"/>
            </c:ext>
          </c:extLst>
        </c:ser>
        <c:ser>
          <c:idx val="2"/>
          <c:order val="2"/>
          <c:tx>
            <c:strRef>
              <c:f>'P. Biológicos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Biológicos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Gráficos'!$D$29:$D$63</c:f>
              <c:numCache>
                <c:formatCode>0.00E+00</c:formatCode>
                <c:ptCount val="35"/>
                <c:pt idx="0">
                  <c:v>24000</c:v>
                </c:pt>
                <c:pt idx="1">
                  <c:v>1100</c:v>
                </c:pt>
                <c:pt idx="2">
                  <c:v>17000</c:v>
                </c:pt>
                <c:pt idx="3">
                  <c:v>17000</c:v>
                </c:pt>
                <c:pt idx="4">
                  <c:v>170000</c:v>
                </c:pt>
                <c:pt idx="5">
                  <c:v>160000</c:v>
                </c:pt>
                <c:pt idx="6">
                  <c:v>1100</c:v>
                </c:pt>
                <c:pt idx="7">
                  <c:v>790</c:v>
                </c:pt>
                <c:pt idx="8">
                  <c:v>160000</c:v>
                </c:pt>
                <c:pt idx="9">
                  <c:v>2200</c:v>
                </c:pt>
                <c:pt idx="10">
                  <c:v>330</c:v>
                </c:pt>
                <c:pt idx="12">
                  <c:v>11000</c:v>
                </c:pt>
                <c:pt idx="13">
                  <c:v>1700</c:v>
                </c:pt>
                <c:pt idx="14">
                  <c:v>16000</c:v>
                </c:pt>
                <c:pt idx="15">
                  <c:v>28000</c:v>
                </c:pt>
                <c:pt idx="16">
                  <c:v>4900</c:v>
                </c:pt>
                <c:pt idx="17">
                  <c:v>1100</c:v>
                </c:pt>
                <c:pt idx="18">
                  <c:v>13000</c:v>
                </c:pt>
                <c:pt idx="19">
                  <c:v>11000</c:v>
                </c:pt>
                <c:pt idx="20">
                  <c:v>450</c:v>
                </c:pt>
                <c:pt idx="21">
                  <c:v>2200</c:v>
                </c:pt>
                <c:pt idx="22">
                  <c:v>110000</c:v>
                </c:pt>
                <c:pt idx="23">
                  <c:v>230</c:v>
                </c:pt>
                <c:pt idx="25">
                  <c:v>1100</c:v>
                </c:pt>
                <c:pt idx="26">
                  <c:v>3300</c:v>
                </c:pt>
                <c:pt idx="27">
                  <c:v>4900</c:v>
                </c:pt>
                <c:pt idx="28">
                  <c:v>490</c:v>
                </c:pt>
                <c:pt idx="29">
                  <c:v>5400</c:v>
                </c:pt>
                <c:pt idx="30">
                  <c:v>2000</c:v>
                </c:pt>
                <c:pt idx="31">
                  <c:v>33000</c:v>
                </c:pt>
                <c:pt idx="32">
                  <c:v>1700</c:v>
                </c:pt>
                <c:pt idx="33">
                  <c:v>4500</c:v>
                </c:pt>
                <c:pt idx="34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D9-40DF-9D1E-706F2F35D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37344"/>
        <c:axId val="321537904"/>
      </c:lineChart>
      <c:dateAx>
        <c:axId val="3215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37904"/>
        <c:crosses val="autoZero"/>
        <c:auto val="1"/>
        <c:lblOffset val="100"/>
        <c:baseTimeUnit val="months"/>
      </c:dateAx>
      <c:valAx>
        <c:axId val="3215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NMP/100ml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3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Coliformes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Biológicos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Biológicos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Gráficos'!$E$29:$E$63</c:f>
              <c:numCache>
                <c:formatCode>0.00E+00</c:formatCode>
                <c:ptCount val="35"/>
                <c:pt idx="0">
                  <c:v>22000</c:v>
                </c:pt>
                <c:pt idx="1">
                  <c:v>17000</c:v>
                </c:pt>
                <c:pt idx="2">
                  <c:v>17000</c:v>
                </c:pt>
                <c:pt idx="3">
                  <c:v>11000</c:v>
                </c:pt>
                <c:pt idx="4">
                  <c:v>79000</c:v>
                </c:pt>
                <c:pt idx="5">
                  <c:v>24000</c:v>
                </c:pt>
                <c:pt idx="6">
                  <c:v>490</c:v>
                </c:pt>
                <c:pt idx="7">
                  <c:v>1100</c:v>
                </c:pt>
                <c:pt idx="8">
                  <c:v>92000</c:v>
                </c:pt>
                <c:pt idx="9">
                  <c:v>5400</c:v>
                </c:pt>
                <c:pt idx="10">
                  <c:v>540</c:v>
                </c:pt>
                <c:pt idx="12">
                  <c:v>54000</c:v>
                </c:pt>
                <c:pt idx="13">
                  <c:v>700</c:v>
                </c:pt>
                <c:pt idx="14">
                  <c:v>35000</c:v>
                </c:pt>
                <c:pt idx="15">
                  <c:v>54000</c:v>
                </c:pt>
                <c:pt idx="16">
                  <c:v>3300</c:v>
                </c:pt>
                <c:pt idx="17">
                  <c:v>33</c:v>
                </c:pt>
                <c:pt idx="18">
                  <c:v>22000</c:v>
                </c:pt>
                <c:pt idx="19">
                  <c:v>4600</c:v>
                </c:pt>
                <c:pt idx="20">
                  <c:v>930</c:v>
                </c:pt>
                <c:pt idx="21">
                  <c:v>1300</c:v>
                </c:pt>
                <c:pt idx="22">
                  <c:v>110000</c:v>
                </c:pt>
                <c:pt idx="23">
                  <c:v>490</c:v>
                </c:pt>
                <c:pt idx="25">
                  <c:v>1400</c:v>
                </c:pt>
                <c:pt idx="26">
                  <c:v>13000</c:v>
                </c:pt>
                <c:pt idx="27">
                  <c:v>1700</c:v>
                </c:pt>
                <c:pt idx="28">
                  <c:v>2200</c:v>
                </c:pt>
                <c:pt idx="29">
                  <c:v>9200</c:v>
                </c:pt>
                <c:pt idx="31">
                  <c:v>49000</c:v>
                </c:pt>
                <c:pt idx="32">
                  <c:v>16000</c:v>
                </c:pt>
                <c:pt idx="33">
                  <c:v>33000</c:v>
                </c:pt>
                <c:pt idx="34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F-4228-BA5E-D625E98144CB}"/>
            </c:ext>
          </c:extLst>
        </c:ser>
        <c:ser>
          <c:idx val="1"/>
          <c:order val="1"/>
          <c:tx>
            <c:strRef>
              <c:f>'P. Biológicos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Biológicos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Gráficos'!$F$29:$F$63</c:f>
              <c:numCache>
                <c:formatCode>0.00E+00</c:formatCode>
                <c:ptCount val="35"/>
                <c:pt idx="0">
                  <c:v>17000</c:v>
                </c:pt>
                <c:pt idx="1">
                  <c:v>940</c:v>
                </c:pt>
                <c:pt idx="2">
                  <c:v>49000</c:v>
                </c:pt>
                <c:pt idx="3">
                  <c:v>11000</c:v>
                </c:pt>
                <c:pt idx="4">
                  <c:v>790</c:v>
                </c:pt>
                <c:pt idx="5">
                  <c:v>54000</c:v>
                </c:pt>
                <c:pt idx="6">
                  <c:v>700</c:v>
                </c:pt>
                <c:pt idx="7">
                  <c:v>490</c:v>
                </c:pt>
                <c:pt idx="8">
                  <c:v>92000</c:v>
                </c:pt>
                <c:pt idx="9">
                  <c:v>1700</c:v>
                </c:pt>
                <c:pt idx="10">
                  <c:v>2400</c:v>
                </c:pt>
                <c:pt idx="12">
                  <c:v>35000</c:v>
                </c:pt>
                <c:pt idx="13">
                  <c:v>490</c:v>
                </c:pt>
                <c:pt idx="14">
                  <c:v>16000</c:v>
                </c:pt>
                <c:pt idx="15">
                  <c:v>160000</c:v>
                </c:pt>
                <c:pt idx="16">
                  <c:v>7900</c:v>
                </c:pt>
                <c:pt idx="17">
                  <c:v>17</c:v>
                </c:pt>
                <c:pt idx="18">
                  <c:v>7900</c:v>
                </c:pt>
                <c:pt idx="19">
                  <c:v>4900</c:v>
                </c:pt>
                <c:pt idx="20">
                  <c:v>450</c:v>
                </c:pt>
                <c:pt idx="21">
                  <c:v>7900</c:v>
                </c:pt>
                <c:pt idx="22">
                  <c:v>13000</c:v>
                </c:pt>
                <c:pt idx="23">
                  <c:v>2400</c:v>
                </c:pt>
                <c:pt idx="25">
                  <c:v>780</c:v>
                </c:pt>
                <c:pt idx="26">
                  <c:v>3300</c:v>
                </c:pt>
                <c:pt idx="27">
                  <c:v>13000</c:v>
                </c:pt>
                <c:pt idx="28">
                  <c:v>1100</c:v>
                </c:pt>
                <c:pt idx="29">
                  <c:v>79</c:v>
                </c:pt>
                <c:pt idx="30">
                  <c:v>5400</c:v>
                </c:pt>
                <c:pt idx="31">
                  <c:v>3500</c:v>
                </c:pt>
                <c:pt idx="32">
                  <c:v>5400</c:v>
                </c:pt>
                <c:pt idx="33">
                  <c:v>4900</c:v>
                </c:pt>
                <c:pt idx="34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F-4228-BA5E-D625E98144CB}"/>
            </c:ext>
          </c:extLst>
        </c:ser>
        <c:ser>
          <c:idx val="2"/>
          <c:order val="2"/>
          <c:tx>
            <c:strRef>
              <c:f>'P. Biológicos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Biológicos Gráficos'!$A$29:$A$63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Gráficos'!$G$29:$G$63</c:f>
              <c:numCache>
                <c:formatCode>0.00E+00</c:formatCode>
                <c:ptCount val="35"/>
                <c:pt idx="0">
                  <c:v>16000</c:v>
                </c:pt>
                <c:pt idx="1">
                  <c:v>1300</c:v>
                </c:pt>
                <c:pt idx="2">
                  <c:v>4900</c:v>
                </c:pt>
                <c:pt idx="3">
                  <c:v>4900</c:v>
                </c:pt>
                <c:pt idx="4">
                  <c:v>1700</c:v>
                </c:pt>
                <c:pt idx="5">
                  <c:v>700</c:v>
                </c:pt>
                <c:pt idx="6">
                  <c:v>23</c:v>
                </c:pt>
                <c:pt idx="7">
                  <c:v>790</c:v>
                </c:pt>
                <c:pt idx="8">
                  <c:v>3300</c:v>
                </c:pt>
                <c:pt idx="9">
                  <c:v>790</c:v>
                </c:pt>
                <c:pt idx="10">
                  <c:v>31</c:v>
                </c:pt>
                <c:pt idx="12">
                  <c:v>790</c:v>
                </c:pt>
                <c:pt idx="13">
                  <c:v>240</c:v>
                </c:pt>
                <c:pt idx="14">
                  <c:v>240</c:v>
                </c:pt>
                <c:pt idx="15">
                  <c:v>4900</c:v>
                </c:pt>
                <c:pt idx="16">
                  <c:v>2300</c:v>
                </c:pt>
                <c:pt idx="19">
                  <c:v>1100</c:v>
                </c:pt>
                <c:pt idx="20">
                  <c:v>330</c:v>
                </c:pt>
                <c:pt idx="21">
                  <c:v>130</c:v>
                </c:pt>
                <c:pt idx="22">
                  <c:v>330</c:v>
                </c:pt>
                <c:pt idx="23">
                  <c:v>790</c:v>
                </c:pt>
                <c:pt idx="25">
                  <c:v>5400</c:v>
                </c:pt>
                <c:pt idx="26">
                  <c:v>1300</c:v>
                </c:pt>
                <c:pt idx="27">
                  <c:v>2200</c:v>
                </c:pt>
                <c:pt idx="28">
                  <c:v>1300</c:v>
                </c:pt>
                <c:pt idx="29">
                  <c:v>3500</c:v>
                </c:pt>
                <c:pt idx="30">
                  <c:v>2000</c:v>
                </c:pt>
                <c:pt idx="31">
                  <c:v>17000</c:v>
                </c:pt>
                <c:pt idx="32">
                  <c:v>23</c:v>
                </c:pt>
                <c:pt idx="33">
                  <c:v>2700</c:v>
                </c:pt>
                <c:pt idx="34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F-4228-BA5E-D625E9814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41824"/>
        <c:axId val="321542384"/>
      </c:lineChart>
      <c:dateAx>
        <c:axId val="32154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42384"/>
        <c:crosses val="autoZero"/>
        <c:auto val="1"/>
        <c:lblOffset val="100"/>
        <c:baseTimeUnit val="months"/>
      </c:dateAx>
      <c:valAx>
        <c:axId val="321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NMP/100ml</a:t>
                </a:r>
              </a:p>
            </c:rich>
          </c:tx>
          <c:layout>
            <c:manualLayout>
              <c:xMode val="edge"/>
              <c:yMode val="edge"/>
              <c:x val="2.5252525252525252E-2"/>
              <c:y val="0.38101613968632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4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Coliformes termotolerantes</a:t>
            </a:r>
          </a:p>
        </c:rich>
      </c:tx>
      <c:layout>
        <c:manualLayout>
          <c:xMode val="edge"/>
          <c:yMode val="edge"/>
          <c:x val="0.52362819317006859"/>
          <c:y val="2.2271714922048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Biológicos Gráficos'!$B$13</c:f>
              <c:strCache>
                <c:ptCount val="1"/>
                <c:pt idx="0">
                  <c:v>Punto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'P. Biológicos Gráficos'!$A$84:$A$118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Gráficos'!$B$84:$B$118</c:f>
              <c:numCache>
                <c:formatCode>0.00E+00</c:formatCode>
                <c:ptCount val="35"/>
                <c:pt idx="0">
                  <c:v>2800</c:v>
                </c:pt>
                <c:pt idx="1">
                  <c:v>790</c:v>
                </c:pt>
                <c:pt idx="2">
                  <c:v>4900</c:v>
                </c:pt>
                <c:pt idx="3">
                  <c:v>3500</c:v>
                </c:pt>
                <c:pt idx="4">
                  <c:v>3300</c:v>
                </c:pt>
                <c:pt idx="5">
                  <c:v>14000</c:v>
                </c:pt>
                <c:pt idx="6">
                  <c:v>790</c:v>
                </c:pt>
                <c:pt idx="7">
                  <c:v>790</c:v>
                </c:pt>
                <c:pt idx="8">
                  <c:v>35000</c:v>
                </c:pt>
                <c:pt idx="9">
                  <c:v>790</c:v>
                </c:pt>
                <c:pt idx="10">
                  <c:v>1300</c:v>
                </c:pt>
                <c:pt idx="12">
                  <c:v>2200</c:v>
                </c:pt>
                <c:pt idx="13">
                  <c:v>2400</c:v>
                </c:pt>
                <c:pt idx="14">
                  <c:v>5400</c:v>
                </c:pt>
                <c:pt idx="15">
                  <c:v>13000</c:v>
                </c:pt>
                <c:pt idx="16">
                  <c:v>1300</c:v>
                </c:pt>
                <c:pt idx="17">
                  <c:v>330</c:v>
                </c:pt>
                <c:pt idx="18">
                  <c:v>3300</c:v>
                </c:pt>
                <c:pt idx="19">
                  <c:v>1100</c:v>
                </c:pt>
                <c:pt idx="20">
                  <c:v>680</c:v>
                </c:pt>
                <c:pt idx="21">
                  <c:v>1100</c:v>
                </c:pt>
                <c:pt idx="22">
                  <c:v>13000</c:v>
                </c:pt>
                <c:pt idx="23">
                  <c:v>790</c:v>
                </c:pt>
                <c:pt idx="25">
                  <c:v>450</c:v>
                </c:pt>
                <c:pt idx="26">
                  <c:v>2200</c:v>
                </c:pt>
                <c:pt idx="27">
                  <c:v>3300</c:v>
                </c:pt>
                <c:pt idx="28">
                  <c:v>330</c:v>
                </c:pt>
                <c:pt idx="29">
                  <c:v>1700</c:v>
                </c:pt>
                <c:pt idx="30">
                  <c:v>450</c:v>
                </c:pt>
                <c:pt idx="31">
                  <c:v>13000</c:v>
                </c:pt>
                <c:pt idx="32">
                  <c:v>700</c:v>
                </c:pt>
                <c:pt idx="33">
                  <c:v>17000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C-4F85-B8CE-5CBF8C6BF763}"/>
            </c:ext>
          </c:extLst>
        </c:ser>
        <c:ser>
          <c:idx val="1"/>
          <c:order val="1"/>
          <c:tx>
            <c:strRef>
              <c:f>'P. Biológicos Gráficos'!$C$13</c:f>
              <c:strCache>
                <c:ptCount val="1"/>
                <c:pt idx="0">
                  <c:v>Punto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'P. Biológicos Gráficos'!$A$84:$A$118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Gráficos'!$C$84:$C$118</c:f>
              <c:numCache>
                <c:formatCode>0.00E+00</c:formatCode>
                <c:ptCount val="35"/>
                <c:pt idx="0">
                  <c:v>1300</c:v>
                </c:pt>
                <c:pt idx="1">
                  <c:v>1300</c:v>
                </c:pt>
                <c:pt idx="2">
                  <c:v>13000</c:v>
                </c:pt>
                <c:pt idx="3">
                  <c:v>3300</c:v>
                </c:pt>
                <c:pt idx="4">
                  <c:v>2200</c:v>
                </c:pt>
                <c:pt idx="5">
                  <c:v>13000</c:v>
                </c:pt>
                <c:pt idx="6">
                  <c:v>700</c:v>
                </c:pt>
                <c:pt idx="7">
                  <c:v>1300</c:v>
                </c:pt>
                <c:pt idx="8">
                  <c:v>13000</c:v>
                </c:pt>
                <c:pt idx="9">
                  <c:v>700</c:v>
                </c:pt>
                <c:pt idx="10">
                  <c:v>330</c:v>
                </c:pt>
                <c:pt idx="12">
                  <c:v>3300</c:v>
                </c:pt>
                <c:pt idx="13">
                  <c:v>170</c:v>
                </c:pt>
                <c:pt idx="14">
                  <c:v>3500</c:v>
                </c:pt>
                <c:pt idx="15">
                  <c:v>17000</c:v>
                </c:pt>
                <c:pt idx="16">
                  <c:v>1300</c:v>
                </c:pt>
                <c:pt idx="17">
                  <c:v>33</c:v>
                </c:pt>
                <c:pt idx="18">
                  <c:v>4900</c:v>
                </c:pt>
                <c:pt idx="19">
                  <c:v>1300</c:v>
                </c:pt>
                <c:pt idx="20">
                  <c:v>610</c:v>
                </c:pt>
                <c:pt idx="21">
                  <c:v>2300</c:v>
                </c:pt>
                <c:pt idx="22">
                  <c:v>110000</c:v>
                </c:pt>
                <c:pt idx="23">
                  <c:v>490</c:v>
                </c:pt>
                <c:pt idx="25">
                  <c:v>200</c:v>
                </c:pt>
                <c:pt idx="26">
                  <c:v>4900</c:v>
                </c:pt>
                <c:pt idx="27">
                  <c:v>17000</c:v>
                </c:pt>
                <c:pt idx="28">
                  <c:v>220</c:v>
                </c:pt>
                <c:pt idx="29">
                  <c:v>3500</c:v>
                </c:pt>
                <c:pt idx="30">
                  <c:v>450</c:v>
                </c:pt>
                <c:pt idx="31">
                  <c:v>11000</c:v>
                </c:pt>
                <c:pt idx="32">
                  <c:v>230</c:v>
                </c:pt>
                <c:pt idx="33">
                  <c:v>2000</c:v>
                </c:pt>
                <c:pt idx="34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C-4F85-B8CE-5CBF8C6BF763}"/>
            </c:ext>
          </c:extLst>
        </c:ser>
        <c:ser>
          <c:idx val="2"/>
          <c:order val="2"/>
          <c:tx>
            <c:strRef>
              <c:f>'P. Biológicos Gráficos'!$D$13</c:f>
              <c:strCache>
                <c:ptCount val="1"/>
                <c:pt idx="0">
                  <c:v>Punto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'P. Biológicos Gráficos'!$A$84:$A$118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Gráficos'!$D$84:$D$118</c:f>
              <c:numCache>
                <c:formatCode>0.00E+00</c:formatCode>
                <c:ptCount val="35"/>
                <c:pt idx="0">
                  <c:v>4900</c:v>
                </c:pt>
                <c:pt idx="1">
                  <c:v>490</c:v>
                </c:pt>
                <c:pt idx="2">
                  <c:v>13000</c:v>
                </c:pt>
                <c:pt idx="3">
                  <c:v>7000</c:v>
                </c:pt>
                <c:pt idx="4">
                  <c:v>11000</c:v>
                </c:pt>
                <c:pt idx="5">
                  <c:v>92000</c:v>
                </c:pt>
                <c:pt idx="6">
                  <c:v>20</c:v>
                </c:pt>
                <c:pt idx="7">
                  <c:v>490</c:v>
                </c:pt>
                <c:pt idx="8">
                  <c:v>35000</c:v>
                </c:pt>
                <c:pt idx="9">
                  <c:v>1100</c:v>
                </c:pt>
                <c:pt idx="10">
                  <c:v>330</c:v>
                </c:pt>
                <c:pt idx="12">
                  <c:v>2300</c:v>
                </c:pt>
                <c:pt idx="13">
                  <c:v>490</c:v>
                </c:pt>
                <c:pt idx="14">
                  <c:v>3500</c:v>
                </c:pt>
                <c:pt idx="15">
                  <c:v>22000</c:v>
                </c:pt>
                <c:pt idx="16">
                  <c:v>4900</c:v>
                </c:pt>
                <c:pt idx="17">
                  <c:v>330</c:v>
                </c:pt>
                <c:pt idx="18">
                  <c:v>2800</c:v>
                </c:pt>
                <c:pt idx="19">
                  <c:v>7000</c:v>
                </c:pt>
                <c:pt idx="20">
                  <c:v>450</c:v>
                </c:pt>
                <c:pt idx="21">
                  <c:v>400</c:v>
                </c:pt>
                <c:pt idx="22">
                  <c:v>70000</c:v>
                </c:pt>
                <c:pt idx="23">
                  <c:v>230</c:v>
                </c:pt>
                <c:pt idx="25">
                  <c:v>780</c:v>
                </c:pt>
                <c:pt idx="26">
                  <c:v>680</c:v>
                </c:pt>
                <c:pt idx="27">
                  <c:v>4900</c:v>
                </c:pt>
                <c:pt idx="28">
                  <c:v>490</c:v>
                </c:pt>
                <c:pt idx="29">
                  <c:v>5400</c:v>
                </c:pt>
                <c:pt idx="30">
                  <c:v>2000</c:v>
                </c:pt>
                <c:pt idx="31">
                  <c:v>33000</c:v>
                </c:pt>
                <c:pt idx="32">
                  <c:v>490</c:v>
                </c:pt>
                <c:pt idx="33">
                  <c:v>2000</c:v>
                </c:pt>
                <c:pt idx="34">
                  <c:v>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C-4F85-B8CE-5CBF8C6BF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46304"/>
        <c:axId val="321546864"/>
      </c:lineChart>
      <c:dateAx>
        <c:axId val="32154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46864"/>
        <c:crosses val="autoZero"/>
        <c:auto val="1"/>
        <c:lblOffset val="100"/>
        <c:baseTimeUnit val="months"/>
      </c:dateAx>
      <c:valAx>
        <c:axId val="3215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NMP/100ml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Coliformes termotolerantes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'P. Biológicos Gráficos'!$E$13</c:f>
              <c:strCache>
                <c:ptCount val="1"/>
                <c:pt idx="0">
                  <c:v>Punto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'P. Biológicos Gráficos'!$A$84:$A$118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Gráficos'!$E$84:$E$118</c:f>
              <c:numCache>
                <c:formatCode>0.00E+00</c:formatCode>
                <c:ptCount val="35"/>
                <c:pt idx="0">
                  <c:v>3300</c:v>
                </c:pt>
                <c:pt idx="1">
                  <c:v>7900</c:v>
                </c:pt>
                <c:pt idx="2">
                  <c:v>4900</c:v>
                </c:pt>
                <c:pt idx="3">
                  <c:v>3300</c:v>
                </c:pt>
                <c:pt idx="4">
                  <c:v>17000</c:v>
                </c:pt>
                <c:pt idx="5">
                  <c:v>13000</c:v>
                </c:pt>
                <c:pt idx="6">
                  <c:v>45</c:v>
                </c:pt>
                <c:pt idx="7">
                  <c:v>790</c:v>
                </c:pt>
                <c:pt idx="8">
                  <c:v>35000</c:v>
                </c:pt>
                <c:pt idx="9">
                  <c:v>490</c:v>
                </c:pt>
                <c:pt idx="10">
                  <c:v>540</c:v>
                </c:pt>
                <c:pt idx="12">
                  <c:v>9400</c:v>
                </c:pt>
                <c:pt idx="13">
                  <c:v>330</c:v>
                </c:pt>
                <c:pt idx="14">
                  <c:v>13000</c:v>
                </c:pt>
                <c:pt idx="15">
                  <c:v>13000</c:v>
                </c:pt>
                <c:pt idx="16">
                  <c:v>1300</c:v>
                </c:pt>
                <c:pt idx="17">
                  <c:v>17</c:v>
                </c:pt>
                <c:pt idx="18">
                  <c:v>7900</c:v>
                </c:pt>
                <c:pt idx="19">
                  <c:v>1300</c:v>
                </c:pt>
                <c:pt idx="20">
                  <c:v>680</c:v>
                </c:pt>
                <c:pt idx="21">
                  <c:v>1300</c:v>
                </c:pt>
                <c:pt idx="22">
                  <c:v>33000</c:v>
                </c:pt>
                <c:pt idx="23">
                  <c:v>490</c:v>
                </c:pt>
                <c:pt idx="25">
                  <c:v>1400</c:v>
                </c:pt>
                <c:pt idx="26">
                  <c:v>3300</c:v>
                </c:pt>
                <c:pt idx="27">
                  <c:v>1300</c:v>
                </c:pt>
                <c:pt idx="28">
                  <c:v>2200</c:v>
                </c:pt>
                <c:pt idx="29">
                  <c:v>5400</c:v>
                </c:pt>
                <c:pt idx="31">
                  <c:v>49000</c:v>
                </c:pt>
                <c:pt idx="32">
                  <c:v>16000</c:v>
                </c:pt>
                <c:pt idx="33">
                  <c:v>23000</c:v>
                </c:pt>
                <c:pt idx="34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7-4729-9BFC-82601E416FA7}"/>
            </c:ext>
          </c:extLst>
        </c:ser>
        <c:ser>
          <c:idx val="1"/>
          <c:order val="1"/>
          <c:tx>
            <c:strRef>
              <c:f>'P. Biológicos Gráficos'!$F$13</c:f>
              <c:strCache>
                <c:ptCount val="1"/>
                <c:pt idx="0">
                  <c:v>100 mts 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'P. Biológicos Gráficos'!$A$84:$A$118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Gráficos'!$F$84:$F$118</c:f>
              <c:numCache>
                <c:formatCode>0.00E+00</c:formatCode>
                <c:ptCount val="35"/>
                <c:pt idx="0">
                  <c:v>1700</c:v>
                </c:pt>
                <c:pt idx="1">
                  <c:v>700</c:v>
                </c:pt>
                <c:pt idx="2">
                  <c:v>7900</c:v>
                </c:pt>
                <c:pt idx="3">
                  <c:v>3300</c:v>
                </c:pt>
                <c:pt idx="4">
                  <c:v>330</c:v>
                </c:pt>
                <c:pt idx="5">
                  <c:v>24000</c:v>
                </c:pt>
                <c:pt idx="6">
                  <c:v>330</c:v>
                </c:pt>
                <c:pt idx="7">
                  <c:v>330</c:v>
                </c:pt>
                <c:pt idx="8">
                  <c:v>13000</c:v>
                </c:pt>
                <c:pt idx="9">
                  <c:v>790</c:v>
                </c:pt>
                <c:pt idx="10">
                  <c:v>790</c:v>
                </c:pt>
                <c:pt idx="12">
                  <c:v>4900</c:v>
                </c:pt>
                <c:pt idx="13">
                  <c:v>330</c:v>
                </c:pt>
                <c:pt idx="14">
                  <c:v>16000</c:v>
                </c:pt>
                <c:pt idx="15">
                  <c:v>92000</c:v>
                </c:pt>
                <c:pt idx="16">
                  <c:v>4900</c:v>
                </c:pt>
                <c:pt idx="17">
                  <c:v>17</c:v>
                </c:pt>
                <c:pt idx="18">
                  <c:v>4900</c:v>
                </c:pt>
                <c:pt idx="19">
                  <c:v>1300</c:v>
                </c:pt>
                <c:pt idx="20">
                  <c:v>450</c:v>
                </c:pt>
                <c:pt idx="21">
                  <c:v>1700</c:v>
                </c:pt>
                <c:pt idx="22">
                  <c:v>13000</c:v>
                </c:pt>
                <c:pt idx="23">
                  <c:v>1300</c:v>
                </c:pt>
                <c:pt idx="25">
                  <c:v>780</c:v>
                </c:pt>
                <c:pt idx="26">
                  <c:v>790</c:v>
                </c:pt>
                <c:pt idx="27">
                  <c:v>13000</c:v>
                </c:pt>
                <c:pt idx="28">
                  <c:v>1100</c:v>
                </c:pt>
                <c:pt idx="29">
                  <c:v>79</c:v>
                </c:pt>
                <c:pt idx="30">
                  <c:v>3500</c:v>
                </c:pt>
                <c:pt idx="31">
                  <c:v>490</c:v>
                </c:pt>
                <c:pt idx="32">
                  <c:v>3500</c:v>
                </c:pt>
                <c:pt idx="33">
                  <c:v>4900</c:v>
                </c:pt>
                <c:pt idx="34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7-4729-9BFC-82601E416FA7}"/>
            </c:ext>
          </c:extLst>
        </c:ser>
        <c:ser>
          <c:idx val="2"/>
          <c:order val="2"/>
          <c:tx>
            <c:strRef>
              <c:f>'P. Biológicos Gráficos'!$G$13</c:f>
              <c:strCache>
                <c:ptCount val="1"/>
                <c:pt idx="0">
                  <c:v>Q. Capelo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'P. Biológicos Gráficos'!$A$84:$A$118</c:f>
              <c:numCache>
                <c:formatCode>dd/mmm/yy</c:formatCode>
                <c:ptCount val="35"/>
                <c:pt idx="0">
                  <c:v>40625</c:v>
                </c:pt>
                <c:pt idx="1">
                  <c:v>40716</c:v>
                </c:pt>
                <c:pt idx="2">
                  <c:v>40821</c:v>
                </c:pt>
                <c:pt idx="3">
                  <c:v>40897</c:v>
                </c:pt>
                <c:pt idx="4">
                  <c:v>41008</c:v>
                </c:pt>
                <c:pt idx="5">
                  <c:v>41086</c:v>
                </c:pt>
                <c:pt idx="6">
                  <c:v>41179</c:v>
                </c:pt>
                <c:pt idx="7">
                  <c:v>41247</c:v>
                </c:pt>
                <c:pt idx="8">
                  <c:v>41352</c:v>
                </c:pt>
                <c:pt idx="9">
                  <c:v>41445</c:v>
                </c:pt>
                <c:pt idx="10">
                  <c:v>41528</c:v>
                </c:pt>
                <c:pt idx="11">
                  <c:v>41670</c:v>
                </c:pt>
                <c:pt idx="12">
                  <c:v>41758</c:v>
                </c:pt>
                <c:pt idx="13">
                  <c:v>41835</c:v>
                </c:pt>
                <c:pt idx="14">
                  <c:v>42031</c:v>
                </c:pt>
                <c:pt idx="15">
                  <c:v>42094</c:v>
                </c:pt>
                <c:pt idx="16">
                  <c:v>42192</c:v>
                </c:pt>
                <c:pt idx="17">
                  <c:v>42290</c:v>
                </c:pt>
                <c:pt idx="18">
                  <c:v>42381</c:v>
                </c:pt>
                <c:pt idx="19">
                  <c:v>42479</c:v>
                </c:pt>
                <c:pt idx="20">
                  <c:v>42570</c:v>
                </c:pt>
                <c:pt idx="21">
                  <c:v>42654</c:v>
                </c:pt>
                <c:pt idx="22">
                  <c:v>42745</c:v>
                </c:pt>
                <c:pt idx="23">
                  <c:v>42843</c:v>
                </c:pt>
                <c:pt idx="24">
                  <c:v>42934</c:v>
                </c:pt>
                <c:pt idx="25">
                  <c:v>43025</c:v>
                </c:pt>
                <c:pt idx="26">
                  <c:v>43109</c:v>
                </c:pt>
                <c:pt idx="27">
                  <c:v>43193</c:v>
                </c:pt>
                <c:pt idx="28">
                  <c:v>43298</c:v>
                </c:pt>
                <c:pt idx="29">
                  <c:v>43403</c:v>
                </c:pt>
                <c:pt idx="30">
                  <c:v>43487</c:v>
                </c:pt>
                <c:pt idx="31">
                  <c:v>43578</c:v>
                </c:pt>
                <c:pt idx="32">
                  <c:v>43704</c:v>
                </c:pt>
                <c:pt idx="33">
                  <c:v>43760</c:v>
                </c:pt>
                <c:pt idx="34">
                  <c:v>44021</c:v>
                </c:pt>
              </c:numCache>
            </c:numRef>
          </c:cat>
          <c:val>
            <c:numRef>
              <c:f>'P. Biológicos Gráficos'!$G$84:$G$118</c:f>
              <c:numCache>
                <c:formatCode>0.00E+00</c:formatCode>
                <c:ptCount val="35"/>
                <c:pt idx="0">
                  <c:v>16000</c:v>
                </c:pt>
                <c:pt idx="1">
                  <c:v>790</c:v>
                </c:pt>
                <c:pt idx="2">
                  <c:v>1300</c:v>
                </c:pt>
                <c:pt idx="3">
                  <c:v>1700</c:v>
                </c:pt>
                <c:pt idx="4">
                  <c:v>230</c:v>
                </c:pt>
                <c:pt idx="5">
                  <c:v>490</c:v>
                </c:pt>
                <c:pt idx="6">
                  <c:v>1.8</c:v>
                </c:pt>
                <c:pt idx="7">
                  <c:v>170</c:v>
                </c:pt>
                <c:pt idx="8">
                  <c:v>3300</c:v>
                </c:pt>
                <c:pt idx="9">
                  <c:v>110</c:v>
                </c:pt>
                <c:pt idx="10">
                  <c:v>13</c:v>
                </c:pt>
                <c:pt idx="12">
                  <c:v>78</c:v>
                </c:pt>
                <c:pt idx="13">
                  <c:v>240</c:v>
                </c:pt>
                <c:pt idx="14">
                  <c:v>240</c:v>
                </c:pt>
                <c:pt idx="15">
                  <c:v>2300</c:v>
                </c:pt>
                <c:pt idx="16">
                  <c:v>3.3</c:v>
                </c:pt>
                <c:pt idx="19">
                  <c:v>790</c:v>
                </c:pt>
                <c:pt idx="20">
                  <c:v>330</c:v>
                </c:pt>
                <c:pt idx="21">
                  <c:v>79</c:v>
                </c:pt>
                <c:pt idx="22">
                  <c:v>330</c:v>
                </c:pt>
                <c:pt idx="23">
                  <c:v>490</c:v>
                </c:pt>
                <c:pt idx="25">
                  <c:v>490</c:v>
                </c:pt>
                <c:pt idx="26">
                  <c:v>1300</c:v>
                </c:pt>
                <c:pt idx="27">
                  <c:v>2200</c:v>
                </c:pt>
                <c:pt idx="28">
                  <c:v>330</c:v>
                </c:pt>
                <c:pt idx="29">
                  <c:v>1700</c:v>
                </c:pt>
                <c:pt idx="30">
                  <c:v>2000</c:v>
                </c:pt>
                <c:pt idx="31">
                  <c:v>7800</c:v>
                </c:pt>
                <c:pt idx="32">
                  <c:v>23</c:v>
                </c:pt>
                <c:pt idx="33">
                  <c:v>1100</c:v>
                </c:pt>
                <c:pt idx="34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27-4729-9BFC-82601E41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50784"/>
        <c:axId val="321551344"/>
      </c:lineChart>
      <c:dateAx>
        <c:axId val="3215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51344"/>
        <c:crosses val="autoZero"/>
        <c:auto val="1"/>
        <c:lblOffset val="100"/>
        <c:baseTimeUnit val="months"/>
      </c:dateAx>
      <c:valAx>
        <c:axId val="3215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NMP/100ml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2155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26" Type="http://schemas.openxmlformats.org/officeDocument/2006/relationships/chart" Target="../charts/chart25.xml"/><Relationship Id="rId3" Type="http://schemas.openxmlformats.org/officeDocument/2006/relationships/chart" Target="../charts/chart2.xml"/><Relationship Id="rId21" Type="http://schemas.openxmlformats.org/officeDocument/2006/relationships/chart" Target="../charts/chart20.xml"/><Relationship Id="rId34" Type="http://schemas.openxmlformats.org/officeDocument/2006/relationships/chart" Target="../charts/chart3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5" Type="http://schemas.openxmlformats.org/officeDocument/2006/relationships/chart" Target="../charts/chart24.xml"/><Relationship Id="rId33" Type="http://schemas.openxmlformats.org/officeDocument/2006/relationships/chart" Target="../charts/chart32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29" Type="http://schemas.openxmlformats.org/officeDocument/2006/relationships/chart" Target="../charts/chart28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24" Type="http://schemas.openxmlformats.org/officeDocument/2006/relationships/chart" Target="../charts/chart23.xml"/><Relationship Id="rId32" Type="http://schemas.openxmlformats.org/officeDocument/2006/relationships/chart" Target="../charts/chart31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23" Type="http://schemas.openxmlformats.org/officeDocument/2006/relationships/chart" Target="../charts/chart22.xml"/><Relationship Id="rId28" Type="http://schemas.openxmlformats.org/officeDocument/2006/relationships/chart" Target="../charts/chart27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31" Type="http://schemas.openxmlformats.org/officeDocument/2006/relationships/chart" Target="../charts/chart30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Relationship Id="rId27" Type="http://schemas.openxmlformats.org/officeDocument/2006/relationships/chart" Target="../charts/chart26.xml"/><Relationship Id="rId30" Type="http://schemas.openxmlformats.org/officeDocument/2006/relationships/chart" Target="../charts/chart29.xml"/><Relationship Id="rId35" Type="http://schemas.openxmlformats.org/officeDocument/2006/relationships/chart" Target="../charts/chart34.xml"/><Relationship Id="rId8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6.xml"/><Relationship Id="rId18" Type="http://schemas.openxmlformats.org/officeDocument/2006/relationships/chart" Target="../charts/chart51.xml"/><Relationship Id="rId26" Type="http://schemas.openxmlformats.org/officeDocument/2006/relationships/chart" Target="../charts/chart59.xml"/><Relationship Id="rId3" Type="http://schemas.openxmlformats.org/officeDocument/2006/relationships/chart" Target="../charts/chart36.xml"/><Relationship Id="rId21" Type="http://schemas.openxmlformats.org/officeDocument/2006/relationships/chart" Target="../charts/chart54.xml"/><Relationship Id="rId34" Type="http://schemas.openxmlformats.org/officeDocument/2006/relationships/chart" Target="../charts/chart67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17" Type="http://schemas.openxmlformats.org/officeDocument/2006/relationships/chart" Target="../charts/chart50.xml"/><Relationship Id="rId25" Type="http://schemas.openxmlformats.org/officeDocument/2006/relationships/chart" Target="../charts/chart58.xml"/><Relationship Id="rId33" Type="http://schemas.openxmlformats.org/officeDocument/2006/relationships/chart" Target="../charts/chart66.xml"/><Relationship Id="rId2" Type="http://schemas.openxmlformats.org/officeDocument/2006/relationships/chart" Target="../charts/chart35.xml"/><Relationship Id="rId16" Type="http://schemas.openxmlformats.org/officeDocument/2006/relationships/chart" Target="../charts/chart49.xml"/><Relationship Id="rId20" Type="http://schemas.openxmlformats.org/officeDocument/2006/relationships/chart" Target="../charts/chart53.xml"/><Relationship Id="rId29" Type="http://schemas.openxmlformats.org/officeDocument/2006/relationships/chart" Target="../charts/chart62.xml"/><Relationship Id="rId1" Type="http://schemas.openxmlformats.org/officeDocument/2006/relationships/image" Target="../media/image1.jpeg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24" Type="http://schemas.openxmlformats.org/officeDocument/2006/relationships/chart" Target="../charts/chart57.xml"/><Relationship Id="rId32" Type="http://schemas.openxmlformats.org/officeDocument/2006/relationships/chart" Target="../charts/chart65.xml"/><Relationship Id="rId5" Type="http://schemas.openxmlformats.org/officeDocument/2006/relationships/chart" Target="../charts/chart38.xml"/><Relationship Id="rId15" Type="http://schemas.openxmlformats.org/officeDocument/2006/relationships/chart" Target="../charts/chart48.xml"/><Relationship Id="rId23" Type="http://schemas.openxmlformats.org/officeDocument/2006/relationships/chart" Target="../charts/chart56.xml"/><Relationship Id="rId28" Type="http://schemas.openxmlformats.org/officeDocument/2006/relationships/chart" Target="../charts/chart61.xml"/><Relationship Id="rId10" Type="http://schemas.openxmlformats.org/officeDocument/2006/relationships/chart" Target="../charts/chart43.xml"/><Relationship Id="rId19" Type="http://schemas.openxmlformats.org/officeDocument/2006/relationships/chart" Target="../charts/chart52.xml"/><Relationship Id="rId31" Type="http://schemas.openxmlformats.org/officeDocument/2006/relationships/chart" Target="../charts/chart64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14" Type="http://schemas.openxmlformats.org/officeDocument/2006/relationships/chart" Target="../charts/chart47.xml"/><Relationship Id="rId22" Type="http://schemas.openxmlformats.org/officeDocument/2006/relationships/chart" Target="../charts/chart55.xml"/><Relationship Id="rId27" Type="http://schemas.openxmlformats.org/officeDocument/2006/relationships/chart" Target="../charts/chart60.xml"/><Relationship Id="rId30" Type="http://schemas.openxmlformats.org/officeDocument/2006/relationships/chart" Target="../charts/chart63.xml"/><Relationship Id="rId35" Type="http://schemas.openxmlformats.org/officeDocument/2006/relationships/chart" Target="../charts/chart68.xml"/><Relationship Id="rId8" Type="http://schemas.openxmlformats.org/officeDocument/2006/relationships/chart" Target="../charts/chart4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image" Target="../media/image1.jpeg"/><Relationship Id="rId5" Type="http://schemas.openxmlformats.org/officeDocument/2006/relationships/chart" Target="../charts/chart72.xml"/><Relationship Id="rId4" Type="http://schemas.openxmlformats.org/officeDocument/2006/relationships/chart" Target="../charts/chart7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image" Target="../media/image1.jpeg"/><Relationship Id="rId5" Type="http://schemas.openxmlformats.org/officeDocument/2006/relationships/chart" Target="../charts/chart76.xml"/><Relationship Id="rId4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57975B85-0C3A-4E0E-83A9-65EA62D46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"/>
          <a:ext cx="3135193" cy="66338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1060703</xdr:colOff>
      <xdr:row>17</xdr:row>
      <xdr:rowOff>341757</xdr:rowOff>
    </xdr:from>
    <xdr:ext cx="8929370" cy="635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60703" y="4332732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5"/>
              </a:lnTo>
              <a:lnTo>
                <a:pt x="8929116" y="6095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1060703</xdr:colOff>
      <xdr:row>32</xdr:row>
      <xdr:rowOff>0</xdr:rowOff>
    </xdr:from>
    <xdr:ext cx="8929370" cy="6350"/>
    <xdr:sp macro="" textlink="">
      <xdr:nvSpPr>
        <xdr:cNvPr id="6" name="Shap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060703" y="7248525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6"/>
              </a:lnTo>
              <a:lnTo>
                <a:pt x="8929116" y="6096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1060703</xdr:colOff>
      <xdr:row>63</xdr:row>
      <xdr:rowOff>355041</xdr:rowOff>
    </xdr:from>
    <xdr:ext cx="8929370" cy="6350"/>
    <xdr:sp macro="" textlink="">
      <xdr:nvSpPr>
        <xdr:cNvPr id="9" name="Shape 2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060703" y="12594666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5"/>
              </a:lnTo>
              <a:lnTo>
                <a:pt x="8929116" y="6095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1060703</xdr:colOff>
      <xdr:row>80</xdr:row>
      <xdr:rowOff>0</xdr:rowOff>
    </xdr:from>
    <xdr:ext cx="8929370" cy="6350"/>
    <xdr:sp macro="" textlink="">
      <xdr:nvSpPr>
        <xdr:cNvPr id="10" name="Shape 2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060703" y="15344775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5"/>
              </a:lnTo>
              <a:lnTo>
                <a:pt x="8929116" y="6095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929370" cy="63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60703" y="3932682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5"/>
              </a:lnTo>
              <a:lnTo>
                <a:pt x="8929116" y="6095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8929370" cy="6350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60703" y="6467475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6"/>
              </a:lnTo>
              <a:lnTo>
                <a:pt x="8929116" y="6096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8929370" cy="6350"/>
    <xdr:sp macro="" textlink="">
      <xdr:nvSpPr>
        <xdr:cNvPr id="4" name="Shape 2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60703" y="12261291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5"/>
              </a:lnTo>
              <a:lnTo>
                <a:pt x="8929116" y="6095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8929370" cy="6350"/>
    <xdr:sp macro="" textlink="">
      <xdr:nvSpPr>
        <xdr:cNvPr id="5" name="Shape 2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60703" y="15154275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0"/>
              </a:moveTo>
              <a:lnTo>
                <a:pt x="0" y="0"/>
              </a:lnTo>
              <a:lnTo>
                <a:pt x="0" y="6095"/>
              </a:lnTo>
              <a:lnTo>
                <a:pt x="8929116" y="6095"/>
              </a:lnTo>
              <a:lnTo>
                <a:pt x="89291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132229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E90A0B09-2118-4EAB-8254-C180D64D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229"/>
          <a:ext cx="3135193" cy="66338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17929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8E01C534-DF99-4429-8FBF-82C8D67C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854"/>
          <a:ext cx="3135193" cy="663389"/>
        </a:xfrm>
        <a:prstGeom prst="rect">
          <a:avLst/>
        </a:prstGeom>
      </xdr:spPr>
    </xdr:pic>
    <xdr:clientData/>
  </xdr:oneCellAnchor>
  <xdr:twoCellAnchor>
    <xdr:from>
      <xdr:col>8</xdr:col>
      <xdr:colOff>137160</xdr:colOff>
      <xdr:row>66</xdr:row>
      <xdr:rowOff>160020</xdr:rowOff>
    </xdr:from>
    <xdr:to>
      <xdr:col>15</xdr:col>
      <xdr:colOff>121920</xdr:colOff>
      <xdr:row>87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51C306-35EE-4F40-B494-8A5B2A4EA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167640</xdr:colOff>
      <xdr:row>67</xdr:row>
      <xdr:rowOff>7620</xdr:rowOff>
    </xdr:from>
    <xdr:to>
      <xdr:col>22</xdr:col>
      <xdr:colOff>152400</xdr:colOff>
      <xdr:row>87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244400-94DE-4D42-96DA-2C9C9BB21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190500</xdr:colOff>
      <xdr:row>11</xdr:row>
      <xdr:rowOff>137160</xdr:rowOff>
    </xdr:from>
    <xdr:to>
      <xdr:col>15</xdr:col>
      <xdr:colOff>175260</xdr:colOff>
      <xdr:row>32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D1DCBA-4C0D-44F2-A0FE-6B05593E2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220980</xdr:colOff>
      <xdr:row>11</xdr:row>
      <xdr:rowOff>152400</xdr:rowOff>
    </xdr:from>
    <xdr:to>
      <xdr:col>22</xdr:col>
      <xdr:colOff>205740</xdr:colOff>
      <xdr:row>32</xdr:row>
      <xdr:rowOff>53340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BA5023-56DE-482D-B6A9-95DD0022C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137160</xdr:colOff>
      <xdr:row>121</xdr:row>
      <xdr:rowOff>160020</xdr:rowOff>
    </xdr:from>
    <xdr:to>
      <xdr:col>15</xdr:col>
      <xdr:colOff>121920</xdr:colOff>
      <xdr:row>142</xdr:row>
      <xdr:rowOff>60960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1732919-0DEA-43F5-AE2A-EF4BBD43A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167640</xdr:colOff>
      <xdr:row>122</xdr:row>
      <xdr:rowOff>7620</xdr:rowOff>
    </xdr:from>
    <xdr:to>
      <xdr:col>22</xdr:col>
      <xdr:colOff>152400</xdr:colOff>
      <xdr:row>142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734E22A-D590-45EC-8C95-ED0F39882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137160</xdr:colOff>
      <xdr:row>176</xdr:row>
      <xdr:rowOff>160020</xdr:rowOff>
    </xdr:from>
    <xdr:to>
      <xdr:col>15</xdr:col>
      <xdr:colOff>121920</xdr:colOff>
      <xdr:row>197</xdr:row>
      <xdr:rowOff>60960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9428374-4687-4DDC-A32D-FC32180A9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167640</xdr:colOff>
      <xdr:row>177</xdr:row>
      <xdr:rowOff>7620</xdr:rowOff>
    </xdr:from>
    <xdr:to>
      <xdr:col>22</xdr:col>
      <xdr:colOff>152400</xdr:colOff>
      <xdr:row>197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DA9CE68-FD40-4E45-8DE7-A28314794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137160</xdr:colOff>
      <xdr:row>231</xdr:row>
      <xdr:rowOff>160020</xdr:rowOff>
    </xdr:from>
    <xdr:to>
      <xdr:col>15</xdr:col>
      <xdr:colOff>121920</xdr:colOff>
      <xdr:row>252</xdr:row>
      <xdr:rowOff>60960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E096032-ACEE-4570-8A7C-6FE80F41F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167640</xdr:colOff>
      <xdr:row>232</xdr:row>
      <xdr:rowOff>7620</xdr:rowOff>
    </xdr:from>
    <xdr:to>
      <xdr:col>22</xdr:col>
      <xdr:colOff>152400</xdr:colOff>
      <xdr:row>252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3F02178-FC84-497E-BEA0-FAD41F3E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137160</xdr:colOff>
      <xdr:row>286</xdr:row>
      <xdr:rowOff>160020</xdr:rowOff>
    </xdr:from>
    <xdr:to>
      <xdr:col>15</xdr:col>
      <xdr:colOff>121920</xdr:colOff>
      <xdr:row>307</xdr:row>
      <xdr:rowOff>60960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A5CC082-13D3-4F54-AB41-9C23515F6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167640</xdr:colOff>
      <xdr:row>287</xdr:row>
      <xdr:rowOff>7620</xdr:rowOff>
    </xdr:from>
    <xdr:to>
      <xdr:col>22</xdr:col>
      <xdr:colOff>152400</xdr:colOff>
      <xdr:row>307</xdr:row>
      <xdr:rowOff>76200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EF0B9A7-818D-4D23-BAD9-EB8CBBD22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137160</xdr:colOff>
      <xdr:row>341</xdr:row>
      <xdr:rowOff>160020</xdr:rowOff>
    </xdr:from>
    <xdr:to>
      <xdr:col>15</xdr:col>
      <xdr:colOff>121920</xdr:colOff>
      <xdr:row>362</xdr:row>
      <xdr:rowOff>60960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9CF64A8-0298-4273-B85A-443431540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167640</xdr:colOff>
      <xdr:row>342</xdr:row>
      <xdr:rowOff>7620</xdr:rowOff>
    </xdr:from>
    <xdr:to>
      <xdr:col>22</xdr:col>
      <xdr:colOff>152400</xdr:colOff>
      <xdr:row>362</xdr:row>
      <xdr:rowOff>76200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259B830-7A41-4DB7-92CC-7E37F0509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137160</xdr:colOff>
      <xdr:row>396</xdr:row>
      <xdr:rowOff>160020</xdr:rowOff>
    </xdr:from>
    <xdr:to>
      <xdr:col>15</xdr:col>
      <xdr:colOff>121920</xdr:colOff>
      <xdr:row>417</xdr:row>
      <xdr:rowOff>60960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36C1E79-B796-4C42-AA30-4F3291CED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167640</xdr:colOff>
      <xdr:row>397</xdr:row>
      <xdr:rowOff>7620</xdr:rowOff>
    </xdr:from>
    <xdr:to>
      <xdr:col>22</xdr:col>
      <xdr:colOff>152400</xdr:colOff>
      <xdr:row>417</xdr:row>
      <xdr:rowOff>76200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D14BE87-EC86-4584-B849-1ECEB4CCD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137160</xdr:colOff>
      <xdr:row>451</xdr:row>
      <xdr:rowOff>160020</xdr:rowOff>
    </xdr:from>
    <xdr:to>
      <xdr:col>15</xdr:col>
      <xdr:colOff>121920</xdr:colOff>
      <xdr:row>472</xdr:row>
      <xdr:rowOff>60960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44CDB39-1465-4416-82CF-238B2223A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167640</xdr:colOff>
      <xdr:row>452</xdr:row>
      <xdr:rowOff>7620</xdr:rowOff>
    </xdr:from>
    <xdr:to>
      <xdr:col>22</xdr:col>
      <xdr:colOff>152400</xdr:colOff>
      <xdr:row>472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40500DA-C3A2-43F3-8921-9B18EBA3A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137160</xdr:colOff>
      <xdr:row>506</xdr:row>
      <xdr:rowOff>160020</xdr:rowOff>
    </xdr:from>
    <xdr:to>
      <xdr:col>15</xdr:col>
      <xdr:colOff>121920</xdr:colOff>
      <xdr:row>527</xdr:row>
      <xdr:rowOff>60960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8FEF24E0-FA26-40E3-9657-355924568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167640</xdr:colOff>
      <xdr:row>507</xdr:row>
      <xdr:rowOff>7620</xdr:rowOff>
    </xdr:from>
    <xdr:to>
      <xdr:col>22</xdr:col>
      <xdr:colOff>152400</xdr:colOff>
      <xdr:row>527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FE7001B-811B-4B6D-AC6A-9D2FBA138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13895</xdr:colOff>
      <xdr:row>0</xdr:row>
      <xdr:rowOff>126402</xdr:rowOff>
    </xdr:from>
    <xdr:to>
      <xdr:col>23</xdr:col>
      <xdr:colOff>705410</xdr:colOff>
      <xdr:row>569</xdr:row>
      <xdr:rowOff>116989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3F2E24E-3563-4C43-B182-B73B67C7A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137160</xdr:colOff>
      <xdr:row>621</xdr:row>
      <xdr:rowOff>160020</xdr:rowOff>
    </xdr:from>
    <xdr:to>
      <xdr:col>15</xdr:col>
      <xdr:colOff>121920</xdr:colOff>
      <xdr:row>642</xdr:row>
      <xdr:rowOff>60960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74BAE82-4EA0-4371-8F87-33EF1F53A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15</xdr:col>
      <xdr:colOff>167640</xdr:colOff>
      <xdr:row>622</xdr:row>
      <xdr:rowOff>7620</xdr:rowOff>
    </xdr:from>
    <xdr:to>
      <xdr:col>22</xdr:col>
      <xdr:colOff>152400</xdr:colOff>
      <xdr:row>642</xdr:row>
      <xdr:rowOff>76200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DB57103-6837-49E6-85BD-8594839E1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36307</xdr:colOff>
      <xdr:row>677</xdr:row>
      <xdr:rowOff>36755</xdr:rowOff>
    </xdr:from>
    <xdr:to>
      <xdr:col>24</xdr:col>
      <xdr:colOff>546847</xdr:colOff>
      <xdr:row>697</xdr:row>
      <xdr:rowOff>94577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9D26A4D5-A5EE-4E35-9871-4AB5F172E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22859</xdr:colOff>
      <xdr:row>736</xdr:row>
      <xdr:rowOff>140970</xdr:rowOff>
    </xdr:from>
    <xdr:to>
      <xdr:col>24</xdr:col>
      <xdr:colOff>627529</xdr:colOff>
      <xdr:row>768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E673E8AE-9839-4411-A5C6-CF2FCB208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137160</xdr:colOff>
      <xdr:row>796</xdr:row>
      <xdr:rowOff>160020</xdr:rowOff>
    </xdr:from>
    <xdr:to>
      <xdr:col>15</xdr:col>
      <xdr:colOff>121920</xdr:colOff>
      <xdr:row>817</xdr:row>
      <xdr:rowOff>60960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BB3CB564-A5C9-4370-9863-EA2C8A1C7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15</xdr:col>
      <xdr:colOff>167640</xdr:colOff>
      <xdr:row>797</xdr:row>
      <xdr:rowOff>7620</xdr:rowOff>
    </xdr:from>
    <xdr:to>
      <xdr:col>22</xdr:col>
      <xdr:colOff>152400</xdr:colOff>
      <xdr:row>817</xdr:row>
      <xdr:rowOff>76200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62664360-A50C-4319-A90A-684291FC8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13895</xdr:colOff>
      <xdr:row>853</xdr:row>
      <xdr:rowOff>14344</xdr:rowOff>
    </xdr:from>
    <xdr:to>
      <xdr:col>23</xdr:col>
      <xdr:colOff>676835</xdr:colOff>
      <xdr:row>873</xdr:row>
      <xdr:rowOff>72165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336F63F4-E9A4-4664-9FF7-D3EF83A7E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137160</xdr:colOff>
      <xdr:row>911</xdr:row>
      <xdr:rowOff>160020</xdr:rowOff>
    </xdr:from>
    <xdr:to>
      <xdr:col>15</xdr:col>
      <xdr:colOff>121920</xdr:colOff>
      <xdr:row>932</xdr:row>
      <xdr:rowOff>60960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29F1873-2045-4525-B1AF-03E868586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15</xdr:col>
      <xdr:colOff>167640</xdr:colOff>
      <xdr:row>912</xdr:row>
      <xdr:rowOff>7620</xdr:rowOff>
    </xdr:from>
    <xdr:to>
      <xdr:col>22</xdr:col>
      <xdr:colOff>152400</xdr:colOff>
      <xdr:row>932</xdr:row>
      <xdr:rowOff>76200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F268C642-D9DC-4CE1-881F-D8995FA71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56030</xdr:colOff>
      <xdr:row>570</xdr:row>
      <xdr:rowOff>135591</xdr:rowOff>
    </xdr:from>
    <xdr:to>
      <xdr:col>23</xdr:col>
      <xdr:colOff>672353</xdr:colOff>
      <xdr:row>594</xdr:row>
      <xdr:rowOff>81643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13605</xdr:colOff>
      <xdr:row>705</xdr:row>
      <xdr:rowOff>50346</xdr:rowOff>
    </xdr:from>
    <xdr:to>
      <xdr:col>24</xdr:col>
      <xdr:colOff>612321</xdr:colOff>
      <xdr:row>725</xdr:row>
      <xdr:rowOff>95250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54427</xdr:colOff>
      <xdr:row>770</xdr:row>
      <xdr:rowOff>27214</xdr:rowOff>
    </xdr:from>
    <xdr:to>
      <xdr:col>24</xdr:col>
      <xdr:colOff>585107</xdr:colOff>
      <xdr:row>793</xdr:row>
      <xdr:rowOff>54428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40820</xdr:colOff>
      <xdr:row>878</xdr:row>
      <xdr:rowOff>9524</xdr:rowOff>
    </xdr:from>
    <xdr:to>
      <xdr:col>23</xdr:col>
      <xdr:colOff>693964</xdr:colOff>
      <xdr:row>905</xdr:row>
      <xdr:rowOff>54428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17929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8E01C534-DF99-4429-8FBF-82C8D67C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569"/>
          <a:ext cx="3135193" cy="663389"/>
        </a:xfrm>
        <a:prstGeom prst="rect">
          <a:avLst/>
        </a:prstGeom>
      </xdr:spPr>
    </xdr:pic>
    <xdr:clientData/>
  </xdr:oneCellAnchor>
  <xdr:twoCellAnchor>
    <xdr:from>
      <xdr:col>8</xdr:col>
      <xdr:colOff>137160</xdr:colOff>
      <xdr:row>66</xdr:row>
      <xdr:rowOff>160020</xdr:rowOff>
    </xdr:from>
    <xdr:to>
      <xdr:col>15</xdr:col>
      <xdr:colOff>121920</xdr:colOff>
      <xdr:row>87</xdr:row>
      <xdr:rowOff>60960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D51C306-35EE-4F40-B494-8A5B2A4EA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167640</xdr:colOff>
      <xdr:row>67</xdr:row>
      <xdr:rowOff>7620</xdr:rowOff>
    </xdr:from>
    <xdr:to>
      <xdr:col>22</xdr:col>
      <xdr:colOff>152400</xdr:colOff>
      <xdr:row>87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7244400-94DE-4D42-96DA-2C9C9BB21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190500</xdr:colOff>
      <xdr:row>11</xdr:row>
      <xdr:rowOff>137160</xdr:rowOff>
    </xdr:from>
    <xdr:to>
      <xdr:col>15</xdr:col>
      <xdr:colOff>175260</xdr:colOff>
      <xdr:row>32</xdr:row>
      <xdr:rowOff>38100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5D1DCBA-4C0D-44F2-A0FE-6B05593E2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220980</xdr:colOff>
      <xdr:row>11</xdr:row>
      <xdr:rowOff>152400</xdr:rowOff>
    </xdr:from>
    <xdr:to>
      <xdr:col>22</xdr:col>
      <xdr:colOff>205740</xdr:colOff>
      <xdr:row>32</xdr:row>
      <xdr:rowOff>53340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BBA5023-56DE-482D-B6A9-95DD0022C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137160</xdr:colOff>
      <xdr:row>121</xdr:row>
      <xdr:rowOff>160020</xdr:rowOff>
    </xdr:from>
    <xdr:to>
      <xdr:col>15</xdr:col>
      <xdr:colOff>121920</xdr:colOff>
      <xdr:row>142</xdr:row>
      <xdr:rowOff>60960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1732919-0DEA-43F5-AE2A-EF4BBD43A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167640</xdr:colOff>
      <xdr:row>122</xdr:row>
      <xdr:rowOff>7620</xdr:rowOff>
    </xdr:from>
    <xdr:to>
      <xdr:col>22</xdr:col>
      <xdr:colOff>152400</xdr:colOff>
      <xdr:row>142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734E22A-D590-45EC-8C95-ED0F39882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137160</xdr:colOff>
      <xdr:row>176</xdr:row>
      <xdr:rowOff>160020</xdr:rowOff>
    </xdr:from>
    <xdr:to>
      <xdr:col>15</xdr:col>
      <xdr:colOff>121920</xdr:colOff>
      <xdr:row>197</xdr:row>
      <xdr:rowOff>60960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9428374-4687-4DDC-A32D-FC32180A9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167640</xdr:colOff>
      <xdr:row>177</xdr:row>
      <xdr:rowOff>7620</xdr:rowOff>
    </xdr:from>
    <xdr:to>
      <xdr:col>22</xdr:col>
      <xdr:colOff>152400</xdr:colOff>
      <xdr:row>197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DA9CE68-FD40-4E45-8DE7-A28314794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137160</xdr:colOff>
      <xdr:row>231</xdr:row>
      <xdr:rowOff>160020</xdr:rowOff>
    </xdr:from>
    <xdr:to>
      <xdr:col>15</xdr:col>
      <xdr:colOff>121920</xdr:colOff>
      <xdr:row>252</xdr:row>
      <xdr:rowOff>60960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E096032-ACEE-4570-8A7C-6FE80F41F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167640</xdr:colOff>
      <xdr:row>232</xdr:row>
      <xdr:rowOff>7620</xdr:rowOff>
    </xdr:from>
    <xdr:to>
      <xdr:col>22</xdr:col>
      <xdr:colOff>152400</xdr:colOff>
      <xdr:row>252</xdr:row>
      <xdr:rowOff>76200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3F02178-FC84-497E-BEA0-FAD41F3E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137160</xdr:colOff>
      <xdr:row>286</xdr:row>
      <xdr:rowOff>160020</xdr:rowOff>
    </xdr:from>
    <xdr:to>
      <xdr:col>15</xdr:col>
      <xdr:colOff>121920</xdr:colOff>
      <xdr:row>307</xdr:row>
      <xdr:rowOff>60960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EA5CC082-13D3-4F54-AB41-9C23515F6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167640</xdr:colOff>
      <xdr:row>287</xdr:row>
      <xdr:rowOff>7620</xdr:rowOff>
    </xdr:from>
    <xdr:to>
      <xdr:col>22</xdr:col>
      <xdr:colOff>152400</xdr:colOff>
      <xdr:row>307</xdr:row>
      <xdr:rowOff>76200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EF0B9A7-818D-4D23-BAD9-EB8CBBD22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137160</xdr:colOff>
      <xdr:row>341</xdr:row>
      <xdr:rowOff>160020</xdr:rowOff>
    </xdr:from>
    <xdr:to>
      <xdr:col>15</xdr:col>
      <xdr:colOff>121920</xdr:colOff>
      <xdr:row>362</xdr:row>
      <xdr:rowOff>60960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B9CF64A8-0298-4273-B85A-443431540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167640</xdr:colOff>
      <xdr:row>342</xdr:row>
      <xdr:rowOff>7620</xdr:rowOff>
    </xdr:from>
    <xdr:to>
      <xdr:col>22</xdr:col>
      <xdr:colOff>152400</xdr:colOff>
      <xdr:row>362</xdr:row>
      <xdr:rowOff>76200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259B830-7A41-4DB7-92CC-7E37F0509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137160</xdr:colOff>
      <xdr:row>396</xdr:row>
      <xdr:rowOff>160020</xdr:rowOff>
    </xdr:from>
    <xdr:to>
      <xdr:col>15</xdr:col>
      <xdr:colOff>121920</xdr:colOff>
      <xdr:row>417</xdr:row>
      <xdr:rowOff>60960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36C1E79-B796-4C42-AA30-4F3291CED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167640</xdr:colOff>
      <xdr:row>397</xdr:row>
      <xdr:rowOff>7620</xdr:rowOff>
    </xdr:from>
    <xdr:to>
      <xdr:col>22</xdr:col>
      <xdr:colOff>152400</xdr:colOff>
      <xdr:row>417</xdr:row>
      <xdr:rowOff>76200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3D14BE87-EC86-4584-B849-1ECEB4CCD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137160</xdr:colOff>
      <xdr:row>451</xdr:row>
      <xdr:rowOff>160020</xdr:rowOff>
    </xdr:from>
    <xdr:to>
      <xdr:col>15</xdr:col>
      <xdr:colOff>121920</xdr:colOff>
      <xdr:row>472</xdr:row>
      <xdr:rowOff>60960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E44CDB39-1465-4416-82CF-238B2223A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167640</xdr:colOff>
      <xdr:row>452</xdr:row>
      <xdr:rowOff>7620</xdr:rowOff>
    </xdr:from>
    <xdr:to>
      <xdr:col>22</xdr:col>
      <xdr:colOff>152400</xdr:colOff>
      <xdr:row>472</xdr:row>
      <xdr:rowOff>76200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840500DA-C3A2-43F3-8921-9B18EBA3A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137160</xdr:colOff>
      <xdr:row>506</xdr:row>
      <xdr:rowOff>160020</xdr:rowOff>
    </xdr:from>
    <xdr:to>
      <xdr:col>15</xdr:col>
      <xdr:colOff>121920</xdr:colOff>
      <xdr:row>527</xdr:row>
      <xdr:rowOff>60960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8FEF24E0-FA26-40E3-9657-355924568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167640</xdr:colOff>
      <xdr:row>507</xdr:row>
      <xdr:rowOff>7620</xdr:rowOff>
    </xdr:from>
    <xdr:to>
      <xdr:col>22</xdr:col>
      <xdr:colOff>152400</xdr:colOff>
      <xdr:row>527</xdr:row>
      <xdr:rowOff>76200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FE7001B-811B-4B6D-AC6A-9D2FBA138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2689</xdr:colOff>
      <xdr:row>562</xdr:row>
      <xdr:rowOff>14344</xdr:rowOff>
    </xdr:from>
    <xdr:to>
      <xdr:col>23</xdr:col>
      <xdr:colOff>694204</xdr:colOff>
      <xdr:row>582</xdr:row>
      <xdr:rowOff>72166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23F2E24E-3563-4C43-B182-B73B67C7A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137160</xdr:colOff>
      <xdr:row>621</xdr:row>
      <xdr:rowOff>160020</xdr:rowOff>
    </xdr:from>
    <xdr:to>
      <xdr:col>15</xdr:col>
      <xdr:colOff>121920</xdr:colOff>
      <xdr:row>642</xdr:row>
      <xdr:rowOff>60960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74BAE82-4EA0-4371-8F87-33EF1F53A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15</xdr:col>
      <xdr:colOff>167640</xdr:colOff>
      <xdr:row>622</xdr:row>
      <xdr:rowOff>7620</xdr:rowOff>
    </xdr:from>
    <xdr:to>
      <xdr:col>22</xdr:col>
      <xdr:colOff>152400</xdr:colOff>
      <xdr:row>642</xdr:row>
      <xdr:rowOff>76200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8DB57103-6837-49E6-85BD-8594839E1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36307</xdr:colOff>
      <xdr:row>677</xdr:row>
      <xdr:rowOff>36755</xdr:rowOff>
    </xdr:from>
    <xdr:to>
      <xdr:col>24</xdr:col>
      <xdr:colOff>546847</xdr:colOff>
      <xdr:row>697</xdr:row>
      <xdr:rowOff>94577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9D26A4D5-A5EE-4E35-9871-4AB5F172E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22859</xdr:colOff>
      <xdr:row>736</xdr:row>
      <xdr:rowOff>140970</xdr:rowOff>
    </xdr:from>
    <xdr:to>
      <xdr:col>24</xdr:col>
      <xdr:colOff>627529</xdr:colOff>
      <xdr:row>768</xdr:row>
      <xdr:rowOff>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E673E8AE-9839-4411-A5C6-CF2FCB208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137160</xdr:colOff>
      <xdr:row>796</xdr:row>
      <xdr:rowOff>160020</xdr:rowOff>
    </xdr:from>
    <xdr:to>
      <xdr:col>15</xdr:col>
      <xdr:colOff>121920</xdr:colOff>
      <xdr:row>817</xdr:row>
      <xdr:rowOff>60960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BB3CB564-A5C9-4370-9863-EA2C8A1C7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15</xdr:col>
      <xdr:colOff>167640</xdr:colOff>
      <xdr:row>797</xdr:row>
      <xdr:rowOff>7620</xdr:rowOff>
    </xdr:from>
    <xdr:to>
      <xdr:col>22</xdr:col>
      <xdr:colOff>152400</xdr:colOff>
      <xdr:row>817</xdr:row>
      <xdr:rowOff>76200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62664360-A50C-4319-A90A-684291FC8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13895</xdr:colOff>
      <xdr:row>853</xdr:row>
      <xdr:rowOff>14344</xdr:rowOff>
    </xdr:from>
    <xdr:to>
      <xdr:col>23</xdr:col>
      <xdr:colOff>676835</xdr:colOff>
      <xdr:row>873</xdr:row>
      <xdr:rowOff>72165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336F63F4-E9A4-4664-9FF7-D3EF83A7E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137160</xdr:colOff>
      <xdr:row>911</xdr:row>
      <xdr:rowOff>160020</xdr:rowOff>
    </xdr:from>
    <xdr:to>
      <xdr:col>15</xdr:col>
      <xdr:colOff>121920</xdr:colOff>
      <xdr:row>932</xdr:row>
      <xdr:rowOff>60960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129F1873-2045-4525-B1AF-03E868586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15</xdr:col>
      <xdr:colOff>167640</xdr:colOff>
      <xdr:row>912</xdr:row>
      <xdr:rowOff>7620</xdr:rowOff>
    </xdr:from>
    <xdr:to>
      <xdr:col>22</xdr:col>
      <xdr:colOff>152400</xdr:colOff>
      <xdr:row>932</xdr:row>
      <xdr:rowOff>76200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F268C642-D9DC-4CE1-881F-D8995FA71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38099</xdr:colOff>
      <xdr:row>585</xdr:row>
      <xdr:rowOff>90487</xdr:rowOff>
    </xdr:from>
    <xdr:to>
      <xdr:col>23</xdr:col>
      <xdr:colOff>694765</xdr:colOff>
      <xdr:row>602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38099</xdr:colOff>
      <xdr:row>699</xdr:row>
      <xdr:rowOff>23812</xdr:rowOff>
    </xdr:from>
    <xdr:to>
      <xdr:col>24</xdr:col>
      <xdr:colOff>676274</xdr:colOff>
      <xdr:row>716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22411</xdr:colOff>
      <xdr:row>770</xdr:row>
      <xdr:rowOff>23532</xdr:rowOff>
    </xdr:from>
    <xdr:to>
      <xdr:col>24</xdr:col>
      <xdr:colOff>661147</xdr:colOff>
      <xdr:row>787</xdr:row>
      <xdr:rowOff>99732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22410</xdr:colOff>
      <xdr:row>876</xdr:row>
      <xdr:rowOff>12326</xdr:rowOff>
    </xdr:from>
    <xdr:to>
      <xdr:col>23</xdr:col>
      <xdr:colOff>717175</xdr:colOff>
      <xdr:row>893</xdr:row>
      <xdr:rowOff>88526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17929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BD463A85-C9C6-4C51-A9D4-8138E39B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569"/>
          <a:ext cx="3135193" cy="66338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17929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0749117F-4041-4748-A7F2-D63A95A56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569"/>
          <a:ext cx="3135193" cy="663389"/>
        </a:xfrm>
        <a:prstGeom prst="rect">
          <a:avLst/>
        </a:prstGeom>
      </xdr:spPr>
    </xdr:pic>
    <xdr:clientData/>
  </xdr:oneCellAnchor>
  <xdr:twoCellAnchor>
    <xdr:from>
      <xdr:col>8</xdr:col>
      <xdr:colOff>190500</xdr:colOff>
      <xdr:row>11</xdr:row>
      <xdr:rowOff>137160</xdr:rowOff>
    </xdr:from>
    <xdr:to>
      <xdr:col>15</xdr:col>
      <xdr:colOff>175260</xdr:colOff>
      <xdr:row>32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AB9B8B-4CAA-42E9-98E4-D69072DDE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220980</xdr:colOff>
      <xdr:row>11</xdr:row>
      <xdr:rowOff>152400</xdr:rowOff>
    </xdr:from>
    <xdr:to>
      <xdr:col>22</xdr:col>
      <xdr:colOff>205740</xdr:colOff>
      <xdr:row>32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D0712B-EE91-41E9-A7CF-BD7F285A0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190500</xdr:colOff>
      <xdr:row>66</xdr:row>
      <xdr:rowOff>137160</xdr:rowOff>
    </xdr:from>
    <xdr:to>
      <xdr:col>15</xdr:col>
      <xdr:colOff>175260</xdr:colOff>
      <xdr:row>87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DC30AC-FC8C-47A6-8044-A4E328B34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220980</xdr:colOff>
      <xdr:row>66</xdr:row>
      <xdr:rowOff>152400</xdr:rowOff>
    </xdr:from>
    <xdr:to>
      <xdr:col>22</xdr:col>
      <xdr:colOff>205740</xdr:colOff>
      <xdr:row>87</xdr:row>
      <xdr:rowOff>53340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746511A-5705-4DB5-AD06-74B7BAAD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17929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F685942C-4BE1-4991-ACDE-C7497D062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569"/>
          <a:ext cx="3135193" cy="66338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17929</xdr:rowOff>
    </xdr:from>
    <xdr:ext cx="3135193" cy="663389"/>
    <xdr:pic>
      <xdr:nvPicPr>
        <xdr:cNvPr id="2" name="Imagen 1">
          <a:extLst>
            <a:ext uri="{FF2B5EF4-FFF2-40B4-BE49-F238E27FC236}">
              <a16:creationId xmlns:a16="http://schemas.microsoft.com/office/drawing/2014/main" id="{650B7755-DABA-41C1-AEFC-008BD303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569"/>
          <a:ext cx="3135193" cy="663389"/>
        </a:xfrm>
        <a:prstGeom prst="rect">
          <a:avLst/>
        </a:prstGeom>
      </xdr:spPr>
    </xdr:pic>
    <xdr:clientData/>
  </xdr:oneCellAnchor>
  <xdr:twoCellAnchor>
    <xdr:from>
      <xdr:col>8</xdr:col>
      <xdr:colOff>190500</xdr:colOff>
      <xdr:row>11</xdr:row>
      <xdr:rowOff>137160</xdr:rowOff>
    </xdr:from>
    <xdr:to>
      <xdr:col>15</xdr:col>
      <xdr:colOff>175260</xdr:colOff>
      <xdr:row>32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EF0153-26CE-48DF-ACAF-82B51C8EA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220980</xdr:colOff>
      <xdr:row>11</xdr:row>
      <xdr:rowOff>152400</xdr:rowOff>
    </xdr:from>
    <xdr:to>
      <xdr:col>22</xdr:col>
      <xdr:colOff>205740</xdr:colOff>
      <xdr:row>32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8B0143-1E9F-49BB-A71B-BA484F408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190500</xdr:colOff>
      <xdr:row>66</xdr:row>
      <xdr:rowOff>137160</xdr:rowOff>
    </xdr:from>
    <xdr:to>
      <xdr:col>15</xdr:col>
      <xdr:colOff>175260</xdr:colOff>
      <xdr:row>87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BF689F-0971-4201-92AC-30F1FCBD2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220980</xdr:colOff>
      <xdr:row>66</xdr:row>
      <xdr:rowOff>152400</xdr:rowOff>
    </xdr:from>
    <xdr:to>
      <xdr:col>22</xdr:col>
      <xdr:colOff>205740</xdr:colOff>
      <xdr:row>87</xdr:row>
      <xdr:rowOff>53340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75DE44-F5E2-4B0A-A8BC-CF481CEA0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KO61"/>
  <sheetViews>
    <sheetView tabSelected="1" topLeftCell="A3" workbookViewId="0">
      <pane xSplit="2" ySplit="11" topLeftCell="KD14" activePane="bottomRight" state="frozen"/>
      <selection activeCell="A3" sqref="A3"/>
      <selection pane="topRight" activeCell="C3" sqref="C3"/>
      <selection pane="bottomLeft" activeCell="A14" sqref="A14"/>
      <selection pane="bottomRight" activeCell="KU24" sqref="KU24"/>
    </sheetView>
  </sheetViews>
  <sheetFormatPr defaultColWidth="11.42578125" defaultRowHeight="12.75" x14ac:dyDescent="0.2"/>
  <cols>
    <col min="1" max="1" width="26.7109375" customWidth="1"/>
    <col min="3" max="6" width="12" hidden="1" customWidth="1"/>
  </cols>
  <sheetData>
    <row r="7" spans="1:301" ht="18" x14ac:dyDescent="0.25">
      <c r="A7" s="1" t="s">
        <v>0</v>
      </c>
    </row>
    <row r="8" spans="1:301" x14ac:dyDescent="0.2">
      <c r="A8" s="2" t="s">
        <v>1</v>
      </c>
      <c r="KJ8" s="3" t="s">
        <v>3</v>
      </c>
      <c r="KK8" s="3" t="s">
        <v>3</v>
      </c>
      <c r="KL8" s="3" t="s">
        <v>3</v>
      </c>
      <c r="KM8" s="3" t="s">
        <v>3</v>
      </c>
      <c r="KN8" s="3" t="s">
        <v>3</v>
      </c>
      <c r="KO8" s="3" t="s">
        <v>3</v>
      </c>
    </row>
    <row r="9" spans="1:301" x14ac:dyDescent="0.2">
      <c r="A9" s="2" t="s">
        <v>2</v>
      </c>
      <c r="B9" s="3"/>
      <c r="JN9" s="110"/>
      <c r="JO9" s="110"/>
      <c r="JP9" s="110"/>
      <c r="JQ9" s="110"/>
      <c r="JR9" s="110"/>
      <c r="JS9" s="110"/>
      <c r="JT9" s="110"/>
      <c r="JU9" s="110"/>
      <c r="JV9" s="110"/>
      <c r="JW9" s="110"/>
      <c r="JX9" s="110"/>
      <c r="JY9" s="110"/>
      <c r="JZ9" s="110"/>
      <c r="KA9" s="110"/>
      <c r="KB9" s="110"/>
      <c r="KC9" s="110"/>
      <c r="KD9" s="110"/>
      <c r="KE9" s="110"/>
      <c r="KF9" s="110"/>
      <c r="KG9" s="110"/>
      <c r="KH9" s="110"/>
      <c r="KI9" s="110"/>
      <c r="KJ9" s="110"/>
      <c r="KK9" s="110"/>
      <c r="KL9" s="110"/>
      <c r="KM9" s="110"/>
      <c r="KN9" s="110"/>
      <c r="KO9" s="110"/>
    </row>
    <row r="10" spans="1:301" ht="13.5" thickBot="1" x14ac:dyDescent="0.25">
      <c r="BG10" s="4" t="s">
        <v>3</v>
      </c>
      <c r="DC10" s="3"/>
      <c r="DG10" s="3" t="s">
        <v>3</v>
      </c>
      <c r="DH10" s="3" t="s">
        <v>3</v>
      </c>
      <c r="IC10" s="3" t="s">
        <v>3</v>
      </c>
      <c r="ID10" s="3" t="s">
        <v>3</v>
      </c>
      <c r="KH10" s="3" t="s">
        <v>3</v>
      </c>
      <c r="KI10" s="3" t="s">
        <v>3</v>
      </c>
    </row>
    <row r="11" spans="1:301" x14ac:dyDescent="0.2">
      <c r="A11" s="69" t="s">
        <v>101</v>
      </c>
      <c r="B11" s="93" t="s">
        <v>101</v>
      </c>
      <c r="C11" s="95" t="s">
        <v>4</v>
      </c>
      <c r="D11" s="96" t="s">
        <v>4</v>
      </c>
      <c r="E11" s="96" t="s">
        <v>4</v>
      </c>
      <c r="F11" s="97" t="s">
        <v>4</v>
      </c>
      <c r="G11" s="10">
        <v>2001</v>
      </c>
      <c r="H11" s="8"/>
      <c r="I11" s="8"/>
      <c r="J11" s="8"/>
      <c r="K11" s="8">
        <v>2002</v>
      </c>
      <c r="L11" s="9"/>
      <c r="M11" s="8"/>
      <c r="N11" s="8"/>
      <c r="O11" s="8"/>
      <c r="P11" s="9"/>
      <c r="Q11" s="8"/>
      <c r="R11" s="8"/>
      <c r="S11" s="10"/>
      <c r="T11" s="9"/>
      <c r="U11" s="8"/>
      <c r="V11" s="8"/>
      <c r="W11" s="10">
        <v>2003</v>
      </c>
      <c r="X11" s="9"/>
      <c r="Y11" s="8"/>
      <c r="Z11" s="8"/>
      <c r="AA11" s="10"/>
      <c r="AB11" s="9"/>
      <c r="AC11" s="8"/>
      <c r="AD11" s="8"/>
      <c r="AE11" s="10"/>
      <c r="AF11" s="9"/>
      <c r="AG11" s="8"/>
      <c r="AH11" s="8"/>
      <c r="AI11" s="10"/>
      <c r="AJ11" s="9"/>
      <c r="AK11" s="8"/>
      <c r="AL11" s="8"/>
      <c r="AM11" s="10"/>
      <c r="AN11" s="9"/>
      <c r="AO11" s="8"/>
      <c r="AP11" s="8"/>
      <c r="AQ11" s="10">
        <v>2004</v>
      </c>
      <c r="AR11" s="9"/>
      <c r="AS11" s="8"/>
      <c r="AT11" s="8"/>
      <c r="AU11" s="10"/>
      <c r="AV11" s="9"/>
      <c r="AW11" s="8"/>
      <c r="AX11" s="8"/>
      <c r="AY11" s="10"/>
      <c r="AZ11" s="9"/>
      <c r="BA11" s="8"/>
      <c r="BB11" s="8"/>
      <c r="BC11" s="10">
        <v>2005</v>
      </c>
      <c r="BD11" s="9"/>
      <c r="BE11" s="8"/>
      <c r="BF11" s="8"/>
      <c r="BG11" s="8">
        <v>2006</v>
      </c>
      <c r="BH11" s="9"/>
      <c r="BI11" s="8"/>
      <c r="BJ11" s="8"/>
      <c r="BK11" s="8"/>
      <c r="BL11" s="8"/>
      <c r="BM11" s="10">
        <v>2011</v>
      </c>
      <c r="BN11" s="9"/>
      <c r="BO11" s="8"/>
      <c r="BP11" s="8"/>
      <c r="BQ11" s="8"/>
      <c r="BR11" s="8"/>
      <c r="BS11" s="10"/>
      <c r="BT11" s="9"/>
      <c r="BU11" s="8"/>
      <c r="BV11" s="8"/>
      <c r="BW11" s="8"/>
      <c r="BX11" s="8"/>
      <c r="BY11" s="10"/>
      <c r="BZ11" s="9"/>
      <c r="CA11" s="8"/>
      <c r="CB11" s="8"/>
      <c r="CC11" s="8"/>
      <c r="CD11" s="8"/>
      <c r="CE11" s="10"/>
      <c r="CF11" s="9"/>
      <c r="CG11" s="8"/>
      <c r="CH11" s="8"/>
      <c r="CI11" s="8"/>
      <c r="CJ11" s="8"/>
      <c r="CK11" s="10">
        <v>2012</v>
      </c>
      <c r="CL11" s="9"/>
      <c r="CM11" s="8"/>
      <c r="CN11" s="8"/>
      <c r="CO11" s="8"/>
      <c r="CP11" s="8"/>
      <c r="CQ11" s="10"/>
      <c r="CR11" s="9"/>
      <c r="CS11" s="8"/>
      <c r="CT11" s="8"/>
      <c r="CU11" s="8"/>
      <c r="CV11" s="8"/>
      <c r="CW11" s="10"/>
      <c r="CX11" s="9"/>
      <c r="CY11" s="8"/>
      <c r="CZ11" s="8"/>
      <c r="DA11" s="8"/>
      <c r="DB11" s="8"/>
      <c r="DC11" s="10"/>
      <c r="DD11" s="9"/>
      <c r="DE11" s="8"/>
      <c r="DF11" s="8"/>
      <c r="DG11" s="8"/>
      <c r="DH11" s="8"/>
      <c r="DI11" s="10">
        <v>2013</v>
      </c>
      <c r="DJ11" s="9"/>
      <c r="DK11" s="8"/>
      <c r="DL11" s="8"/>
      <c r="DM11" s="8"/>
      <c r="DN11" s="8"/>
      <c r="DO11" s="10"/>
      <c r="DP11" s="9"/>
      <c r="DQ11" s="8"/>
      <c r="DR11" s="8"/>
      <c r="DS11" s="8"/>
      <c r="DT11" s="8"/>
      <c r="DU11" s="10"/>
      <c r="DV11" s="9"/>
      <c r="DW11" s="8"/>
      <c r="DX11" s="8"/>
      <c r="DY11" s="8"/>
      <c r="DZ11" s="8"/>
      <c r="EA11" s="10">
        <v>2014</v>
      </c>
      <c r="EB11" s="9"/>
      <c r="EC11" s="8"/>
      <c r="ED11" s="8"/>
      <c r="EE11" s="8"/>
      <c r="EF11" s="8"/>
      <c r="EG11" s="10"/>
      <c r="EH11" s="9"/>
      <c r="EI11" s="8"/>
      <c r="EJ11" s="8"/>
      <c r="EK11" s="8"/>
      <c r="EL11" s="8"/>
      <c r="EM11" s="10"/>
      <c r="EN11" s="9"/>
      <c r="EO11" s="8"/>
      <c r="EP11" s="8"/>
      <c r="EQ11" s="8"/>
      <c r="ER11" s="8"/>
      <c r="ES11" s="10">
        <v>2015</v>
      </c>
      <c r="ET11" s="9"/>
      <c r="EU11" s="8"/>
      <c r="EV11" s="8"/>
      <c r="EW11" s="8"/>
      <c r="EX11" s="8"/>
      <c r="EY11" s="10"/>
      <c r="EZ11" s="9"/>
      <c r="FA11" s="8"/>
      <c r="FB11" s="8"/>
      <c r="FC11" s="8"/>
      <c r="FD11" s="8"/>
      <c r="FE11" s="10"/>
      <c r="FF11" s="9"/>
      <c r="FG11" s="8"/>
      <c r="FH11" s="8"/>
      <c r="FI11" s="8"/>
      <c r="FJ11" s="8"/>
      <c r="FK11" s="10"/>
      <c r="FL11" s="9"/>
      <c r="FM11" s="8"/>
      <c r="FN11" s="8"/>
      <c r="FO11" s="8"/>
      <c r="FP11" s="8"/>
      <c r="FQ11" s="10">
        <v>2016</v>
      </c>
      <c r="FR11" s="9"/>
      <c r="FS11" s="8"/>
      <c r="FT11" s="8"/>
      <c r="FU11" s="8"/>
      <c r="FV11" s="8"/>
      <c r="FW11" s="10"/>
      <c r="FX11" s="9"/>
      <c r="FY11" s="8"/>
      <c r="FZ11" s="8"/>
      <c r="GA11" s="8"/>
      <c r="GB11" s="8"/>
      <c r="GC11" s="10"/>
      <c r="GD11" s="9"/>
      <c r="GE11" s="8"/>
      <c r="GF11" s="8"/>
      <c r="GG11" s="8"/>
      <c r="GH11" s="8"/>
      <c r="GI11" s="10"/>
      <c r="GJ11" s="9"/>
      <c r="GK11" s="8"/>
      <c r="GL11" s="8"/>
      <c r="GM11" s="8"/>
      <c r="GN11" s="8"/>
      <c r="GO11" s="10">
        <v>2017</v>
      </c>
      <c r="GP11" s="9"/>
      <c r="GQ11" s="8"/>
      <c r="GR11" s="8"/>
      <c r="GS11" s="8"/>
      <c r="GT11" s="8"/>
      <c r="GU11" s="10"/>
      <c r="GV11" s="9"/>
      <c r="GW11" s="8"/>
      <c r="GX11" s="8"/>
      <c r="GY11" s="8"/>
      <c r="GZ11" s="8"/>
      <c r="HA11" s="10"/>
      <c r="HB11" s="9"/>
      <c r="HC11" s="8"/>
      <c r="HD11" s="8"/>
      <c r="HE11" s="8"/>
      <c r="HF11" s="8"/>
      <c r="HG11" s="10"/>
      <c r="HH11" s="9"/>
      <c r="HI11" s="8"/>
      <c r="HJ11" s="8"/>
      <c r="HK11" s="8"/>
      <c r="HL11" s="8"/>
      <c r="HM11" s="10">
        <v>2018</v>
      </c>
      <c r="HN11" s="9"/>
      <c r="HO11" s="8"/>
      <c r="HP11" s="8"/>
      <c r="HQ11" s="8"/>
      <c r="HR11" s="8"/>
      <c r="HS11" s="10"/>
      <c r="HT11" s="9"/>
      <c r="HU11" s="8"/>
      <c r="HV11" s="8"/>
      <c r="HW11" s="8"/>
      <c r="HX11" s="8"/>
      <c r="HY11" s="10"/>
      <c r="HZ11" s="9"/>
      <c r="IA11" s="8"/>
      <c r="IB11" s="8"/>
      <c r="IC11" s="8"/>
      <c r="ID11" s="8"/>
      <c r="IE11" s="10"/>
      <c r="IF11" s="9"/>
      <c r="IG11" s="8"/>
      <c r="IH11" s="8"/>
      <c r="II11" s="8"/>
      <c r="IJ11" s="8"/>
      <c r="IK11" s="8">
        <v>2019</v>
      </c>
      <c r="IL11" s="9"/>
      <c r="IM11" s="8" t="s">
        <v>5</v>
      </c>
      <c r="IN11" s="8"/>
      <c r="IO11" s="8"/>
      <c r="IP11" s="8"/>
      <c r="IQ11" s="9"/>
      <c r="IR11" s="8"/>
      <c r="IS11" s="8"/>
      <c r="IT11" s="8"/>
      <c r="IU11" s="8"/>
      <c r="IV11" s="10"/>
      <c r="IW11" s="9"/>
      <c r="IX11" s="8"/>
      <c r="IY11" s="8"/>
      <c r="IZ11" s="8"/>
      <c r="JA11" s="8"/>
      <c r="JB11" s="10"/>
      <c r="JC11" s="9"/>
      <c r="JD11" s="8"/>
      <c r="JE11" s="8"/>
      <c r="JF11" s="8"/>
      <c r="JG11" s="8"/>
      <c r="JH11" s="9">
        <v>2020</v>
      </c>
      <c r="JI11" s="8"/>
      <c r="JJ11" s="8"/>
      <c r="JK11" s="8"/>
      <c r="JL11" s="8"/>
      <c r="JM11" s="8"/>
      <c r="JN11" s="9">
        <v>2020</v>
      </c>
      <c r="JO11" s="8"/>
      <c r="JP11" s="8"/>
      <c r="JQ11" s="8"/>
      <c r="JR11" s="8"/>
      <c r="JS11" s="8"/>
      <c r="JT11" s="9">
        <v>2020</v>
      </c>
      <c r="JU11" s="8"/>
      <c r="JV11" s="8"/>
      <c r="JW11" s="8"/>
      <c r="JX11" s="8"/>
      <c r="JY11" s="10"/>
      <c r="JZ11" s="9">
        <v>2020</v>
      </c>
      <c r="KA11" s="8"/>
      <c r="KB11" s="8"/>
      <c r="KC11" s="8"/>
      <c r="KD11" s="8"/>
      <c r="KE11" s="10"/>
      <c r="KF11" s="9">
        <v>2020</v>
      </c>
      <c r="KG11" s="8"/>
      <c r="KH11" s="8"/>
      <c r="KI11" s="8"/>
      <c r="KJ11" s="109"/>
      <c r="KK11" s="109"/>
      <c r="KL11" s="109"/>
      <c r="KM11" s="109"/>
      <c r="KN11" s="109"/>
      <c r="KO11" s="109"/>
    </row>
    <row r="12" spans="1:301" x14ac:dyDescent="0.2">
      <c r="A12" s="11" t="s">
        <v>6</v>
      </c>
      <c r="B12" s="69" t="s">
        <v>7</v>
      </c>
      <c r="C12" s="98">
        <v>37046</v>
      </c>
      <c r="D12" s="17">
        <v>37046</v>
      </c>
      <c r="E12" s="17">
        <v>37046</v>
      </c>
      <c r="F12" s="99">
        <v>37046</v>
      </c>
      <c r="G12" s="16">
        <v>37076</v>
      </c>
      <c r="H12" s="16">
        <v>37076</v>
      </c>
      <c r="I12" s="17">
        <v>37076</v>
      </c>
      <c r="J12" s="17">
        <v>37076</v>
      </c>
      <c r="K12" s="17">
        <v>37335</v>
      </c>
      <c r="L12" s="18">
        <v>37335</v>
      </c>
      <c r="M12" s="14">
        <v>37335</v>
      </c>
      <c r="N12" s="14">
        <v>37335</v>
      </c>
      <c r="O12" s="14">
        <v>37566</v>
      </c>
      <c r="P12" s="14">
        <v>37566</v>
      </c>
      <c r="Q12" s="14">
        <v>37566</v>
      </c>
      <c r="R12" s="14">
        <v>37566</v>
      </c>
      <c r="S12" s="14">
        <v>37594</v>
      </c>
      <c r="T12" s="14">
        <v>37594</v>
      </c>
      <c r="U12" s="14">
        <v>37594</v>
      </c>
      <c r="V12" s="14">
        <v>37594</v>
      </c>
      <c r="W12" s="14">
        <v>37711</v>
      </c>
      <c r="X12" s="18">
        <v>37711</v>
      </c>
      <c r="Y12" s="18">
        <v>37711</v>
      </c>
      <c r="Z12" s="18">
        <v>37711</v>
      </c>
      <c r="AA12" s="18">
        <v>37739</v>
      </c>
      <c r="AB12" s="18">
        <v>37739</v>
      </c>
      <c r="AC12" s="18">
        <v>37739</v>
      </c>
      <c r="AD12" s="19">
        <v>37739</v>
      </c>
      <c r="AE12" s="19">
        <v>37825</v>
      </c>
      <c r="AF12" s="19">
        <v>37825</v>
      </c>
      <c r="AG12" s="19">
        <v>37825</v>
      </c>
      <c r="AH12" s="19">
        <v>37825</v>
      </c>
      <c r="AI12" s="20">
        <v>37888</v>
      </c>
      <c r="AJ12" s="20">
        <v>37888</v>
      </c>
      <c r="AK12" s="20">
        <v>37888</v>
      </c>
      <c r="AL12" s="20">
        <v>37888</v>
      </c>
      <c r="AM12" s="19">
        <v>37963</v>
      </c>
      <c r="AN12" s="19">
        <v>37963</v>
      </c>
      <c r="AO12" s="19">
        <v>37963</v>
      </c>
      <c r="AP12" s="16">
        <v>37963</v>
      </c>
      <c r="AQ12" s="16">
        <v>38012</v>
      </c>
      <c r="AR12" s="16">
        <v>38012</v>
      </c>
      <c r="AS12" s="16">
        <v>38012</v>
      </c>
      <c r="AT12" s="16">
        <v>38012</v>
      </c>
      <c r="AU12" s="16">
        <v>38033</v>
      </c>
      <c r="AV12" s="19">
        <v>38033</v>
      </c>
      <c r="AW12" s="19">
        <v>38033</v>
      </c>
      <c r="AX12" s="19">
        <v>38033</v>
      </c>
      <c r="AY12" s="19">
        <v>38271</v>
      </c>
      <c r="AZ12" s="19">
        <v>38271</v>
      </c>
      <c r="BA12" s="19">
        <v>38271</v>
      </c>
      <c r="BB12" s="19">
        <v>38271</v>
      </c>
      <c r="BC12" s="19">
        <v>38474</v>
      </c>
      <c r="BD12" s="19">
        <v>38474</v>
      </c>
      <c r="BE12" s="19">
        <v>38474</v>
      </c>
      <c r="BF12" s="19">
        <v>38474</v>
      </c>
      <c r="BG12" s="19">
        <v>38896</v>
      </c>
      <c r="BH12" s="19">
        <v>38896</v>
      </c>
      <c r="BI12" s="19">
        <v>38896</v>
      </c>
      <c r="BJ12" s="19">
        <v>38896</v>
      </c>
      <c r="BK12" s="19">
        <v>38896</v>
      </c>
      <c r="BL12" s="19">
        <v>38896</v>
      </c>
      <c r="BM12" s="23">
        <v>40625</v>
      </c>
      <c r="BN12" s="21">
        <v>40625</v>
      </c>
      <c r="BO12" s="21">
        <v>40625</v>
      </c>
      <c r="BP12" s="21">
        <v>40625</v>
      </c>
      <c r="BQ12" s="21">
        <v>40625</v>
      </c>
      <c r="BR12" s="21">
        <v>40625</v>
      </c>
      <c r="BS12" s="21">
        <v>40716</v>
      </c>
      <c r="BT12" s="22">
        <v>40716</v>
      </c>
      <c r="BU12" s="22">
        <v>40716</v>
      </c>
      <c r="BV12" s="22">
        <v>40716</v>
      </c>
      <c r="BW12" s="22">
        <v>40716</v>
      </c>
      <c r="BX12" s="22">
        <v>40716</v>
      </c>
      <c r="BY12" s="22">
        <v>40821</v>
      </c>
      <c r="BZ12" s="21">
        <v>40821</v>
      </c>
      <c r="CA12" s="21">
        <v>40821</v>
      </c>
      <c r="CB12" s="21">
        <v>40821</v>
      </c>
      <c r="CC12" s="21">
        <v>40821</v>
      </c>
      <c r="CD12" s="21">
        <v>40821</v>
      </c>
      <c r="CE12" s="21">
        <v>40897</v>
      </c>
      <c r="CF12" s="21">
        <v>40897</v>
      </c>
      <c r="CG12" s="21">
        <v>40897</v>
      </c>
      <c r="CH12" s="21">
        <v>40897</v>
      </c>
      <c r="CI12" s="21">
        <v>40897</v>
      </c>
      <c r="CJ12" s="21">
        <v>40897</v>
      </c>
      <c r="CK12" s="21">
        <v>41008</v>
      </c>
      <c r="CL12" s="21">
        <v>41008</v>
      </c>
      <c r="CM12" s="21">
        <v>41008</v>
      </c>
      <c r="CN12" s="21">
        <v>41008</v>
      </c>
      <c r="CO12" s="21">
        <v>41008</v>
      </c>
      <c r="CP12" s="21">
        <v>41008</v>
      </c>
      <c r="CQ12" s="21">
        <v>41086</v>
      </c>
      <c r="CR12" s="21">
        <v>41086</v>
      </c>
      <c r="CS12" s="21">
        <v>41086</v>
      </c>
      <c r="CT12" s="21">
        <v>41086</v>
      </c>
      <c r="CU12" s="21">
        <v>41086</v>
      </c>
      <c r="CV12" s="21">
        <v>41086</v>
      </c>
      <c r="CW12" s="21">
        <v>41179</v>
      </c>
      <c r="CX12" s="21">
        <v>41179</v>
      </c>
      <c r="CY12" s="21">
        <v>41179</v>
      </c>
      <c r="CZ12" s="21">
        <v>41179</v>
      </c>
      <c r="DA12" s="21">
        <v>41179</v>
      </c>
      <c r="DB12" s="21">
        <v>41179</v>
      </c>
      <c r="DC12" s="21">
        <v>41247</v>
      </c>
      <c r="DD12" s="21">
        <v>41247</v>
      </c>
      <c r="DE12" s="21">
        <v>41247</v>
      </c>
      <c r="DF12" s="21">
        <v>41247</v>
      </c>
      <c r="DG12" s="21">
        <v>41247</v>
      </c>
      <c r="DH12" s="21">
        <v>41247</v>
      </c>
      <c r="DI12" s="21">
        <v>41352</v>
      </c>
      <c r="DJ12" s="21">
        <v>41352</v>
      </c>
      <c r="DK12" s="21">
        <v>41352</v>
      </c>
      <c r="DL12" s="21">
        <v>41352</v>
      </c>
      <c r="DM12" s="21">
        <v>41352</v>
      </c>
      <c r="DN12" s="23">
        <v>41352</v>
      </c>
      <c r="DO12" s="21">
        <v>41445</v>
      </c>
      <c r="DP12" s="23">
        <v>41445</v>
      </c>
      <c r="DQ12" s="21">
        <v>41445</v>
      </c>
      <c r="DR12" s="21">
        <v>41445</v>
      </c>
      <c r="DS12" s="21">
        <v>41445</v>
      </c>
      <c r="DT12" s="21">
        <v>41445</v>
      </c>
      <c r="DU12" s="21">
        <v>41528</v>
      </c>
      <c r="DV12" s="23">
        <v>41528</v>
      </c>
      <c r="DW12" s="23">
        <v>41528</v>
      </c>
      <c r="DX12" s="23">
        <v>41528</v>
      </c>
      <c r="DY12" s="23">
        <v>41528</v>
      </c>
      <c r="DZ12" s="23">
        <v>41528</v>
      </c>
      <c r="EA12" s="23">
        <v>41670</v>
      </c>
      <c r="EB12" s="23">
        <v>41670</v>
      </c>
      <c r="EC12" s="23">
        <v>41670</v>
      </c>
      <c r="ED12" s="23">
        <v>41670</v>
      </c>
      <c r="EE12" s="23">
        <v>41670</v>
      </c>
      <c r="EF12" s="23">
        <v>41670</v>
      </c>
      <c r="EG12" s="23">
        <v>41758</v>
      </c>
      <c r="EH12" s="23">
        <v>41758</v>
      </c>
      <c r="EI12" s="23">
        <v>41758</v>
      </c>
      <c r="EJ12" s="23">
        <v>41758</v>
      </c>
      <c r="EK12" s="23">
        <v>41758</v>
      </c>
      <c r="EL12" s="23">
        <v>41758</v>
      </c>
      <c r="EM12" s="23">
        <v>41835</v>
      </c>
      <c r="EN12" s="23">
        <v>41835</v>
      </c>
      <c r="EO12" s="23">
        <v>41835</v>
      </c>
      <c r="EP12" s="23">
        <v>41835</v>
      </c>
      <c r="EQ12" s="23">
        <v>41835</v>
      </c>
      <c r="ER12" s="23">
        <v>41835</v>
      </c>
      <c r="ES12" s="23">
        <v>42031</v>
      </c>
      <c r="ET12" s="23">
        <v>42031</v>
      </c>
      <c r="EU12" s="23">
        <v>42031</v>
      </c>
      <c r="EV12" s="23">
        <v>42031</v>
      </c>
      <c r="EW12" s="23">
        <v>42031</v>
      </c>
      <c r="EX12" s="23">
        <v>42031</v>
      </c>
      <c r="EY12" s="23">
        <v>42094</v>
      </c>
      <c r="EZ12" s="22">
        <v>42094</v>
      </c>
      <c r="FA12" s="22">
        <v>42094</v>
      </c>
      <c r="FB12" s="22">
        <v>42094</v>
      </c>
      <c r="FC12" s="22">
        <v>42094</v>
      </c>
      <c r="FD12" s="22">
        <v>42094</v>
      </c>
      <c r="FE12" s="22">
        <v>42192</v>
      </c>
      <c r="FF12" s="21">
        <v>42192</v>
      </c>
      <c r="FG12" s="21">
        <v>42192</v>
      </c>
      <c r="FH12" s="21">
        <v>42192</v>
      </c>
      <c r="FI12" s="21">
        <v>42192</v>
      </c>
      <c r="FJ12" s="21">
        <v>42192</v>
      </c>
      <c r="FK12" s="21">
        <v>42290</v>
      </c>
      <c r="FL12" s="22">
        <v>42290</v>
      </c>
      <c r="FM12" s="22">
        <v>42290</v>
      </c>
      <c r="FN12" s="22">
        <v>42290</v>
      </c>
      <c r="FO12" s="22">
        <v>42290</v>
      </c>
      <c r="FP12" s="22">
        <v>42290</v>
      </c>
      <c r="FQ12" s="22">
        <v>42381</v>
      </c>
      <c r="FR12" s="22">
        <v>42381</v>
      </c>
      <c r="FS12" s="22">
        <v>42381</v>
      </c>
      <c r="FT12" s="22">
        <v>42381</v>
      </c>
      <c r="FU12" s="22">
        <v>42381</v>
      </c>
      <c r="FV12" s="22">
        <v>42381</v>
      </c>
      <c r="FW12" s="22">
        <v>42479</v>
      </c>
      <c r="FX12" s="22">
        <v>42479</v>
      </c>
      <c r="FY12" s="22">
        <v>42479</v>
      </c>
      <c r="FZ12" s="22">
        <v>42479</v>
      </c>
      <c r="GA12" s="22">
        <v>42479</v>
      </c>
      <c r="GB12" s="22">
        <v>42479</v>
      </c>
      <c r="GC12" s="22">
        <v>42570</v>
      </c>
      <c r="GD12" s="21">
        <v>42570</v>
      </c>
      <c r="GE12" s="21">
        <v>42570</v>
      </c>
      <c r="GF12" s="21">
        <v>42570</v>
      </c>
      <c r="GG12" s="21">
        <v>42570</v>
      </c>
      <c r="GH12" s="21">
        <v>42570</v>
      </c>
      <c r="GI12" s="21">
        <v>42654</v>
      </c>
      <c r="GJ12" s="21">
        <v>42654</v>
      </c>
      <c r="GK12" s="21">
        <v>42654</v>
      </c>
      <c r="GL12" s="21">
        <v>42654</v>
      </c>
      <c r="GM12" s="21">
        <v>42654</v>
      </c>
      <c r="GN12" s="21">
        <v>42654</v>
      </c>
      <c r="GO12" s="21">
        <v>42745</v>
      </c>
      <c r="GP12" s="21">
        <v>42745</v>
      </c>
      <c r="GQ12" s="21">
        <v>42745</v>
      </c>
      <c r="GR12" s="21">
        <v>42745</v>
      </c>
      <c r="GS12" s="21">
        <v>42745</v>
      </c>
      <c r="GT12" s="21">
        <v>42745</v>
      </c>
      <c r="GU12" s="21">
        <v>42843</v>
      </c>
      <c r="GV12" s="22">
        <v>42843</v>
      </c>
      <c r="GW12" s="22">
        <v>42843</v>
      </c>
      <c r="GX12" s="22">
        <v>42843</v>
      </c>
      <c r="GY12" s="22">
        <v>42843</v>
      </c>
      <c r="GZ12" s="22">
        <v>42843</v>
      </c>
      <c r="HA12" s="22">
        <v>42934</v>
      </c>
      <c r="HB12" s="22">
        <v>42934</v>
      </c>
      <c r="HC12" s="22">
        <v>42934</v>
      </c>
      <c r="HD12" s="22">
        <v>42934</v>
      </c>
      <c r="HE12" s="22">
        <v>42934</v>
      </c>
      <c r="HF12" s="22">
        <v>42934</v>
      </c>
      <c r="HG12" s="22">
        <v>43025</v>
      </c>
      <c r="HH12" s="22">
        <v>43025</v>
      </c>
      <c r="HI12" s="22">
        <v>43025</v>
      </c>
      <c r="HJ12" s="22">
        <v>43025</v>
      </c>
      <c r="HK12" s="22">
        <v>43025</v>
      </c>
      <c r="HL12" s="22">
        <v>43025</v>
      </c>
      <c r="HM12" s="22">
        <v>43109</v>
      </c>
      <c r="HN12" s="22">
        <v>43109</v>
      </c>
      <c r="HO12" s="22">
        <v>43109</v>
      </c>
      <c r="HP12" s="22">
        <v>43109</v>
      </c>
      <c r="HQ12" s="22">
        <v>43109</v>
      </c>
      <c r="HR12" s="22">
        <v>43109</v>
      </c>
      <c r="HS12" s="22">
        <v>43193</v>
      </c>
      <c r="HT12" s="22">
        <v>43193</v>
      </c>
      <c r="HU12" s="22">
        <v>43193</v>
      </c>
      <c r="HV12" s="22">
        <v>43193</v>
      </c>
      <c r="HW12" s="22">
        <v>43193</v>
      </c>
      <c r="HX12" s="22">
        <v>43193</v>
      </c>
      <c r="HY12" s="22">
        <v>43298</v>
      </c>
      <c r="HZ12" s="22">
        <v>43298</v>
      </c>
      <c r="IA12" s="22">
        <v>43298</v>
      </c>
      <c r="IB12" s="22">
        <v>43298</v>
      </c>
      <c r="IC12" s="22">
        <v>43298</v>
      </c>
      <c r="ID12" s="22">
        <v>43298</v>
      </c>
      <c r="IE12" s="22">
        <v>43403</v>
      </c>
      <c r="IF12" s="22">
        <v>43403</v>
      </c>
      <c r="IG12" s="22">
        <v>43403</v>
      </c>
      <c r="IH12" s="22">
        <v>43403</v>
      </c>
      <c r="II12" s="22">
        <v>43403</v>
      </c>
      <c r="IJ12" s="22">
        <v>43403</v>
      </c>
      <c r="IK12" s="22">
        <v>43487</v>
      </c>
      <c r="IL12" s="22">
        <v>43487</v>
      </c>
      <c r="IM12" s="22">
        <v>43487</v>
      </c>
      <c r="IN12" s="22">
        <v>43487</v>
      </c>
      <c r="IO12" s="22">
        <v>43487</v>
      </c>
      <c r="IP12" s="24">
        <v>43578</v>
      </c>
      <c r="IQ12" s="24">
        <v>43578</v>
      </c>
      <c r="IR12" s="24">
        <v>43578</v>
      </c>
      <c r="IS12" s="24">
        <v>43578</v>
      </c>
      <c r="IT12" s="24">
        <v>43578</v>
      </c>
      <c r="IU12" s="24">
        <v>43578</v>
      </c>
      <c r="IV12" s="22">
        <v>43704</v>
      </c>
      <c r="IW12" s="22">
        <v>43704</v>
      </c>
      <c r="IX12" s="22">
        <v>43704</v>
      </c>
      <c r="IY12" s="22">
        <v>43704</v>
      </c>
      <c r="IZ12" s="22">
        <v>43704</v>
      </c>
      <c r="JA12" s="22">
        <v>43704</v>
      </c>
      <c r="JB12" s="22">
        <v>43760</v>
      </c>
      <c r="JC12" s="22">
        <v>43760</v>
      </c>
      <c r="JD12" s="22">
        <v>43760</v>
      </c>
      <c r="JE12" s="22">
        <v>43760</v>
      </c>
      <c r="JF12" s="25">
        <v>43760</v>
      </c>
      <c r="JG12" s="25">
        <v>43760</v>
      </c>
      <c r="JH12" s="25">
        <v>44021</v>
      </c>
      <c r="JI12" s="25">
        <v>44021</v>
      </c>
      <c r="JJ12" s="25">
        <v>44021</v>
      </c>
      <c r="JK12" s="25">
        <v>44021</v>
      </c>
      <c r="JL12" s="25">
        <v>44021</v>
      </c>
      <c r="JM12" s="25">
        <v>44021</v>
      </c>
      <c r="JN12" s="22">
        <v>43859</v>
      </c>
      <c r="JO12" s="22">
        <v>43859</v>
      </c>
      <c r="JP12" s="22">
        <v>43859</v>
      </c>
      <c r="JQ12" s="22">
        <v>43859</v>
      </c>
      <c r="JR12" s="22">
        <v>43859</v>
      </c>
      <c r="JS12" s="22">
        <v>43859</v>
      </c>
      <c r="JT12" s="22">
        <v>44021</v>
      </c>
      <c r="JU12" s="22">
        <v>44021</v>
      </c>
      <c r="JV12" s="22">
        <v>44021</v>
      </c>
      <c r="JW12" s="22">
        <v>44021</v>
      </c>
      <c r="JX12" s="22">
        <v>44021</v>
      </c>
      <c r="JY12" s="22">
        <v>44021</v>
      </c>
      <c r="JZ12" s="108">
        <v>44111</v>
      </c>
      <c r="KA12" s="108">
        <v>44111</v>
      </c>
      <c r="KB12" s="108">
        <v>44111</v>
      </c>
      <c r="KC12" s="108">
        <v>44111</v>
      </c>
      <c r="KD12" s="108">
        <v>44111</v>
      </c>
      <c r="KE12" s="108">
        <v>44111</v>
      </c>
      <c r="KF12" s="108">
        <v>44120</v>
      </c>
      <c r="KG12" s="108">
        <v>44120</v>
      </c>
      <c r="KH12" s="108">
        <v>44119</v>
      </c>
      <c r="KI12" s="108">
        <v>44119</v>
      </c>
      <c r="KJ12" s="22">
        <v>44146</v>
      </c>
      <c r="KK12" s="22">
        <v>44146</v>
      </c>
      <c r="KL12" s="22">
        <v>44146</v>
      </c>
      <c r="KM12" s="22">
        <v>44146</v>
      </c>
      <c r="KN12" s="22">
        <v>44146</v>
      </c>
      <c r="KO12" s="22">
        <v>44146</v>
      </c>
    </row>
    <row r="13" spans="1:301" x14ac:dyDescent="0.2">
      <c r="A13" s="11" t="s">
        <v>6</v>
      </c>
      <c r="B13" s="26" t="s">
        <v>8</v>
      </c>
      <c r="C13" s="80" t="s">
        <v>9</v>
      </c>
      <c r="D13" s="91" t="s">
        <v>10</v>
      </c>
      <c r="E13" s="92" t="s">
        <v>11</v>
      </c>
      <c r="F13" s="100" t="s">
        <v>12</v>
      </c>
      <c r="G13" s="94" t="s">
        <v>9</v>
      </c>
      <c r="H13" s="90" t="s">
        <v>10</v>
      </c>
      <c r="I13" s="75" t="s">
        <v>11</v>
      </c>
      <c r="J13" s="76" t="s">
        <v>12</v>
      </c>
      <c r="K13" s="27" t="s">
        <v>9</v>
      </c>
      <c r="L13" s="74" t="s">
        <v>10</v>
      </c>
      <c r="M13" s="75" t="s">
        <v>11</v>
      </c>
      <c r="N13" s="76" t="s">
        <v>12</v>
      </c>
      <c r="O13" s="27" t="s">
        <v>9</v>
      </c>
      <c r="P13" s="74" t="s">
        <v>10</v>
      </c>
      <c r="Q13" s="75" t="s">
        <v>11</v>
      </c>
      <c r="R13" s="76" t="s">
        <v>12</v>
      </c>
      <c r="S13" s="27" t="s">
        <v>9</v>
      </c>
      <c r="T13" s="74" t="s">
        <v>10</v>
      </c>
      <c r="U13" s="75" t="s">
        <v>11</v>
      </c>
      <c r="V13" s="76" t="s">
        <v>12</v>
      </c>
      <c r="W13" s="27" t="s">
        <v>9</v>
      </c>
      <c r="X13" s="74" t="s">
        <v>10</v>
      </c>
      <c r="Y13" s="75" t="s">
        <v>11</v>
      </c>
      <c r="Z13" s="76" t="s">
        <v>12</v>
      </c>
      <c r="AA13" s="27" t="s">
        <v>9</v>
      </c>
      <c r="AB13" s="74" t="s">
        <v>10</v>
      </c>
      <c r="AC13" s="75" t="s">
        <v>11</v>
      </c>
      <c r="AD13" s="76" t="s">
        <v>12</v>
      </c>
      <c r="AE13" s="27" t="s">
        <v>9</v>
      </c>
      <c r="AF13" s="74" t="s">
        <v>10</v>
      </c>
      <c r="AG13" s="75" t="s">
        <v>11</v>
      </c>
      <c r="AH13" s="76" t="s">
        <v>12</v>
      </c>
      <c r="AI13" s="27" t="s">
        <v>9</v>
      </c>
      <c r="AJ13" s="74" t="s">
        <v>10</v>
      </c>
      <c r="AK13" s="75" t="s">
        <v>11</v>
      </c>
      <c r="AL13" s="76" t="s">
        <v>12</v>
      </c>
      <c r="AM13" s="27" t="s">
        <v>9</v>
      </c>
      <c r="AN13" s="74" t="s">
        <v>10</v>
      </c>
      <c r="AO13" s="75" t="s">
        <v>11</v>
      </c>
      <c r="AP13" s="76" t="s">
        <v>12</v>
      </c>
      <c r="AQ13" s="27" t="s">
        <v>9</v>
      </c>
      <c r="AR13" s="74" t="s">
        <v>10</v>
      </c>
      <c r="AS13" s="75" t="s">
        <v>11</v>
      </c>
      <c r="AT13" s="76" t="s">
        <v>12</v>
      </c>
      <c r="AU13" s="27" t="s">
        <v>9</v>
      </c>
      <c r="AV13" s="74" t="s">
        <v>10</v>
      </c>
      <c r="AW13" s="75" t="s">
        <v>11</v>
      </c>
      <c r="AX13" s="76" t="s">
        <v>12</v>
      </c>
      <c r="AY13" s="27" t="s">
        <v>9</v>
      </c>
      <c r="AZ13" s="74" t="s">
        <v>10</v>
      </c>
      <c r="BA13" s="75" t="s">
        <v>11</v>
      </c>
      <c r="BB13" s="76" t="s">
        <v>12</v>
      </c>
      <c r="BC13" s="27" t="s">
        <v>9</v>
      </c>
      <c r="BD13" s="74" t="s">
        <v>10</v>
      </c>
      <c r="BE13" s="75" t="s">
        <v>11</v>
      </c>
      <c r="BF13" s="76" t="s">
        <v>12</v>
      </c>
      <c r="BG13" s="27" t="s">
        <v>9</v>
      </c>
      <c r="BH13" s="74" t="s">
        <v>10</v>
      </c>
      <c r="BI13" s="75" t="s">
        <v>11</v>
      </c>
      <c r="BJ13" s="76" t="s">
        <v>12</v>
      </c>
      <c r="BK13" s="77" t="s">
        <v>13</v>
      </c>
      <c r="BL13" s="78" t="s">
        <v>14</v>
      </c>
      <c r="BM13" s="27" t="s">
        <v>9</v>
      </c>
      <c r="BN13" s="74" t="s">
        <v>10</v>
      </c>
      <c r="BO13" s="75" t="s">
        <v>11</v>
      </c>
      <c r="BP13" s="76" t="s">
        <v>12</v>
      </c>
      <c r="BQ13" s="77" t="s">
        <v>13</v>
      </c>
      <c r="BR13" s="78" t="s">
        <v>14</v>
      </c>
      <c r="BS13" s="27" t="s">
        <v>9</v>
      </c>
      <c r="BT13" s="74" t="s">
        <v>10</v>
      </c>
      <c r="BU13" s="75" t="s">
        <v>11</v>
      </c>
      <c r="BV13" s="76" t="s">
        <v>12</v>
      </c>
      <c r="BW13" s="77" t="s">
        <v>13</v>
      </c>
      <c r="BX13" s="78" t="s">
        <v>14</v>
      </c>
      <c r="BY13" s="27" t="s">
        <v>9</v>
      </c>
      <c r="BZ13" s="74" t="s">
        <v>10</v>
      </c>
      <c r="CA13" s="75" t="s">
        <v>11</v>
      </c>
      <c r="CB13" s="76" t="s">
        <v>12</v>
      </c>
      <c r="CC13" s="77" t="s">
        <v>13</v>
      </c>
      <c r="CD13" s="78" t="s">
        <v>14</v>
      </c>
      <c r="CE13" s="27" t="s">
        <v>9</v>
      </c>
      <c r="CF13" s="74" t="s">
        <v>10</v>
      </c>
      <c r="CG13" s="75" t="s">
        <v>11</v>
      </c>
      <c r="CH13" s="76" t="s">
        <v>12</v>
      </c>
      <c r="CI13" s="77" t="s">
        <v>13</v>
      </c>
      <c r="CJ13" s="78" t="s">
        <v>14</v>
      </c>
      <c r="CK13" s="27" t="s">
        <v>9</v>
      </c>
      <c r="CL13" s="74" t="s">
        <v>10</v>
      </c>
      <c r="CM13" s="75" t="s">
        <v>11</v>
      </c>
      <c r="CN13" s="76" t="s">
        <v>12</v>
      </c>
      <c r="CO13" s="77" t="s">
        <v>13</v>
      </c>
      <c r="CP13" s="78" t="s">
        <v>14</v>
      </c>
      <c r="CQ13" s="27" t="s">
        <v>9</v>
      </c>
      <c r="CR13" s="74" t="s">
        <v>10</v>
      </c>
      <c r="CS13" s="75" t="s">
        <v>11</v>
      </c>
      <c r="CT13" s="76" t="s">
        <v>12</v>
      </c>
      <c r="CU13" s="77" t="s">
        <v>13</v>
      </c>
      <c r="CV13" s="78" t="s">
        <v>14</v>
      </c>
      <c r="CW13" s="27" t="s">
        <v>9</v>
      </c>
      <c r="CX13" s="74" t="s">
        <v>10</v>
      </c>
      <c r="CY13" s="75" t="s">
        <v>11</v>
      </c>
      <c r="CZ13" s="76" t="s">
        <v>12</v>
      </c>
      <c r="DA13" s="77" t="s">
        <v>13</v>
      </c>
      <c r="DB13" s="78" t="s">
        <v>14</v>
      </c>
      <c r="DC13" s="27" t="s">
        <v>9</v>
      </c>
      <c r="DD13" s="74" t="s">
        <v>10</v>
      </c>
      <c r="DE13" s="75" t="s">
        <v>11</v>
      </c>
      <c r="DF13" s="76" t="s">
        <v>12</v>
      </c>
      <c r="DG13" s="77" t="s">
        <v>13</v>
      </c>
      <c r="DH13" s="78" t="s">
        <v>14</v>
      </c>
      <c r="DI13" s="27" t="s">
        <v>9</v>
      </c>
      <c r="DJ13" s="74" t="s">
        <v>10</v>
      </c>
      <c r="DK13" s="75" t="s">
        <v>11</v>
      </c>
      <c r="DL13" s="76" t="s">
        <v>12</v>
      </c>
      <c r="DM13" s="77" t="s">
        <v>13</v>
      </c>
      <c r="DN13" s="78" t="s">
        <v>14</v>
      </c>
      <c r="DO13" s="27" t="s">
        <v>9</v>
      </c>
      <c r="DP13" s="74" t="s">
        <v>10</v>
      </c>
      <c r="DQ13" s="75" t="s">
        <v>11</v>
      </c>
      <c r="DR13" s="76" t="s">
        <v>12</v>
      </c>
      <c r="DS13" s="77" t="s">
        <v>13</v>
      </c>
      <c r="DT13" s="78" t="s">
        <v>14</v>
      </c>
      <c r="DU13" s="27" t="s">
        <v>9</v>
      </c>
      <c r="DV13" s="74" t="s">
        <v>10</v>
      </c>
      <c r="DW13" s="75" t="s">
        <v>11</v>
      </c>
      <c r="DX13" s="76" t="s">
        <v>12</v>
      </c>
      <c r="DY13" s="77" t="s">
        <v>13</v>
      </c>
      <c r="DZ13" s="78" t="s">
        <v>14</v>
      </c>
      <c r="EA13" s="27" t="s">
        <v>9</v>
      </c>
      <c r="EB13" s="74" t="s">
        <v>10</v>
      </c>
      <c r="EC13" s="75" t="s">
        <v>11</v>
      </c>
      <c r="ED13" s="76" t="s">
        <v>12</v>
      </c>
      <c r="EE13" s="77" t="s">
        <v>13</v>
      </c>
      <c r="EF13" s="78" t="s">
        <v>14</v>
      </c>
      <c r="EG13" s="27" t="s">
        <v>9</v>
      </c>
      <c r="EH13" s="74" t="s">
        <v>10</v>
      </c>
      <c r="EI13" s="75" t="s">
        <v>11</v>
      </c>
      <c r="EJ13" s="76" t="s">
        <v>12</v>
      </c>
      <c r="EK13" s="77" t="s">
        <v>13</v>
      </c>
      <c r="EL13" s="78" t="s">
        <v>14</v>
      </c>
      <c r="EM13" s="27" t="s">
        <v>9</v>
      </c>
      <c r="EN13" s="74" t="s">
        <v>10</v>
      </c>
      <c r="EO13" s="75" t="s">
        <v>11</v>
      </c>
      <c r="EP13" s="76" t="s">
        <v>12</v>
      </c>
      <c r="EQ13" s="77" t="s">
        <v>13</v>
      </c>
      <c r="ER13" s="78" t="s">
        <v>14</v>
      </c>
      <c r="ES13" s="27" t="s">
        <v>9</v>
      </c>
      <c r="ET13" s="74" t="s">
        <v>10</v>
      </c>
      <c r="EU13" s="75" t="s">
        <v>11</v>
      </c>
      <c r="EV13" s="76" t="s">
        <v>12</v>
      </c>
      <c r="EW13" s="77" t="s">
        <v>13</v>
      </c>
      <c r="EX13" s="78" t="s">
        <v>14</v>
      </c>
      <c r="EY13" s="27" t="s">
        <v>9</v>
      </c>
      <c r="EZ13" s="74" t="s">
        <v>10</v>
      </c>
      <c r="FA13" s="75" t="s">
        <v>11</v>
      </c>
      <c r="FB13" s="76" t="s">
        <v>12</v>
      </c>
      <c r="FC13" s="77" t="s">
        <v>13</v>
      </c>
      <c r="FD13" s="78" t="s">
        <v>14</v>
      </c>
      <c r="FE13" s="27" t="s">
        <v>9</v>
      </c>
      <c r="FF13" s="74" t="s">
        <v>10</v>
      </c>
      <c r="FG13" s="75" t="s">
        <v>11</v>
      </c>
      <c r="FH13" s="76" t="s">
        <v>12</v>
      </c>
      <c r="FI13" s="77" t="s">
        <v>13</v>
      </c>
      <c r="FJ13" s="78" t="s">
        <v>14</v>
      </c>
      <c r="FK13" s="27" t="s">
        <v>9</v>
      </c>
      <c r="FL13" s="74" t="s">
        <v>10</v>
      </c>
      <c r="FM13" s="75" t="s">
        <v>11</v>
      </c>
      <c r="FN13" s="76" t="s">
        <v>12</v>
      </c>
      <c r="FO13" s="77" t="s">
        <v>13</v>
      </c>
      <c r="FP13" s="78" t="s">
        <v>14</v>
      </c>
      <c r="FQ13" s="27" t="s">
        <v>9</v>
      </c>
      <c r="FR13" s="74" t="s">
        <v>10</v>
      </c>
      <c r="FS13" s="75" t="s">
        <v>11</v>
      </c>
      <c r="FT13" s="76" t="s">
        <v>12</v>
      </c>
      <c r="FU13" s="77" t="s">
        <v>13</v>
      </c>
      <c r="FV13" s="78" t="s">
        <v>14</v>
      </c>
      <c r="FW13" s="27" t="s">
        <v>9</v>
      </c>
      <c r="FX13" s="74" t="s">
        <v>10</v>
      </c>
      <c r="FY13" s="75" t="s">
        <v>11</v>
      </c>
      <c r="FZ13" s="76" t="s">
        <v>12</v>
      </c>
      <c r="GA13" s="77" t="s">
        <v>13</v>
      </c>
      <c r="GB13" s="78" t="s">
        <v>14</v>
      </c>
      <c r="GC13" s="27" t="s">
        <v>9</v>
      </c>
      <c r="GD13" s="74" t="s">
        <v>10</v>
      </c>
      <c r="GE13" s="75" t="s">
        <v>11</v>
      </c>
      <c r="GF13" s="76" t="s">
        <v>12</v>
      </c>
      <c r="GG13" s="77" t="s">
        <v>13</v>
      </c>
      <c r="GH13" s="78" t="s">
        <v>14</v>
      </c>
      <c r="GI13" s="27" t="s">
        <v>9</v>
      </c>
      <c r="GJ13" s="74" t="s">
        <v>10</v>
      </c>
      <c r="GK13" s="75" t="s">
        <v>11</v>
      </c>
      <c r="GL13" s="76" t="s">
        <v>12</v>
      </c>
      <c r="GM13" s="77" t="s">
        <v>13</v>
      </c>
      <c r="GN13" s="78" t="s">
        <v>14</v>
      </c>
      <c r="GO13" s="27" t="s">
        <v>9</v>
      </c>
      <c r="GP13" s="74" t="s">
        <v>10</v>
      </c>
      <c r="GQ13" s="75" t="s">
        <v>11</v>
      </c>
      <c r="GR13" s="76" t="s">
        <v>12</v>
      </c>
      <c r="GS13" s="77" t="s">
        <v>13</v>
      </c>
      <c r="GT13" s="78" t="s">
        <v>14</v>
      </c>
      <c r="GU13" s="27" t="s">
        <v>9</v>
      </c>
      <c r="GV13" s="74" t="s">
        <v>10</v>
      </c>
      <c r="GW13" s="75" t="s">
        <v>11</v>
      </c>
      <c r="GX13" s="76" t="s">
        <v>12</v>
      </c>
      <c r="GY13" s="77" t="s">
        <v>13</v>
      </c>
      <c r="GZ13" s="78" t="s">
        <v>14</v>
      </c>
      <c r="HA13" s="27" t="s">
        <v>9</v>
      </c>
      <c r="HB13" s="74" t="s">
        <v>10</v>
      </c>
      <c r="HC13" s="75" t="s">
        <v>11</v>
      </c>
      <c r="HD13" s="76" t="s">
        <v>12</v>
      </c>
      <c r="HE13" s="77" t="s">
        <v>13</v>
      </c>
      <c r="HF13" s="78" t="s">
        <v>14</v>
      </c>
      <c r="HG13" s="27" t="s">
        <v>9</v>
      </c>
      <c r="HH13" s="74" t="s">
        <v>10</v>
      </c>
      <c r="HI13" s="75" t="s">
        <v>11</v>
      </c>
      <c r="HJ13" s="76" t="s">
        <v>12</v>
      </c>
      <c r="HK13" s="77" t="s">
        <v>13</v>
      </c>
      <c r="HL13" s="78" t="s">
        <v>14</v>
      </c>
      <c r="HM13" s="27" t="s">
        <v>9</v>
      </c>
      <c r="HN13" s="74" t="s">
        <v>10</v>
      </c>
      <c r="HO13" s="75" t="s">
        <v>11</v>
      </c>
      <c r="HP13" s="76" t="s">
        <v>12</v>
      </c>
      <c r="HQ13" s="77" t="s">
        <v>13</v>
      </c>
      <c r="HR13" s="78" t="s">
        <v>14</v>
      </c>
      <c r="HS13" s="27" t="s">
        <v>9</v>
      </c>
      <c r="HT13" s="74" t="s">
        <v>10</v>
      </c>
      <c r="HU13" s="75" t="s">
        <v>11</v>
      </c>
      <c r="HV13" s="76" t="s">
        <v>12</v>
      </c>
      <c r="HW13" s="77" t="s">
        <v>13</v>
      </c>
      <c r="HX13" s="78" t="s">
        <v>14</v>
      </c>
      <c r="HY13" s="27" t="s">
        <v>9</v>
      </c>
      <c r="HZ13" s="74" t="s">
        <v>10</v>
      </c>
      <c r="IA13" s="75" t="s">
        <v>11</v>
      </c>
      <c r="IB13" s="76" t="s">
        <v>12</v>
      </c>
      <c r="IC13" s="77" t="s">
        <v>13</v>
      </c>
      <c r="ID13" s="78" t="s">
        <v>14</v>
      </c>
      <c r="IE13" s="27" t="s">
        <v>9</v>
      </c>
      <c r="IF13" s="74" t="s">
        <v>10</v>
      </c>
      <c r="IG13" s="75" t="s">
        <v>11</v>
      </c>
      <c r="IH13" s="76" t="s">
        <v>12</v>
      </c>
      <c r="II13" s="77" t="s">
        <v>13</v>
      </c>
      <c r="IJ13" s="78" t="s">
        <v>14</v>
      </c>
      <c r="IK13" s="27" t="s">
        <v>9</v>
      </c>
      <c r="IL13" s="74" t="s">
        <v>10</v>
      </c>
      <c r="IM13" s="75" t="s">
        <v>11</v>
      </c>
      <c r="IN13" s="77" t="s">
        <v>13</v>
      </c>
      <c r="IO13" s="78" t="s">
        <v>14</v>
      </c>
      <c r="IP13" s="27" t="s">
        <v>9</v>
      </c>
      <c r="IQ13" s="74" t="s">
        <v>10</v>
      </c>
      <c r="IR13" s="75" t="s">
        <v>11</v>
      </c>
      <c r="IS13" s="76" t="s">
        <v>12</v>
      </c>
      <c r="IT13" s="77" t="s">
        <v>13</v>
      </c>
      <c r="IU13" s="78" t="s">
        <v>14</v>
      </c>
      <c r="IV13" s="27" t="s">
        <v>9</v>
      </c>
      <c r="IW13" s="74" t="s">
        <v>10</v>
      </c>
      <c r="IX13" s="75" t="s">
        <v>11</v>
      </c>
      <c r="IY13" s="76" t="s">
        <v>12</v>
      </c>
      <c r="IZ13" s="77" t="s">
        <v>13</v>
      </c>
      <c r="JA13" s="78" t="s">
        <v>14</v>
      </c>
      <c r="JB13" s="27" t="s">
        <v>9</v>
      </c>
      <c r="JC13" s="74" t="s">
        <v>10</v>
      </c>
      <c r="JD13" s="75" t="s">
        <v>11</v>
      </c>
      <c r="JE13" s="76" t="s">
        <v>12</v>
      </c>
      <c r="JF13" s="77" t="s">
        <v>13</v>
      </c>
      <c r="JG13" s="78" t="s">
        <v>14</v>
      </c>
      <c r="JH13" s="27" t="s">
        <v>9</v>
      </c>
      <c r="JI13" s="74" t="s">
        <v>10</v>
      </c>
      <c r="JJ13" s="75" t="s">
        <v>11</v>
      </c>
      <c r="JK13" s="76" t="s">
        <v>12</v>
      </c>
      <c r="JL13" s="77" t="s">
        <v>13</v>
      </c>
      <c r="JM13" s="78" t="s">
        <v>14</v>
      </c>
      <c r="JN13" s="104" t="s">
        <v>9</v>
      </c>
      <c r="JO13" s="91" t="s">
        <v>10</v>
      </c>
      <c r="JP13" s="92" t="s">
        <v>11</v>
      </c>
      <c r="JQ13" s="105" t="s">
        <v>12</v>
      </c>
      <c r="JR13" s="107" t="s">
        <v>14</v>
      </c>
      <c r="JS13" s="106" t="s">
        <v>13</v>
      </c>
      <c r="JT13" s="104" t="s">
        <v>9</v>
      </c>
      <c r="JU13" s="91" t="s">
        <v>10</v>
      </c>
      <c r="JV13" s="92" t="s">
        <v>11</v>
      </c>
      <c r="JW13" s="105" t="s">
        <v>12</v>
      </c>
      <c r="JX13" s="106" t="s">
        <v>13</v>
      </c>
      <c r="JY13" s="107" t="s">
        <v>14</v>
      </c>
      <c r="JZ13" s="104" t="s">
        <v>9</v>
      </c>
      <c r="KA13" s="91" t="s">
        <v>10</v>
      </c>
      <c r="KB13" s="92" t="s">
        <v>11</v>
      </c>
      <c r="KC13" s="105" t="s">
        <v>12</v>
      </c>
      <c r="KD13" s="106" t="s">
        <v>13</v>
      </c>
      <c r="KE13" s="107" t="s">
        <v>14</v>
      </c>
      <c r="KF13" s="104" t="s">
        <v>9</v>
      </c>
      <c r="KG13" s="91" t="s">
        <v>10</v>
      </c>
      <c r="KH13" s="104" t="s">
        <v>9</v>
      </c>
      <c r="KI13" s="91" t="s">
        <v>10</v>
      </c>
      <c r="KJ13" s="104" t="s">
        <v>9</v>
      </c>
      <c r="KK13" s="91" t="s">
        <v>10</v>
      </c>
      <c r="KL13" s="92" t="s">
        <v>11</v>
      </c>
      <c r="KM13" s="105" t="s">
        <v>12</v>
      </c>
      <c r="KN13" s="106" t="s">
        <v>13</v>
      </c>
      <c r="KO13" s="107" t="s">
        <v>14</v>
      </c>
    </row>
    <row r="14" spans="1:301" x14ac:dyDescent="0.2">
      <c r="A14" s="28" t="s">
        <v>15</v>
      </c>
      <c r="B14" s="29" t="s">
        <v>16</v>
      </c>
      <c r="C14" s="30">
        <v>154.80000000000001</v>
      </c>
      <c r="D14" s="31">
        <v>161.9</v>
      </c>
      <c r="E14" s="31">
        <v>160.9</v>
      </c>
      <c r="F14" s="32">
        <v>159.69999999999999</v>
      </c>
      <c r="G14" s="33">
        <v>153.69999999999999</v>
      </c>
      <c r="H14" s="33">
        <v>171.18</v>
      </c>
      <c r="I14" s="31">
        <v>173.23</v>
      </c>
      <c r="J14" s="31">
        <v>178.35</v>
      </c>
      <c r="K14" s="31">
        <v>224.89</v>
      </c>
      <c r="L14" s="31">
        <v>230.92</v>
      </c>
      <c r="M14" s="31">
        <v>242.97</v>
      </c>
      <c r="N14" s="31">
        <v>232.93</v>
      </c>
      <c r="O14" s="31"/>
      <c r="P14" s="31"/>
      <c r="Q14" s="31"/>
      <c r="R14" s="31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 t="s">
        <v>17</v>
      </c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</row>
    <row r="15" spans="1:301" x14ac:dyDescent="0.2">
      <c r="A15" s="28" t="s">
        <v>18</v>
      </c>
      <c r="B15" s="29" t="s">
        <v>16</v>
      </c>
      <c r="C15" s="30"/>
      <c r="D15" s="31"/>
      <c r="E15" s="31"/>
      <c r="F15" s="32"/>
      <c r="G15" s="33"/>
      <c r="H15" s="33"/>
      <c r="I15" s="31"/>
      <c r="J15" s="31"/>
      <c r="K15" s="31">
        <v>202.81</v>
      </c>
      <c r="L15" s="31">
        <v>214.86</v>
      </c>
      <c r="M15" s="31">
        <v>222.89</v>
      </c>
      <c r="N15" s="31">
        <v>216.87</v>
      </c>
      <c r="O15" s="31"/>
      <c r="P15" s="31"/>
      <c r="Q15" s="31"/>
      <c r="R15" s="31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</row>
    <row r="16" spans="1:301" x14ac:dyDescent="0.2">
      <c r="A16" s="28" t="s">
        <v>19</v>
      </c>
      <c r="B16" s="29" t="s">
        <v>16</v>
      </c>
      <c r="C16" s="30"/>
      <c r="D16" s="31"/>
      <c r="E16" s="31"/>
      <c r="F16" s="32"/>
      <c r="G16" s="33"/>
      <c r="H16" s="33"/>
      <c r="I16" s="31"/>
      <c r="J16" s="31"/>
      <c r="K16" s="31">
        <v>22.08</v>
      </c>
      <c r="L16" s="31">
        <v>16.059999999999999</v>
      </c>
      <c r="M16" s="31">
        <v>20.079999999999998</v>
      </c>
      <c r="N16" s="31">
        <v>16.059999999999999</v>
      </c>
      <c r="O16" s="31"/>
      <c r="P16" s="31"/>
      <c r="Q16" s="31"/>
      <c r="R16" s="31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/>
      <c r="JU16" s="31"/>
      <c r="JV16" s="31"/>
      <c r="JW16" s="31"/>
      <c r="JX16" s="31"/>
      <c r="JY16" s="31"/>
      <c r="JZ16" s="31"/>
      <c r="KA16" s="31"/>
      <c r="KB16" s="31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</row>
    <row r="17" spans="1:301" x14ac:dyDescent="0.2">
      <c r="A17" s="28" t="s">
        <v>20</v>
      </c>
      <c r="B17" s="29" t="s">
        <v>16</v>
      </c>
      <c r="C17" s="30"/>
      <c r="D17" s="31"/>
      <c r="E17" s="31"/>
      <c r="F17" s="32"/>
      <c r="G17" s="33"/>
      <c r="H17" s="33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</row>
    <row r="18" spans="1:301" x14ac:dyDescent="0.2">
      <c r="A18" s="35" t="s">
        <v>21</v>
      </c>
      <c r="B18" s="29" t="s">
        <v>22</v>
      </c>
      <c r="C18" s="30">
        <v>37.200000000000003</v>
      </c>
      <c r="D18" s="31">
        <v>34.9</v>
      </c>
      <c r="E18" s="31">
        <v>33.799999999999997</v>
      </c>
      <c r="F18" s="32">
        <v>45.2</v>
      </c>
      <c r="G18" s="33">
        <v>28.78</v>
      </c>
      <c r="H18" s="33">
        <v>27.01</v>
      </c>
      <c r="I18" s="31">
        <v>28.02</v>
      </c>
      <c r="J18" s="31">
        <v>27.01</v>
      </c>
      <c r="K18" s="31">
        <v>50.13</v>
      </c>
      <c r="L18" s="31">
        <v>52.69</v>
      </c>
      <c r="M18" s="31">
        <v>44.68</v>
      </c>
      <c r="N18" s="31">
        <v>43.53</v>
      </c>
      <c r="O18" s="31"/>
      <c r="P18" s="31"/>
      <c r="Q18" s="31"/>
      <c r="R18" s="31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/>
      <c r="JT18" s="31"/>
      <c r="JU18" s="31"/>
      <c r="JV18" s="31"/>
      <c r="JW18" s="31"/>
      <c r="JX18" s="31"/>
      <c r="JY18" s="31"/>
      <c r="JZ18" s="31"/>
      <c r="KA18" s="31"/>
      <c r="KB18" s="31"/>
      <c r="KC18" s="31"/>
      <c r="KD18" s="31"/>
      <c r="KE18" s="31"/>
      <c r="KF18" s="31"/>
      <c r="KG18" s="31"/>
      <c r="KH18" s="31"/>
      <c r="KI18" s="31"/>
      <c r="KJ18" s="31"/>
      <c r="KK18" s="31"/>
      <c r="KL18" s="31"/>
      <c r="KM18" s="31"/>
      <c r="KN18" s="31"/>
      <c r="KO18" s="31"/>
    </row>
    <row r="19" spans="1:301" ht="15" x14ac:dyDescent="0.25">
      <c r="A19" s="36" t="s">
        <v>23</v>
      </c>
      <c r="B19" s="29" t="s">
        <v>22</v>
      </c>
      <c r="C19" s="30"/>
      <c r="D19" s="31"/>
      <c r="E19" s="31"/>
      <c r="F19" s="32"/>
      <c r="G19" s="33"/>
      <c r="H19" s="33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>
        <v>0</v>
      </c>
      <c r="AZ19" s="31">
        <v>0</v>
      </c>
      <c r="BA19" s="31">
        <v>0</v>
      </c>
      <c r="BB19" s="31">
        <v>0</v>
      </c>
      <c r="BC19" s="31"/>
      <c r="BD19" s="31"/>
      <c r="BE19" s="31"/>
      <c r="BF19" s="31"/>
      <c r="BG19" s="31">
        <v>0</v>
      </c>
      <c r="BH19" s="31">
        <v>0</v>
      </c>
      <c r="BI19" s="31">
        <v>0</v>
      </c>
      <c r="BJ19" s="31">
        <v>0</v>
      </c>
      <c r="BK19" s="31"/>
      <c r="BL19" s="31"/>
      <c r="BM19" s="31" t="s">
        <v>24</v>
      </c>
      <c r="BN19" s="31" t="s">
        <v>24</v>
      </c>
      <c r="BO19" s="31" t="s">
        <v>24</v>
      </c>
      <c r="BP19" s="31" t="s">
        <v>24</v>
      </c>
      <c r="BQ19" s="31" t="s">
        <v>24</v>
      </c>
      <c r="BR19" s="31" t="s">
        <v>24</v>
      </c>
      <c r="BS19" s="34"/>
      <c r="BT19" s="34"/>
      <c r="BU19" s="34"/>
      <c r="BV19" s="34"/>
      <c r="BW19" s="34"/>
      <c r="BX19" s="34"/>
      <c r="BY19" s="31" t="s">
        <v>25</v>
      </c>
      <c r="BZ19" s="31" t="s">
        <v>25</v>
      </c>
      <c r="CA19" s="31" t="s">
        <v>25</v>
      </c>
      <c r="CB19" s="31" t="s">
        <v>25</v>
      </c>
      <c r="CC19" s="31" t="s">
        <v>25</v>
      </c>
      <c r="CD19" s="31" t="s">
        <v>25</v>
      </c>
      <c r="CE19" s="31"/>
      <c r="CF19" s="31"/>
      <c r="CG19" s="31"/>
      <c r="CH19" s="31"/>
      <c r="CI19" s="31"/>
      <c r="CJ19" s="31"/>
      <c r="CK19" s="37" t="s">
        <v>25</v>
      </c>
      <c r="CL19" s="37" t="s">
        <v>25</v>
      </c>
      <c r="CM19" s="37" t="s">
        <v>25</v>
      </c>
      <c r="CN19" s="37" t="s">
        <v>25</v>
      </c>
      <c r="CO19" s="37" t="s">
        <v>25</v>
      </c>
      <c r="CP19" s="31" t="s">
        <v>25</v>
      </c>
      <c r="CQ19" s="34"/>
      <c r="CR19" s="34"/>
      <c r="CS19" s="34"/>
      <c r="CT19" s="34"/>
      <c r="CU19" s="34"/>
      <c r="CV19" s="34"/>
      <c r="CW19" s="31" t="s">
        <v>24</v>
      </c>
      <c r="CX19" s="31" t="s">
        <v>24</v>
      </c>
      <c r="CY19" s="31" t="s">
        <v>24</v>
      </c>
      <c r="CZ19" s="31" t="s">
        <v>24</v>
      </c>
      <c r="DA19" s="31" t="s">
        <v>24</v>
      </c>
      <c r="DB19" s="31" t="s">
        <v>24</v>
      </c>
      <c r="DC19" s="34"/>
      <c r="DD19" s="34"/>
      <c r="DE19" s="34"/>
      <c r="DF19" s="34"/>
      <c r="DG19" s="34"/>
      <c r="DH19" s="34"/>
      <c r="DI19" s="37" t="s">
        <v>25</v>
      </c>
      <c r="DJ19" s="37" t="s">
        <v>25</v>
      </c>
      <c r="DK19" s="37" t="s">
        <v>25</v>
      </c>
      <c r="DL19" s="37" t="s">
        <v>25</v>
      </c>
      <c r="DM19" s="37" t="s">
        <v>25</v>
      </c>
      <c r="DN19" s="37" t="s">
        <v>25</v>
      </c>
      <c r="DO19" s="37"/>
      <c r="DP19" s="37"/>
      <c r="DQ19" s="37"/>
      <c r="DR19" s="37"/>
      <c r="DS19" s="37"/>
      <c r="DT19" s="37"/>
      <c r="DU19" s="37" t="s">
        <v>25</v>
      </c>
      <c r="DV19" s="37" t="s">
        <v>25</v>
      </c>
      <c r="DW19" s="37" t="s">
        <v>25</v>
      </c>
      <c r="DX19" s="37" t="s">
        <v>25</v>
      </c>
      <c r="DY19" s="37" t="s">
        <v>25</v>
      </c>
      <c r="DZ19" s="37" t="s">
        <v>25</v>
      </c>
      <c r="EA19" s="34"/>
      <c r="EB19" s="34"/>
      <c r="EC19" s="34"/>
      <c r="ED19" s="34"/>
      <c r="EE19" s="34"/>
      <c r="EF19" s="34"/>
      <c r="EG19" s="37" t="s">
        <v>25</v>
      </c>
      <c r="EH19" s="37" t="s">
        <v>25</v>
      </c>
      <c r="EI19" s="37" t="s">
        <v>25</v>
      </c>
      <c r="EJ19" s="37" t="s">
        <v>25</v>
      </c>
      <c r="EK19" s="37" t="s">
        <v>25</v>
      </c>
      <c r="EL19" s="37" t="s">
        <v>25</v>
      </c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 t="s">
        <v>25</v>
      </c>
      <c r="EZ19" s="37" t="s">
        <v>25</v>
      </c>
      <c r="FA19" s="37" t="s">
        <v>25</v>
      </c>
      <c r="FB19" s="37" t="s">
        <v>25</v>
      </c>
      <c r="FC19" s="37" t="s">
        <v>25</v>
      </c>
      <c r="FD19" s="37" t="s">
        <v>25</v>
      </c>
      <c r="FE19" s="37"/>
      <c r="FF19" s="37"/>
      <c r="FG19" s="37"/>
      <c r="FH19" s="37"/>
      <c r="FI19" s="37"/>
      <c r="FJ19" s="37"/>
      <c r="FK19" s="37" t="s">
        <v>25</v>
      </c>
      <c r="FL19" s="37" t="s">
        <v>25</v>
      </c>
      <c r="FM19" s="37" t="s">
        <v>25</v>
      </c>
      <c r="FN19" s="37" t="s">
        <v>25</v>
      </c>
      <c r="FO19" s="37" t="s">
        <v>25</v>
      </c>
      <c r="FP19" s="37"/>
      <c r="FQ19" s="37"/>
      <c r="FR19" s="37"/>
      <c r="FS19" s="37"/>
      <c r="FT19" s="37"/>
      <c r="FU19" s="37"/>
      <c r="FV19" s="37"/>
      <c r="FW19" s="37" t="s">
        <v>25</v>
      </c>
      <c r="FX19" s="37" t="s">
        <v>25</v>
      </c>
      <c r="FY19" s="37" t="s">
        <v>25</v>
      </c>
      <c r="FZ19" s="37" t="s">
        <v>25</v>
      </c>
      <c r="GA19" s="37" t="s">
        <v>25</v>
      </c>
      <c r="GB19" s="37" t="s">
        <v>25</v>
      </c>
      <c r="GC19" s="37"/>
      <c r="GD19" s="37"/>
      <c r="GE19" s="37"/>
      <c r="GF19" s="37"/>
      <c r="GG19" s="37"/>
      <c r="GH19" s="37"/>
      <c r="GI19" s="37" t="s">
        <v>25</v>
      </c>
      <c r="GJ19" s="37" t="s">
        <v>25</v>
      </c>
      <c r="GK19" s="37" t="s">
        <v>25</v>
      </c>
      <c r="GL19" s="37" t="s">
        <v>25</v>
      </c>
      <c r="GM19" s="37" t="s">
        <v>25</v>
      </c>
      <c r="GN19" s="37" t="s">
        <v>25</v>
      </c>
      <c r="GO19" s="37"/>
      <c r="GP19" s="37"/>
      <c r="GQ19" s="37"/>
      <c r="GR19" s="37"/>
      <c r="GS19" s="37"/>
      <c r="GT19" s="37"/>
      <c r="GU19" s="31" t="s">
        <v>26</v>
      </c>
      <c r="GV19" s="31" t="s">
        <v>26</v>
      </c>
      <c r="GW19" s="31" t="s">
        <v>26</v>
      </c>
      <c r="GX19" s="31" t="s">
        <v>26</v>
      </c>
      <c r="GY19" s="31" t="s">
        <v>26</v>
      </c>
      <c r="GZ19" s="31" t="s">
        <v>26</v>
      </c>
      <c r="HA19" s="37"/>
      <c r="HB19" s="37"/>
      <c r="HC19" s="37"/>
      <c r="HD19" s="37"/>
      <c r="HE19" s="37"/>
      <c r="HF19" s="37"/>
      <c r="HG19" s="31" t="s">
        <v>26</v>
      </c>
      <c r="HH19" s="31" t="s">
        <v>26</v>
      </c>
      <c r="HI19" s="31" t="s">
        <v>26</v>
      </c>
      <c r="HJ19" s="31" t="s">
        <v>26</v>
      </c>
      <c r="HK19" s="31" t="s">
        <v>27</v>
      </c>
      <c r="HL19" s="31" t="s">
        <v>27</v>
      </c>
      <c r="HM19" s="31" t="s">
        <v>26</v>
      </c>
      <c r="HN19" s="31" t="s">
        <v>26</v>
      </c>
      <c r="HO19" s="31" t="s">
        <v>26</v>
      </c>
      <c r="HP19" s="31" t="s">
        <v>26</v>
      </c>
      <c r="HQ19" s="31" t="s">
        <v>26</v>
      </c>
      <c r="HR19" s="31" t="s">
        <v>26</v>
      </c>
      <c r="HS19" s="31" t="s">
        <v>26</v>
      </c>
      <c r="HT19" s="31" t="s">
        <v>26</v>
      </c>
      <c r="HU19" s="31" t="s">
        <v>26</v>
      </c>
      <c r="HV19" s="31">
        <v>1.07</v>
      </c>
      <c r="HW19" s="31" t="s">
        <v>26</v>
      </c>
      <c r="HX19" s="31" t="s">
        <v>26</v>
      </c>
      <c r="HY19" s="31"/>
      <c r="HZ19" s="31"/>
      <c r="IA19" s="31"/>
      <c r="IB19" s="31"/>
      <c r="IC19" s="31"/>
      <c r="ID19" s="31"/>
      <c r="IE19" s="31" t="s">
        <v>26</v>
      </c>
      <c r="IF19" s="31" t="s">
        <v>26</v>
      </c>
      <c r="IG19" s="31" t="s">
        <v>26</v>
      </c>
      <c r="IH19" s="31" t="s">
        <v>26</v>
      </c>
      <c r="II19" s="31" t="s">
        <v>26</v>
      </c>
      <c r="IJ19" s="31" t="s">
        <v>26</v>
      </c>
      <c r="IK19" s="31"/>
      <c r="IL19" s="31"/>
      <c r="IM19" s="31"/>
      <c r="IN19" s="31"/>
      <c r="IO19" s="31"/>
      <c r="IP19" s="31" t="s">
        <v>26</v>
      </c>
      <c r="IQ19" s="31" t="s">
        <v>26</v>
      </c>
      <c r="IR19" s="31" t="s">
        <v>26</v>
      </c>
      <c r="IS19" s="31" t="s">
        <v>26</v>
      </c>
      <c r="IT19" s="31" t="s">
        <v>26</v>
      </c>
      <c r="IU19" s="31" t="s">
        <v>26</v>
      </c>
      <c r="IV19" s="31"/>
      <c r="IW19" s="31"/>
      <c r="IX19" s="31"/>
      <c r="IY19" s="31"/>
      <c r="IZ19" s="31"/>
      <c r="JA19" s="31"/>
      <c r="JB19" s="31" t="s">
        <v>26</v>
      </c>
      <c r="JC19" s="31" t="s">
        <v>26</v>
      </c>
      <c r="JD19" s="31" t="s">
        <v>26</v>
      </c>
      <c r="JE19" s="31" t="s">
        <v>26</v>
      </c>
      <c r="JF19" s="31" t="s">
        <v>26</v>
      </c>
      <c r="JG19" s="31" t="s">
        <v>26</v>
      </c>
      <c r="JH19" s="31" t="s">
        <v>25</v>
      </c>
      <c r="JI19" s="31">
        <v>1.07</v>
      </c>
      <c r="JJ19" s="31">
        <v>1.07</v>
      </c>
      <c r="JK19" s="31">
        <v>1.07</v>
      </c>
      <c r="JL19" s="31">
        <v>1.07</v>
      </c>
      <c r="JM19" s="31">
        <v>1.07</v>
      </c>
      <c r="JN19" s="31"/>
      <c r="JO19" s="31"/>
      <c r="JP19" s="31"/>
      <c r="JQ19" s="31"/>
      <c r="JR19" s="31"/>
      <c r="JS19" s="31"/>
      <c r="JT19" s="31" t="s">
        <v>26</v>
      </c>
      <c r="JU19" s="31">
        <v>1.07</v>
      </c>
      <c r="JV19" s="31">
        <v>1.07</v>
      </c>
      <c r="JW19" s="31">
        <v>1.07</v>
      </c>
      <c r="JX19" s="31">
        <v>1.07</v>
      </c>
      <c r="JY19" s="31">
        <v>1.07</v>
      </c>
      <c r="JZ19" s="31"/>
      <c r="KA19" s="31"/>
      <c r="KB19" s="31"/>
      <c r="KC19" s="31"/>
      <c r="KD19" s="31"/>
      <c r="KE19" s="31"/>
      <c r="KF19" s="31" t="s">
        <v>26</v>
      </c>
      <c r="KG19" s="31" t="s">
        <v>26</v>
      </c>
      <c r="KH19" s="31" t="s">
        <v>26</v>
      </c>
      <c r="KI19" s="31" t="s">
        <v>26</v>
      </c>
      <c r="KJ19" s="31" t="s">
        <v>26</v>
      </c>
      <c r="KK19" s="31" t="s">
        <v>26</v>
      </c>
      <c r="KL19" s="31" t="s">
        <v>26</v>
      </c>
      <c r="KM19" s="31" t="s">
        <v>26</v>
      </c>
      <c r="KN19" s="31" t="s">
        <v>26</v>
      </c>
      <c r="KO19" s="31" t="s">
        <v>26</v>
      </c>
    </row>
    <row r="20" spans="1:301" x14ac:dyDescent="0.2">
      <c r="A20" s="28" t="s">
        <v>28</v>
      </c>
      <c r="B20" s="29" t="s">
        <v>29</v>
      </c>
      <c r="C20" s="30">
        <v>0.441</v>
      </c>
      <c r="D20" s="31">
        <f>437/1000</f>
        <v>0.437</v>
      </c>
      <c r="E20" s="31">
        <f>441/1000</f>
        <v>0.441</v>
      </c>
      <c r="F20" s="32">
        <f>469/1000</f>
        <v>0.46899999999999997</v>
      </c>
      <c r="G20" s="33"/>
      <c r="H20" s="33"/>
      <c r="I20" s="31"/>
      <c r="J20" s="31"/>
      <c r="K20" s="31">
        <f>629/1000</f>
        <v>0.629</v>
      </c>
      <c r="L20" s="31">
        <f>610/1000</f>
        <v>0.61</v>
      </c>
      <c r="M20" s="31">
        <f>714/1000</f>
        <v>0.71399999999999997</v>
      </c>
      <c r="N20" s="31">
        <f>714/1000</f>
        <v>0.71399999999999997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4"/>
      <c r="BD20" s="34"/>
      <c r="BE20" s="31"/>
      <c r="BF20" s="31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/>
      <c r="JT20" s="31"/>
      <c r="JU20" s="31"/>
      <c r="JV20" s="31"/>
      <c r="JW20" s="31"/>
      <c r="JX20" s="31"/>
      <c r="JY20" s="31"/>
      <c r="JZ20" s="31"/>
      <c r="KA20" s="31"/>
      <c r="KB20" s="31"/>
      <c r="KC20" s="31"/>
      <c r="KD20" s="31"/>
      <c r="KE20" s="31"/>
      <c r="KF20" s="31"/>
      <c r="KG20" s="31"/>
      <c r="KH20" s="31"/>
      <c r="KI20" s="31"/>
      <c r="KJ20" s="31"/>
      <c r="KK20" s="31"/>
      <c r="KL20" s="31"/>
      <c r="KM20" s="31"/>
      <c r="KN20" s="31"/>
      <c r="KO20" s="31"/>
    </row>
    <row r="21" spans="1:301" x14ac:dyDescent="0.2">
      <c r="A21" s="36" t="s">
        <v>30</v>
      </c>
      <c r="B21" s="29" t="s">
        <v>22</v>
      </c>
      <c r="C21" s="30">
        <v>0.68</v>
      </c>
      <c r="D21" s="31">
        <v>0.18</v>
      </c>
      <c r="E21" s="31">
        <v>0.48</v>
      </c>
      <c r="F21" s="32">
        <v>0.57999999999999996</v>
      </c>
      <c r="G21" s="33">
        <v>0.35</v>
      </c>
      <c r="H21" s="33">
        <v>0.37</v>
      </c>
      <c r="I21" s="31">
        <v>0.37</v>
      </c>
      <c r="J21" s="31">
        <v>0.52</v>
      </c>
      <c r="K21" s="31">
        <v>0.88</v>
      </c>
      <c r="L21" s="31">
        <v>0.9</v>
      </c>
      <c r="M21" s="31">
        <v>0.73</v>
      </c>
      <c r="N21" s="31">
        <v>0.93</v>
      </c>
      <c r="O21" s="31"/>
      <c r="P21" s="31"/>
      <c r="Q21" s="31"/>
      <c r="R21" s="31"/>
      <c r="S21" s="31">
        <v>0.73</v>
      </c>
      <c r="T21" s="31">
        <v>0.95</v>
      </c>
      <c r="U21" s="31">
        <v>0.55000000000000004</v>
      </c>
      <c r="V21" s="31">
        <v>0.48</v>
      </c>
      <c r="W21" s="31">
        <v>0.5</v>
      </c>
      <c r="X21" s="31">
        <v>0.8</v>
      </c>
      <c r="Y21" s="31"/>
      <c r="Z21" s="31"/>
      <c r="AA21" s="31"/>
      <c r="AB21" s="31"/>
      <c r="AC21" s="31"/>
      <c r="AD21" s="31"/>
      <c r="AE21" s="31">
        <v>0.75</v>
      </c>
      <c r="AF21" s="31">
        <v>0.75</v>
      </c>
      <c r="AG21" s="31">
        <v>0.88</v>
      </c>
      <c r="AH21" s="31">
        <v>1.1000000000000001</v>
      </c>
      <c r="AI21" s="31">
        <v>1.4</v>
      </c>
      <c r="AJ21" s="31">
        <v>1</v>
      </c>
      <c r="AK21" s="31">
        <v>1.5</v>
      </c>
      <c r="AL21" s="31">
        <v>1</v>
      </c>
      <c r="AM21" s="31">
        <v>1.1000000000000001</v>
      </c>
      <c r="AN21" s="31">
        <v>0.9</v>
      </c>
      <c r="AO21" s="31">
        <v>0.9</v>
      </c>
      <c r="AP21" s="31">
        <v>0.4</v>
      </c>
      <c r="AQ21" s="31">
        <v>0.8</v>
      </c>
      <c r="AR21" s="31">
        <v>1</v>
      </c>
      <c r="AS21" s="31">
        <v>0.8</v>
      </c>
      <c r="AT21" s="31">
        <v>0.6</v>
      </c>
      <c r="AU21" s="31">
        <v>0.7</v>
      </c>
      <c r="AV21" s="31">
        <v>0.9</v>
      </c>
      <c r="AW21" s="31">
        <v>0.8</v>
      </c>
      <c r="AX21" s="31">
        <v>0.4</v>
      </c>
      <c r="AY21" s="31">
        <v>1.3</v>
      </c>
      <c r="AZ21" s="31">
        <v>0.9</v>
      </c>
      <c r="BA21" s="31">
        <v>0.7</v>
      </c>
      <c r="BB21" s="31">
        <v>0.7</v>
      </c>
      <c r="BC21" s="34">
        <v>0.8</v>
      </c>
      <c r="BD21" s="34">
        <v>0.7</v>
      </c>
      <c r="BE21" s="31">
        <v>0.6</v>
      </c>
      <c r="BF21" s="31">
        <v>0.7</v>
      </c>
      <c r="BG21" s="34">
        <v>0.2</v>
      </c>
      <c r="BH21" s="34">
        <v>0.2</v>
      </c>
      <c r="BI21" s="34">
        <v>0.3</v>
      </c>
      <c r="BJ21" s="34">
        <v>0.2</v>
      </c>
      <c r="BK21" s="34"/>
      <c r="BL21" s="34"/>
      <c r="BM21" s="34">
        <v>1.2</v>
      </c>
      <c r="BN21" s="34">
        <v>1</v>
      </c>
      <c r="BO21" s="34">
        <v>1.3</v>
      </c>
      <c r="BP21" s="34">
        <v>1</v>
      </c>
      <c r="BQ21" s="34">
        <v>1</v>
      </c>
      <c r="BR21" s="34">
        <v>0.3</v>
      </c>
      <c r="BS21" s="34">
        <v>0.6</v>
      </c>
      <c r="BT21" s="34">
        <v>0.6</v>
      </c>
      <c r="BU21" s="34">
        <v>0.6</v>
      </c>
      <c r="BV21" s="34">
        <v>0.6</v>
      </c>
      <c r="BW21" s="34">
        <v>0.7</v>
      </c>
      <c r="BX21" s="34">
        <v>0.3</v>
      </c>
      <c r="BY21" s="34">
        <v>0.8</v>
      </c>
      <c r="BZ21" s="34">
        <v>1</v>
      </c>
      <c r="CA21" s="34">
        <v>0.8</v>
      </c>
      <c r="CB21" s="34">
        <v>0.6</v>
      </c>
      <c r="CC21" s="34">
        <v>1.1000000000000001</v>
      </c>
      <c r="CD21" s="34">
        <v>0.4</v>
      </c>
      <c r="CE21" s="34">
        <v>1</v>
      </c>
      <c r="CF21" s="34">
        <v>0.9</v>
      </c>
      <c r="CG21" s="34">
        <v>1.4</v>
      </c>
      <c r="CH21" s="34">
        <v>1.1000000000000001</v>
      </c>
      <c r="CI21" s="34">
        <v>0.8</v>
      </c>
      <c r="CJ21" s="34">
        <v>0.2</v>
      </c>
      <c r="CK21" s="34">
        <v>0.7</v>
      </c>
      <c r="CL21" s="34">
        <v>0.8</v>
      </c>
      <c r="CM21" s="34">
        <v>3.1</v>
      </c>
      <c r="CN21" s="34">
        <v>0.9</v>
      </c>
      <c r="CO21" s="34">
        <v>1</v>
      </c>
      <c r="CP21" s="34">
        <v>0.2</v>
      </c>
      <c r="CQ21" s="34">
        <v>3.25</v>
      </c>
      <c r="CR21" s="34">
        <v>3.5</v>
      </c>
      <c r="CS21" s="34">
        <v>3.75</v>
      </c>
      <c r="CT21" s="34">
        <v>2.5499999999999998</v>
      </c>
      <c r="CU21" s="34">
        <v>3.45</v>
      </c>
      <c r="CV21" s="34">
        <v>0.55000000000000004</v>
      </c>
      <c r="CW21" s="34">
        <v>1.1000000000000001</v>
      </c>
      <c r="CX21" s="34">
        <v>1.1000000000000001</v>
      </c>
      <c r="CY21" s="34">
        <v>0.9</v>
      </c>
      <c r="CZ21" s="31" t="s">
        <v>31</v>
      </c>
      <c r="DA21" s="34">
        <v>1.2</v>
      </c>
      <c r="DB21" s="31" t="s">
        <v>31</v>
      </c>
      <c r="DC21" s="31" t="s">
        <v>31</v>
      </c>
      <c r="DD21" s="31" t="s">
        <v>31</v>
      </c>
      <c r="DE21" s="31" t="s">
        <v>31</v>
      </c>
      <c r="DF21" s="31" t="s">
        <v>31</v>
      </c>
      <c r="DG21" s="31" t="s">
        <v>31</v>
      </c>
      <c r="DH21" s="31" t="s">
        <v>31</v>
      </c>
      <c r="DI21" s="34">
        <v>5.35</v>
      </c>
      <c r="DJ21" s="34">
        <v>5.55</v>
      </c>
      <c r="DK21" s="34">
        <v>5.0999999999999996</v>
      </c>
      <c r="DL21" s="34">
        <v>5.05</v>
      </c>
      <c r="DM21" s="34">
        <v>5.25</v>
      </c>
      <c r="DN21" s="34">
        <v>0.35</v>
      </c>
      <c r="DO21" s="37" t="s">
        <v>25</v>
      </c>
      <c r="DP21" s="37" t="s">
        <v>25</v>
      </c>
      <c r="DQ21" s="37" t="s">
        <v>25</v>
      </c>
      <c r="DR21" s="37" t="s">
        <v>25</v>
      </c>
      <c r="DS21" s="37" t="s">
        <v>25</v>
      </c>
      <c r="DT21" s="37" t="s">
        <v>25</v>
      </c>
      <c r="DU21" s="34">
        <v>1.7</v>
      </c>
      <c r="DV21" s="34">
        <v>1.75</v>
      </c>
      <c r="DW21" s="34">
        <v>1.35</v>
      </c>
      <c r="DX21" s="34">
        <v>0.7</v>
      </c>
      <c r="DY21" s="34">
        <v>1.45</v>
      </c>
      <c r="DZ21" s="34">
        <v>0.65</v>
      </c>
      <c r="EA21" s="34">
        <v>3.6</v>
      </c>
      <c r="EB21" s="34">
        <v>3.4</v>
      </c>
      <c r="EC21" s="34">
        <v>2.7</v>
      </c>
      <c r="ED21" s="34">
        <v>2.6</v>
      </c>
      <c r="EE21" s="34">
        <v>3.4</v>
      </c>
      <c r="EF21" s="37" t="s">
        <v>25</v>
      </c>
      <c r="EG21" s="37">
        <v>0.9</v>
      </c>
      <c r="EH21" s="37">
        <v>1.05</v>
      </c>
      <c r="EI21" s="37">
        <v>0.9</v>
      </c>
      <c r="EJ21" s="37">
        <v>1.35</v>
      </c>
      <c r="EK21" s="37">
        <v>0.95</v>
      </c>
      <c r="EL21" s="37">
        <v>0.15</v>
      </c>
      <c r="EM21" s="37">
        <v>0.4</v>
      </c>
      <c r="EN21" s="37">
        <v>0.5</v>
      </c>
      <c r="EO21" s="37">
        <v>0.35</v>
      </c>
      <c r="EP21" s="37">
        <v>0.95</v>
      </c>
      <c r="EQ21" s="37">
        <v>0.6</v>
      </c>
      <c r="ER21" s="37">
        <v>0.4</v>
      </c>
      <c r="ES21" s="37">
        <v>1.05</v>
      </c>
      <c r="ET21" s="37">
        <v>1.1000000000000001</v>
      </c>
      <c r="EU21" s="37">
        <v>1.1000000000000001</v>
      </c>
      <c r="EV21" s="37">
        <v>4.0999999999999996</v>
      </c>
      <c r="EW21" s="37">
        <v>0.7</v>
      </c>
      <c r="EX21" s="37">
        <v>0.5</v>
      </c>
      <c r="EY21" s="37">
        <v>1.25</v>
      </c>
      <c r="EZ21" s="37">
        <v>0.4</v>
      </c>
      <c r="FA21" s="37">
        <v>0.55000000000000004</v>
      </c>
      <c r="FB21" s="37">
        <v>0.55000000000000004</v>
      </c>
      <c r="FC21" s="37">
        <v>0.45</v>
      </c>
      <c r="FD21" s="37">
        <v>0.1</v>
      </c>
      <c r="FE21" s="37">
        <v>0.6</v>
      </c>
      <c r="FF21" s="37">
        <v>0.65</v>
      </c>
      <c r="FG21" s="37">
        <v>0.5</v>
      </c>
      <c r="FH21" s="37">
        <v>0.65</v>
      </c>
      <c r="FI21" s="37">
        <v>0.55000000000000004</v>
      </c>
      <c r="FJ21" s="37">
        <v>0.2</v>
      </c>
      <c r="FK21" s="37">
        <v>0.85</v>
      </c>
      <c r="FL21" s="37">
        <v>1.1000000000000001</v>
      </c>
      <c r="FM21" s="37">
        <v>0.9</v>
      </c>
      <c r="FN21" s="37">
        <v>0.8</v>
      </c>
      <c r="FO21" s="37">
        <v>0.95</v>
      </c>
      <c r="FP21" s="37"/>
      <c r="FQ21" s="37">
        <v>1.7</v>
      </c>
      <c r="FR21" s="37">
        <v>2</v>
      </c>
      <c r="FS21" s="37">
        <v>1.8</v>
      </c>
      <c r="FT21" s="37">
        <v>1.6</v>
      </c>
      <c r="FU21" s="37">
        <v>1.8</v>
      </c>
      <c r="FV21" s="37"/>
      <c r="FW21" s="37">
        <v>0.8</v>
      </c>
      <c r="FX21" s="37">
        <v>0.6</v>
      </c>
      <c r="FY21" s="37">
        <v>0.7</v>
      </c>
      <c r="FZ21" s="37">
        <v>1</v>
      </c>
      <c r="GA21" s="37">
        <v>0.75</v>
      </c>
      <c r="GB21" s="37">
        <v>1.58</v>
      </c>
      <c r="GC21" s="37">
        <v>0</v>
      </c>
      <c r="GD21" s="37">
        <v>0</v>
      </c>
      <c r="GE21" s="37">
        <v>0</v>
      </c>
      <c r="GF21" s="37">
        <v>0</v>
      </c>
      <c r="GG21" s="37">
        <v>0</v>
      </c>
      <c r="GH21" s="37">
        <v>0</v>
      </c>
      <c r="GI21" s="37">
        <v>1.1000000000000001</v>
      </c>
      <c r="GJ21" s="37">
        <v>1.35</v>
      </c>
      <c r="GK21" s="37">
        <v>1.2</v>
      </c>
      <c r="GL21" s="37">
        <v>1</v>
      </c>
      <c r="GM21" s="37">
        <v>1.4</v>
      </c>
      <c r="GN21" s="37">
        <v>0.33</v>
      </c>
      <c r="GO21" s="37">
        <v>2.5499999999999998</v>
      </c>
      <c r="GP21" s="37">
        <v>2.6</v>
      </c>
      <c r="GQ21" s="37">
        <v>2.6</v>
      </c>
      <c r="GR21" s="37">
        <v>2.8</v>
      </c>
      <c r="GS21" s="37">
        <v>2.5499999999999998</v>
      </c>
      <c r="GT21" s="37">
        <v>0.4</v>
      </c>
      <c r="GU21" s="37">
        <v>0.7</v>
      </c>
      <c r="GV21" s="37">
        <v>0.25</v>
      </c>
      <c r="GW21" s="37">
        <v>0.4</v>
      </c>
      <c r="GX21" s="37">
        <v>0.15</v>
      </c>
      <c r="GY21" s="37">
        <v>0.3</v>
      </c>
      <c r="GZ21" s="37">
        <v>2.5000000000000001E-2</v>
      </c>
      <c r="HA21" s="37">
        <v>0.5</v>
      </c>
      <c r="HB21" s="37">
        <v>0.55000000000000004</v>
      </c>
      <c r="HC21" s="37">
        <v>0.6</v>
      </c>
      <c r="HD21" s="37">
        <v>0.5</v>
      </c>
      <c r="HE21" s="37">
        <v>0.6</v>
      </c>
      <c r="HF21" s="37">
        <v>0.7</v>
      </c>
      <c r="HG21" s="31">
        <v>1</v>
      </c>
      <c r="HH21" s="31">
        <v>0.85</v>
      </c>
      <c r="HI21" s="31">
        <v>0.38</v>
      </c>
      <c r="HJ21" s="31">
        <v>0.4</v>
      </c>
      <c r="HK21" s="31">
        <v>0.6</v>
      </c>
      <c r="HL21" s="31">
        <v>0.5</v>
      </c>
      <c r="HM21" s="31">
        <v>0.6</v>
      </c>
      <c r="HN21" s="31">
        <v>0.7</v>
      </c>
      <c r="HO21" s="31">
        <v>0.5</v>
      </c>
      <c r="HP21" s="31">
        <v>0.6</v>
      </c>
      <c r="HQ21" s="31">
        <v>0.65</v>
      </c>
      <c r="HR21" s="31">
        <v>0.17499999999999999</v>
      </c>
      <c r="HS21" s="31">
        <v>3.4</v>
      </c>
      <c r="HT21" s="31">
        <v>3.05</v>
      </c>
      <c r="HU21" s="31">
        <v>2.8</v>
      </c>
      <c r="HV21" s="31">
        <v>3.53</v>
      </c>
      <c r="HW21" s="31">
        <v>3.1</v>
      </c>
      <c r="HX21" s="31">
        <v>0.3</v>
      </c>
      <c r="HY21" s="31" t="s">
        <v>26</v>
      </c>
      <c r="HZ21" s="31" t="s">
        <v>26</v>
      </c>
      <c r="IA21" s="31" t="s">
        <v>26</v>
      </c>
      <c r="IB21" s="31" t="s">
        <v>26</v>
      </c>
      <c r="IC21" s="31" t="s">
        <v>26</v>
      </c>
      <c r="ID21" s="31" t="s">
        <v>26</v>
      </c>
      <c r="IE21" s="31">
        <v>1.95</v>
      </c>
      <c r="IF21" s="31">
        <v>2.2000000000000002</v>
      </c>
      <c r="IG21" s="31">
        <v>1.95</v>
      </c>
      <c r="IH21" s="31">
        <v>2.2999999999999998</v>
      </c>
      <c r="II21" s="31">
        <v>1.6</v>
      </c>
      <c r="IJ21" s="31">
        <v>0.4</v>
      </c>
      <c r="IK21" s="31">
        <v>1.35</v>
      </c>
      <c r="IL21" s="31">
        <v>0.85</v>
      </c>
      <c r="IM21" s="31">
        <v>1.0249999999999999</v>
      </c>
      <c r="IN21" s="31">
        <v>1.1000000000000001</v>
      </c>
      <c r="IO21" s="31">
        <v>0.2</v>
      </c>
      <c r="IP21" s="31">
        <v>4</v>
      </c>
      <c r="IQ21" s="31">
        <v>4</v>
      </c>
      <c r="IR21" s="31">
        <v>4</v>
      </c>
      <c r="IS21" s="31">
        <v>3</v>
      </c>
      <c r="IT21" s="31">
        <v>0.2</v>
      </c>
      <c r="IU21" s="31">
        <v>4</v>
      </c>
      <c r="IV21" s="31">
        <v>1.75</v>
      </c>
      <c r="IW21" s="31">
        <v>2.25</v>
      </c>
      <c r="IX21" s="31">
        <v>2</v>
      </c>
      <c r="IY21" s="31">
        <v>1.85</v>
      </c>
      <c r="IZ21" s="31">
        <v>1.95</v>
      </c>
      <c r="JA21" s="31">
        <v>2.2000000000000002</v>
      </c>
      <c r="JB21" s="31">
        <v>2.8</v>
      </c>
      <c r="JC21" s="31">
        <v>1.3</v>
      </c>
      <c r="JD21" s="31">
        <v>1.4</v>
      </c>
      <c r="JE21" s="31">
        <v>1.25</v>
      </c>
      <c r="JF21" s="31">
        <v>1.1000000000000001</v>
      </c>
      <c r="JG21" s="31">
        <v>0.4</v>
      </c>
      <c r="JH21" s="31">
        <v>1.75</v>
      </c>
      <c r="JI21" s="31">
        <v>1.9</v>
      </c>
      <c r="JJ21" s="31">
        <v>1.9</v>
      </c>
      <c r="JK21" s="31">
        <v>1.7</v>
      </c>
      <c r="JL21" s="31">
        <v>1.75</v>
      </c>
      <c r="JM21" s="31">
        <v>1.1000000000000001</v>
      </c>
      <c r="JN21" s="31">
        <v>0.85</v>
      </c>
      <c r="JO21" s="31">
        <v>0.75</v>
      </c>
      <c r="JP21" s="31">
        <v>0.55000000000000004</v>
      </c>
      <c r="JQ21" s="31">
        <v>0.9</v>
      </c>
      <c r="JR21" s="31">
        <v>0.4</v>
      </c>
      <c r="JS21" s="31">
        <v>0.6</v>
      </c>
      <c r="JT21" s="31">
        <v>1.75</v>
      </c>
      <c r="JU21" s="31">
        <v>1.9</v>
      </c>
      <c r="JV21" s="31">
        <v>1.9</v>
      </c>
      <c r="JW21" s="31">
        <v>1.7</v>
      </c>
      <c r="JX21" s="31">
        <v>1.75</v>
      </c>
      <c r="JY21" s="31">
        <v>1.1000000000000001</v>
      </c>
      <c r="JZ21" s="31" t="s">
        <v>26</v>
      </c>
      <c r="KA21" s="31" t="s">
        <v>26</v>
      </c>
      <c r="KB21" s="31" t="s">
        <v>26</v>
      </c>
      <c r="KC21" s="31" t="s">
        <v>26</v>
      </c>
      <c r="KD21" s="31" t="s">
        <v>26</v>
      </c>
      <c r="KE21" s="31" t="s">
        <v>26</v>
      </c>
      <c r="KF21" s="31" t="s">
        <v>26</v>
      </c>
      <c r="KG21" s="31" t="s">
        <v>26</v>
      </c>
      <c r="KH21" s="31" t="s">
        <v>26</v>
      </c>
      <c r="KI21" s="31" t="s">
        <v>26</v>
      </c>
      <c r="KJ21" s="31">
        <v>1.25</v>
      </c>
      <c r="KK21" s="31">
        <v>1.6</v>
      </c>
      <c r="KL21" s="31">
        <v>1.45</v>
      </c>
      <c r="KM21" s="31">
        <v>1.45</v>
      </c>
      <c r="KN21" s="31">
        <v>1.85</v>
      </c>
      <c r="KO21" s="31">
        <v>1.5</v>
      </c>
    </row>
    <row r="22" spans="1:301" x14ac:dyDescent="0.2">
      <c r="A22" s="36" t="s">
        <v>32</v>
      </c>
      <c r="B22" s="29" t="s">
        <v>22</v>
      </c>
      <c r="C22" s="38">
        <v>11.81</v>
      </c>
      <c r="D22" s="34">
        <v>23.42</v>
      </c>
      <c r="E22" s="34">
        <v>19.68</v>
      </c>
      <c r="F22" s="39">
        <v>7.87</v>
      </c>
      <c r="G22" s="40">
        <v>7.75</v>
      </c>
      <c r="H22" s="40">
        <v>11.63</v>
      </c>
      <c r="I22" s="34">
        <v>9.69</v>
      </c>
      <c r="J22" s="34">
        <v>23.62</v>
      </c>
      <c r="K22" s="34">
        <v>11.79</v>
      </c>
      <c r="L22" s="34">
        <v>9.82</v>
      </c>
      <c r="M22" s="34">
        <v>1.96</v>
      </c>
      <c r="N22" s="34">
        <v>3.93</v>
      </c>
      <c r="O22" s="34">
        <v>1.83</v>
      </c>
      <c r="P22" s="34">
        <v>1.65</v>
      </c>
      <c r="Q22" s="34">
        <v>1.68</v>
      </c>
      <c r="R22" s="34">
        <v>1.75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>
        <v>23.7</v>
      </c>
      <c r="AJ22" s="34">
        <v>21.8</v>
      </c>
      <c r="AK22" s="34">
        <v>27.7</v>
      </c>
      <c r="AL22" s="34">
        <v>19.8</v>
      </c>
      <c r="AM22" s="34">
        <v>5.9</v>
      </c>
      <c r="AN22" s="34">
        <v>5.9</v>
      </c>
      <c r="AO22" s="34">
        <v>3.7</v>
      </c>
      <c r="AP22" s="34">
        <v>3.7</v>
      </c>
      <c r="AQ22" s="34">
        <v>16</v>
      </c>
      <c r="AR22" s="34">
        <v>14</v>
      </c>
      <c r="AS22" s="34">
        <v>14</v>
      </c>
      <c r="AT22" s="34">
        <v>12</v>
      </c>
      <c r="AU22" s="34">
        <v>1.95</v>
      </c>
      <c r="AV22" s="34">
        <v>5.9</v>
      </c>
      <c r="AW22" s="34">
        <v>1.95</v>
      </c>
      <c r="AX22" s="34">
        <v>3.9</v>
      </c>
      <c r="AY22" s="34"/>
      <c r="AZ22" s="34"/>
      <c r="BA22" s="34"/>
      <c r="BB22" s="34"/>
      <c r="BC22" s="34">
        <v>29</v>
      </c>
      <c r="BD22" s="34">
        <v>23</v>
      </c>
      <c r="BE22" s="34">
        <v>27</v>
      </c>
      <c r="BF22" s="34">
        <v>35</v>
      </c>
      <c r="BG22" s="34">
        <v>18</v>
      </c>
      <c r="BH22" s="34">
        <v>14</v>
      </c>
      <c r="BI22" s="34">
        <v>31</v>
      </c>
      <c r="BJ22" s="34">
        <v>10</v>
      </c>
      <c r="BK22" s="34"/>
      <c r="BL22" s="34"/>
      <c r="BM22" s="34">
        <v>54</v>
      </c>
      <c r="BN22" s="34">
        <v>58</v>
      </c>
      <c r="BO22" s="34">
        <v>44</v>
      </c>
      <c r="BP22" s="34">
        <v>50</v>
      </c>
      <c r="BQ22" s="34">
        <v>58</v>
      </c>
      <c r="BR22" s="34">
        <v>12</v>
      </c>
      <c r="BS22" s="34">
        <v>16</v>
      </c>
      <c r="BT22" s="34">
        <v>18</v>
      </c>
      <c r="BU22" s="34">
        <v>8</v>
      </c>
      <c r="BV22" s="34">
        <v>16</v>
      </c>
      <c r="BW22" s="34">
        <v>14</v>
      </c>
      <c r="BX22" s="34">
        <v>6</v>
      </c>
      <c r="BY22" s="34">
        <v>58</v>
      </c>
      <c r="BZ22" s="34">
        <v>58</v>
      </c>
      <c r="CA22" s="34">
        <v>46</v>
      </c>
      <c r="CB22" s="34">
        <v>46</v>
      </c>
      <c r="CC22" s="34">
        <v>64</v>
      </c>
      <c r="CD22" s="34">
        <v>14</v>
      </c>
      <c r="CE22" s="34">
        <v>42</v>
      </c>
      <c r="CF22" s="34">
        <v>38</v>
      </c>
      <c r="CG22" s="34">
        <v>40</v>
      </c>
      <c r="CH22" s="34">
        <v>46</v>
      </c>
      <c r="CI22" s="34">
        <v>32</v>
      </c>
      <c r="CJ22" s="34">
        <v>12</v>
      </c>
      <c r="CK22" s="34">
        <v>21</v>
      </c>
      <c r="CL22" s="34">
        <v>21</v>
      </c>
      <c r="CM22" s="34">
        <v>107</v>
      </c>
      <c r="CN22" s="34">
        <v>32</v>
      </c>
      <c r="CO22" s="34">
        <v>19</v>
      </c>
      <c r="CP22" s="34">
        <v>4</v>
      </c>
      <c r="CQ22" s="34">
        <v>68</v>
      </c>
      <c r="CR22" s="34">
        <v>62</v>
      </c>
      <c r="CS22" s="34">
        <v>70</v>
      </c>
      <c r="CT22" s="34">
        <v>50</v>
      </c>
      <c r="CU22" s="34">
        <v>60</v>
      </c>
      <c r="CV22" s="34">
        <v>27</v>
      </c>
      <c r="CW22" s="31" t="s">
        <v>33</v>
      </c>
      <c r="CX22" s="31" t="s">
        <v>33</v>
      </c>
      <c r="CY22" s="31" t="s">
        <v>33</v>
      </c>
      <c r="CZ22" s="31" t="s">
        <v>33</v>
      </c>
      <c r="DA22" s="31" t="s">
        <v>33</v>
      </c>
      <c r="DB22" s="31" t="s">
        <v>33</v>
      </c>
      <c r="DC22" s="31" t="s">
        <v>33</v>
      </c>
      <c r="DD22" s="31" t="s">
        <v>33</v>
      </c>
      <c r="DE22" s="31" t="s">
        <v>33</v>
      </c>
      <c r="DF22" s="31" t="s">
        <v>33</v>
      </c>
      <c r="DG22" s="31" t="s">
        <v>33</v>
      </c>
      <c r="DH22" s="31" t="s">
        <v>33</v>
      </c>
      <c r="DI22" s="34">
        <v>74</v>
      </c>
      <c r="DJ22" s="34">
        <v>56</v>
      </c>
      <c r="DK22" s="34">
        <v>75</v>
      </c>
      <c r="DL22" s="34">
        <v>73</v>
      </c>
      <c r="DM22" s="34">
        <v>64</v>
      </c>
      <c r="DN22" s="34">
        <v>60</v>
      </c>
      <c r="DO22" s="34">
        <v>26</v>
      </c>
      <c r="DP22" s="37" t="s">
        <v>33</v>
      </c>
      <c r="DQ22" s="37">
        <v>35</v>
      </c>
      <c r="DR22" s="37" t="s">
        <v>33</v>
      </c>
      <c r="DS22" s="37" t="s">
        <v>33</v>
      </c>
      <c r="DT22" s="37" t="s">
        <v>33</v>
      </c>
      <c r="DU22" s="37" t="s">
        <v>33</v>
      </c>
      <c r="DV22" s="37" t="s">
        <v>33</v>
      </c>
      <c r="DW22" s="37" t="s">
        <v>33</v>
      </c>
      <c r="DX22" s="37" t="s">
        <v>33</v>
      </c>
      <c r="DY22" s="37" t="s">
        <v>33</v>
      </c>
      <c r="DZ22" s="37" t="s">
        <v>33</v>
      </c>
      <c r="EA22" s="34">
        <v>46</v>
      </c>
      <c r="EB22" s="34">
        <v>47</v>
      </c>
      <c r="EC22" s="34">
        <v>37</v>
      </c>
      <c r="ED22" s="34">
        <v>91</v>
      </c>
      <c r="EE22" s="34">
        <v>43</v>
      </c>
      <c r="EF22" s="37" t="s">
        <v>33</v>
      </c>
      <c r="EG22" s="37">
        <v>41</v>
      </c>
      <c r="EH22" s="37">
        <v>33</v>
      </c>
      <c r="EI22" s="37">
        <v>41</v>
      </c>
      <c r="EJ22" s="37">
        <v>31</v>
      </c>
      <c r="EK22" s="37">
        <v>27</v>
      </c>
      <c r="EL22" s="37" t="s">
        <v>33</v>
      </c>
      <c r="EM22" s="37" t="s">
        <v>33</v>
      </c>
      <c r="EN22" s="37" t="s">
        <v>33</v>
      </c>
      <c r="EO22" s="37" t="s">
        <v>33</v>
      </c>
      <c r="EP22" s="37" t="s">
        <v>33</v>
      </c>
      <c r="EQ22" s="37" t="s">
        <v>33</v>
      </c>
      <c r="ER22" s="37" t="s">
        <v>33</v>
      </c>
      <c r="ES22" s="37">
        <v>34</v>
      </c>
      <c r="ET22" s="37">
        <v>36</v>
      </c>
      <c r="EU22" s="37">
        <v>32</v>
      </c>
      <c r="EV22" s="37">
        <v>45</v>
      </c>
      <c r="EW22" s="37">
        <v>29</v>
      </c>
      <c r="EX22" s="37" t="s">
        <v>33</v>
      </c>
      <c r="EY22" s="41">
        <v>40</v>
      </c>
      <c r="EZ22" s="41">
        <v>44</v>
      </c>
      <c r="FA22" s="37">
        <v>26</v>
      </c>
      <c r="FB22" s="37">
        <v>37</v>
      </c>
      <c r="FC22" s="37">
        <v>32</v>
      </c>
      <c r="FD22" s="37" t="s">
        <v>33</v>
      </c>
      <c r="FE22" s="37" t="s">
        <v>33</v>
      </c>
      <c r="FF22" s="37" t="s">
        <v>33</v>
      </c>
      <c r="FG22" s="37" t="s">
        <v>33</v>
      </c>
      <c r="FH22" s="37" t="s">
        <v>33</v>
      </c>
      <c r="FI22" s="37" t="s">
        <v>33</v>
      </c>
      <c r="FJ22" s="37" t="s">
        <v>33</v>
      </c>
      <c r="FK22" s="37">
        <v>50</v>
      </c>
      <c r="FL22" s="37">
        <v>32</v>
      </c>
      <c r="FM22" s="37" t="s">
        <v>33</v>
      </c>
      <c r="FN22" s="37" t="s">
        <v>33</v>
      </c>
      <c r="FO22" s="37" t="s">
        <v>33</v>
      </c>
      <c r="FP22" s="37"/>
      <c r="FQ22" s="37">
        <v>30</v>
      </c>
      <c r="FR22" s="37">
        <v>37</v>
      </c>
      <c r="FS22" s="37" t="s">
        <v>33</v>
      </c>
      <c r="FT22" s="37" t="s">
        <v>33</v>
      </c>
      <c r="FU22" s="37" t="s">
        <v>33</v>
      </c>
      <c r="FV22" s="37"/>
      <c r="FW22" s="37">
        <v>40</v>
      </c>
      <c r="FX22" s="37">
        <v>36</v>
      </c>
      <c r="FY22" s="37">
        <v>37</v>
      </c>
      <c r="FZ22" s="37">
        <v>27</v>
      </c>
      <c r="GA22" s="37">
        <v>26</v>
      </c>
      <c r="GB22" s="37" t="s">
        <v>33</v>
      </c>
      <c r="GC22" s="37">
        <v>31</v>
      </c>
      <c r="GD22" s="37" t="s">
        <v>33</v>
      </c>
      <c r="GE22" s="37">
        <v>30</v>
      </c>
      <c r="GF22" s="37" t="s">
        <v>33</v>
      </c>
      <c r="GG22" s="37">
        <v>27</v>
      </c>
      <c r="GH22" s="37" t="s">
        <v>33</v>
      </c>
      <c r="GI22" s="37">
        <v>53</v>
      </c>
      <c r="GJ22" s="37">
        <v>45</v>
      </c>
      <c r="GK22" s="37">
        <v>21</v>
      </c>
      <c r="GL22" s="37">
        <v>29</v>
      </c>
      <c r="GM22" s="37">
        <v>27</v>
      </c>
      <c r="GN22" s="37">
        <v>46</v>
      </c>
      <c r="GO22" s="37">
        <v>78</v>
      </c>
      <c r="GP22" s="37">
        <v>50</v>
      </c>
      <c r="GQ22" s="37">
        <v>55</v>
      </c>
      <c r="GR22" s="37">
        <v>59</v>
      </c>
      <c r="GS22" s="37">
        <v>31</v>
      </c>
      <c r="GT22" s="37" t="s">
        <v>33</v>
      </c>
      <c r="GU22" s="37">
        <v>34</v>
      </c>
      <c r="GV22" s="37">
        <v>31</v>
      </c>
      <c r="GW22" s="37">
        <v>31</v>
      </c>
      <c r="GX22" s="37">
        <v>33</v>
      </c>
      <c r="GY22" s="37">
        <v>41</v>
      </c>
      <c r="GZ22" s="37">
        <v>35</v>
      </c>
      <c r="HA22" s="31" t="s">
        <v>33</v>
      </c>
      <c r="HB22" s="31" t="s">
        <v>33</v>
      </c>
      <c r="HC22" s="31" t="s">
        <v>33</v>
      </c>
      <c r="HD22" s="31" t="s">
        <v>33</v>
      </c>
      <c r="HE22" s="31" t="s">
        <v>33</v>
      </c>
      <c r="HF22" s="31" t="s">
        <v>33</v>
      </c>
      <c r="HG22" s="31" t="s">
        <v>33</v>
      </c>
      <c r="HH22" s="31" t="s">
        <v>33</v>
      </c>
      <c r="HI22" s="31">
        <v>27</v>
      </c>
      <c r="HJ22" s="31" t="s">
        <v>33</v>
      </c>
      <c r="HK22" s="31" t="s">
        <v>33</v>
      </c>
      <c r="HL22" s="31" t="s">
        <v>33</v>
      </c>
      <c r="HM22" s="31">
        <v>35</v>
      </c>
      <c r="HN22" s="31">
        <v>28</v>
      </c>
      <c r="HO22" s="31" t="s">
        <v>33</v>
      </c>
      <c r="HP22" s="31" t="s">
        <v>33</v>
      </c>
      <c r="HQ22" s="31">
        <v>29</v>
      </c>
      <c r="HR22" s="31" t="s">
        <v>33</v>
      </c>
      <c r="HS22" s="31">
        <v>79</v>
      </c>
      <c r="HT22" s="31">
        <v>72</v>
      </c>
      <c r="HU22" s="31">
        <v>74</v>
      </c>
      <c r="HV22" s="31">
        <v>90</v>
      </c>
      <c r="HW22" s="31">
        <v>79</v>
      </c>
      <c r="HX22" s="31" t="s">
        <v>33</v>
      </c>
      <c r="HY22" s="31" t="s">
        <v>33</v>
      </c>
      <c r="HZ22" s="31" t="s">
        <v>33</v>
      </c>
      <c r="IA22" s="31" t="s">
        <v>33</v>
      </c>
      <c r="IB22" s="31" t="s">
        <v>33</v>
      </c>
      <c r="IC22" s="31" t="s">
        <v>33</v>
      </c>
      <c r="ID22" s="31" t="s">
        <v>33</v>
      </c>
      <c r="IE22" s="31">
        <v>26</v>
      </c>
      <c r="IF22" s="31">
        <v>25</v>
      </c>
      <c r="IG22" s="31" t="s">
        <v>33</v>
      </c>
      <c r="IH22" s="31" t="s">
        <v>33</v>
      </c>
      <c r="II22" s="31" t="s">
        <v>33</v>
      </c>
      <c r="IJ22" s="31" t="s">
        <v>33</v>
      </c>
      <c r="IK22" s="31" t="s">
        <v>33</v>
      </c>
      <c r="IL22" s="31" t="s">
        <v>33</v>
      </c>
      <c r="IM22" s="31" t="s">
        <v>33</v>
      </c>
      <c r="IN22" s="31" t="s">
        <v>33</v>
      </c>
      <c r="IO22" s="31" t="s">
        <v>33</v>
      </c>
      <c r="IP22" s="31">
        <v>64</v>
      </c>
      <c r="IQ22" s="31">
        <v>69</v>
      </c>
      <c r="IR22" s="31">
        <v>64</v>
      </c>
      <c r="IS22" s="31">
        <v>64</v>
      </c>
      <c r="IT22" s="31" t="s">
        <v>33</v>
      </c>
      <c r="IU22" s="31">
        <v>69</v>
      </c>
      <c r="IV22" s="31" t="s">
        <v>33</v>
      </c>
      <c r="IW22" s="31" t="s">
        <v>33</v>
      </c>
      <c r="IX22" s="31" t="s">
        <v>33</v>
      </c>
      <c r="IY22" s="31" t="s">
        <v>33</v>
      </c>
      <c r="IZ22" s="31" t="s">
        <v>33</v>
      </c>
      <c r="JA22" s="31" t="s">
        <v>33</v>
      </c>
      <c r="JB22" s="31">
        <v>59</v>
      </c>
      <c r="JC22" s="31">
        <v>40</v>
      </c>
      <c r="JD22" s="31">
        <v>58</v>
      </c>
      <c r="JE22" s="31">
        <v>62</v>
      </c>
      <c r="JF22" s="31">
        <v>51</v>
      </c>
      <c r="JG22" s="31" t="s">
        <v>33</v>
      </c>
      <c r="JH22" s="31" t="s">
        <v>33</v>
      </c>
      <c r="JI22" s="34">
        <v>25</v>
      </c>
      <c r="JJ22" s="34">
        <v>28</v>
      </c>
      <c r="JK22" s="34">
        <v>23</v>
      </c>
      <c r="JL22" s="34">
        <v>35</v>
      </c>
      <c r="JM22" s="31" t="s">
        <v>33</v>
      </c>
      <c r="JN22" s="31">
        <v>30</v>
      </c>
      <c r="JO22" s="31">
        <v>33</v>
      </c>
      <c r="JP22" s="31">
        <v>72</v>
      </c>
      <c r="JQ22" s="31">
        <v>28</v>
      </c>
      <c r="JR22" s="31">
        <v>11</v>
      </c>
      <c r="JS22" s="31">
        <v>31</v>
      </c>
      <c r="JT22" s="31">
        <v>25</v>
      </c>
      <c r="JU22" s="31">
        <v>25</v>
      </c>
      <c r="JV22" s="31">
        <v>28</v>
      </c>
      <c r="JW22" s="31">
        <v>23</v>
      </c>
      <c r="JX22" s="31">
        <v>35</v>
      </c>
      <c r="JY22" s="31">
        <v>25</v>
      </c>
      <c r="JZ22" s="31" t="s">
        <v>33</v>
      </c>
      <c r="KA22" s="31" t="s">
        <v>33</v>
      </c>
      <c r="KB22" s="31" t="s">
        <v>33</v>
      </c>
      <c r="KC22" s="31" t="s">
        <v>33</v>
      </c>
      <c r="KD22" s="31" t="s">
        <v>33</v>
      </c>
      <c r="KE22" s="31" t="s">
        <v>33</v>
      </c>
      <c r="KF22" s="31">
        <v>65</v>
      </c>
      <c r="KG22" s="31">
        <v>61</v>
      </c>
      <c r="KH22" s="31">
        <v>56</v>
      </c>
      <c r="KI22" s="31">
        <v>47</v>
      </c>
      <c r="KJ22" s="31">
        <v>40</v>
      </c>
      <c r="KK22" s="31">
        <v>38</v>
      </c>
      <c r="KL22" s="31">
        <v>48</v>
      </c>
      <c r="KM22" s="31">
        <v>91</v>
      </c>
      <c r="KN22" s="31">
        <v>60</v>
      </c>
      <c r="KO22" s="31">
        <v>57</v>
      </c>
    </row>
    <row r="23" spans="1:301" x14ac:dyDescent="0.2">
      <c r="A23" s="28" t="s">
        <v>34</v>
      </c>
      <c r="B23" s="29" t="s">
        <v>16</v>
      </c>
      <c r="C23" s="30">
        <v>142</v>
      </c>
      <c r="D23" s="31">
        <v>144</v>
      </c>
      <c r="E23" s="31">
        <v>149</v>
      </c>
      <c r="F23" s="32">
        <v>154</v>
      </c>
      <c r="G23" s="33">
        <v>141</v>
      </c>
      <c r="H23" s="33">
        <v>149</v>
      </c>
      <c r="I23" s="31">
        <v>143</v>
      </c>
      <c r="J23" s="31">
        <v>163</v>
      </c>
      <c r="K23" s="31">
        <v>170</v>
      </c>
      <c r="L23" s="31">
        <v>210</v>
      </c>
      <c r="M23" s="31">
        <v>240</v>
      </c>
      <c r="N23" s="31">
        <v>253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4"/>
      <c r="BD23" s="34"/>
      <c r="BE23" s="31"/>
      <c r="BF23" s="31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</row>
    <row r="24" spans="1:301" x14ac:dyDescent="0.2">
      <c r="A24" s="28" t="s">
        <v>35</v>
      </c>
      <c r="B24" s="29" t="s">
        <v>16</v>
      </c>
      <c r="C24" s="30">
        <v>82</v>
      </c>
      <c r="D24" s="31">
        <v>91</v>
      </c>
      <c r="E24" s="31">
        <v>92</v>
      </c>
      <c r="F24" s="32">
        <v>100</v>
      </c>
      <c r="G24" s="33">
        <v>99</v>
      </c>
      <c r="H24" s="33">
        <v>102</v>
      </c>
      <c r="I24" s="31">
        <v>107</v>
      </c>
      <c r="J24" s="31">
        <v>117</v>
      </c>
      <c r="K24" s="31">
        <v>133</v>
      </c>
      <c r="L24" s="31">
        <v>144</v>
      </c>
      <c r="M24" s="31">
        <v>162</v>
      </c>
      <c r="N24" s="31">
        <v>166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4"/>
      <c r="BD24" s="34"/>
      <c r="BE24" s="31"/>
      <c r="BF24" s="31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</row>
    <row r="25" spans="1:301" x14ac:dyDescent="0.2">
      <c r="A25" s="42" t="s">
        <v>36</v>
      </c>
      <c r="B25" s="29" t="s">
        <v>16</v>
      </c>
      <c r="C25" s="38"/>
      <c r="D25" s="34"/>
      <c r="E25" s="34"/>
      <c r="F25" s="39"/>
      <c r="G25" s="40"/>
      <c r="H25" s="40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  <c r="GV25" s="34"/>
      <c r="GW25" s="34"/>
      <c r="GX25" s="34"/>
      <c r="GY25" s="34"/>
      <c r="GZ25" s="34"/>
      <c r="HA25" s="34"/>
      <c r="HB25" s="34"/>
      <c r="HC25" s="34"/>
      <c r="HD25" s="34"/>
      <c r="HE25" s="34"/>
      <c r="HF25" s="34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4"/>
      <c r="JI25" s="34"/>
      <c r="JJ25" s="34"/>
      <c r="JK25" s="34"/>
      <c r="JL25" s="34"/>
      <c r="JM25" s="34"/>
      <c r="JN25" s="34"/>
      <c r="JO25" s="34"/>
      <c r="JP25" s="34"/>
      <c r="JQ25" s="34"/>
      <c r="JR25" s="34"/>
      <c r="JS25" s="34"/>
      <c r="JT25" s="34"/>
      <c r="JU25" s="34"/>
      <c r="JV25" s="34"/>
      <c r="JW25" s="34"/>
      <c r="JX25" s="34"/>
      <c r="JY25" s="34"/>
      <c r="JZ25" s="34"/>
      <c r="KA25" s="34"/>
      <c r="KB25" s="34"/>
      <c r="KC25" s="34"/>
      <c r="KD25" s="34"/>
      <c r="KE25" s="34"/>
      <c r="KF25" s="34"/>
      <c r="KG25" s="34"/>
      <c r="KH25" s="34"/>
      <c r="KI25" s="34"/>
      <c r="KJ25" s="34"/>
      <c r="KK25" s="34"/>
      <c r="KL25" s="34"/>
      <c r="KM25" s="34"/>
      <c r="KN25" s="34"/>
      <c r="KO25" s="34"/>
    </row>
    <row r="26" spans="1:301" x14ac:dyDescent="0.2">
      <c r="A26" s="28" t="s">
        <v>37</v>
      </c>
      <c r="B26" s="29" t="s">
        <v>16</v>
      </c>
      <c r="C26" s="38"/>
      <c r="D26" s="34"/>
      <c r="E26" s="34"/>
      <c r="F26" s="39"/>
      <c r="G26" s="40"/>
      <c r="H26" s="40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4"/>
      <c r="JI26" s="34"/>
      <c r="JJ26" s="34"/>
      <c r="JK26" s="34"/>
      <c r="JL26" s="34"/>
      <c r="JM26" s="34"/>
      <c r="JN26" s="34"/>
      <c r="JO26" s="34"/>
      <c r="JP26" s="34"/>
      <c r="JQ26" s="34"/>
      <c r="JR26" s="34"/>
      <c r="JS26" s="34"/>
      <c r="JT26" s="34"/>
      <c r="JU26" s="34"/>
      <c r="JV26" s="34"/>
      <c r="JW26" s="34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</row>
    <row r="27" spans="1:301" x14ac:dyDescent="0.2">
      <c r="A27" s="28" t="s">
        <v>38</v>
      </c>
      <c r="B27" s="29" t="s">
        <v>16</v>
      </c>
      <c r="C27" s="38"/>
      <c r="D27" s="34"/>
      <c r="E27" s="34"/>
      <c r="F27" s="39"/>
      <c r="G27" s="40"/>
      <c r="H27" s="40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4"/>
      <c r="JI27" s="34"/>
      <c r="JJ27" s="34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4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</row>
    <row r="28" spans="1:301" x14ac:dyDescent="0.2">
      <c r="A28" s="36" t="s">
        <v>39</v>
      </c>
      <c r="B28" s="29" t="s">
        <v>22</v>
      </c>
      <c r="C28" s="38">
        <v>7.0000000000000007E-2</v>
      </c>
      <c r="D28" s="34">
        <v>0.22</v>
      </c>
      <c r="E28" s="34">
        <v>0.21</v>
      </c>
      <c r="F28" s="39">
        <v>0.05</v>
      </c>
      <c r="G28" s="40">
        <v>0.03</v>
      </c>
      <c r="H28" s="40">
        <v>0.05</v>
      </c>
      <c r="I28" s="34">
        <v>0.03</v>
      </c>
      <c r="J28" s="34">
        <v>0.02</v>
      </c>
      <c r="K28" s="34">
        <v>0.02</v>
      </c>
      <c r="L28" s="34">
        <v>0.04</v>
      </c>
      <c r="M28" s="34">
        <v>0.05</v>
      </c>
      <c r="N28" s="34">
        <v>0.09</v>
      </c>
      <c r="O28" s="34">
        <v>0.64</v>
      </c>
      <c r="P28" s="34">
        <v>0.9</v>
      </c>
      <c r="Q28" s="34">
        <v>0.91</v>
      </c>
      <c r="R28" s="34">
        <v>1.17</v>
      </c>
      <c r="S28" s="34">
        <v>0.03</v>
      </c>
      <c r="T28" s="34">
        <v>0</v>
      </c>
      <c r="U28" s="34">
        <v>0.04</v>
      </c>
      <c r="V28" s="34">
        <v>0.03</v>
      </c>
      <c r="W28" s="34">
        <v>0.09</v>
      </c>
      <c r="X28" s="34">
        <v>0.47</v>
      </c>
      <c r="Y28" s="34"/>
      <c r="Z28" s="34"/>
      <c r="AA28" s="34"/>
      <c r="AB28" s="34"/>
      <c r="AC28" s="34"/>
      <c r="AD28" s="34"/>
      <c r="AE28" s="34">
        <v>0.05</v>
      </c>
      <c r="AF28" s="34">
        <v>0.06</v>
      </c>
      <c r="AG28" s="34"/>
      <c r="AH28" s="34"/>
      <c r="AI28" s="34">
        <v>7.0000000000000007E-2</v>
      </c>
      <c r="AJ28" s="34">
        <v>0.08</v>
      </c>
      <c r="AK28" s="34">
        <v>0.05</v>
      </c>
      <c r="AL28" s="34">
        <v>0.04</v>
      </c>
      <c r="AM28" s="34">
        <v>0.04</v>
      </c>
      <c r="AN28" s="34">
        <v>0.04</v>
      </c>
      <c r="AO28" s="34">
        <v>0.05</v>
      </c>
      <c r="AP28" s="34">
        <v>0.05</v>
      </c>
      <c r="AQ28" s="34">
        <v>7.0000000000000007E-2</v>
      </c>
      <c r="AR28" s="34">
        <v>0.05</v>
      </c>
      <c r="AS28" s="34">
        <v>0.05</v>
      </c>
      <c r="AT28" s="34">
        <v>0.04</v>
      </c>
      <c r="AU28" s="34">
        <v>0.05</v>
      </c>
      <c r="AV28" s="34">
        <v>0.05</v>
      </c>
      <c r="AW28" s="34">
        <v>0.06</v>
      </c>
      <c r="AX28" s="34">
        <v>0.02</v>
      </c>
      <c r="AY28" s="34"/>
      <c r="AZ28" s="34"/>
      <c r="BA28" s="34"/>
      <c r="BB28" s="34"/>
      <c r="BC28" s="34">
        <v>0.22</v>
      </c>
      <c r="BD28" s="34">
        <v>0.25</v>
      </c>
      <c r="BE28" s="34">
        <v>0.25</v>
      </c>
      <c r="BF28" s="34">
        <v>0.27</v>
      </c>
      <c r="BG28" s="34">
        <v>0.03</v>
      </c>
      <c r="BH28" s="34">
        <v>0.03</v>
      </c>
      <c r="BI28" s="34">
        <v>0.03</v>
      </c>
      <c r="BJ28" s="34">
        <v>0.03</v>
      </c>
      <c r="BK28" s="34"/>
      <c r="BL28" s="34"/>
      <c r="BM28" s="34">
        <v>0.13</v>
      </c>
      <c r="BN28" s="34">
        <v>0.12</v>
      </c>
      <c r="BO28" s="34">
        <v>0.12</v>
      </c>
      <c r="BP28" s="34">
        <v>0.19</v>
      </c>
      <c r="BQ28" s="34">
        <v>0.1</v>
      </c>
      <c r="BR28" s="34">
        <v>7.0000000000000007E-2</v>
      </c>
      <c r="BS28" s="34"/>
      <c r="BT28" s="34"/>
      <c r="BU28" s="34"/>
      <c r="BV28" s="34"/>
      <c r="BW28" s="34"/>
      <c r="BX28" s="34"/>
      <c r="BY28" s="34">
        <v>0.3</v>
      </c>
      <c r="BZ28" s="34">
        <v>23</v>
      </c>
      <c r="CA28" s="34">
        <v>0.14000000000000001</v>
      </c>
      <c r="CB28" s="34">
        <v>0.27</v>
      </c>
      <c r="CC28" s="34">
        <v>0.28999999999999998</v>
      </c>
      <c r="CD28" s="34">
        <v>0.06</v>
      </c>
      <c r="CE28" s="34"/>
      <c r="CF28" s="34"/>
      <c r="CG28" s="34"/>
      <c r="CH28" s="34"/>
      <c r="CI28" s="34"/>
      <c r="CJ28" s="34"/>
      <c r="CK28" s="34">
        <v>0.03</v>
      </c>
      <c r="CL28" s="34">
        <v>0.05</v>
      </c>
      <c r="CM28" s="34">
        <v>0.69</v>
      </c>
      <c r="CN28" s="34">
        <v>0.12</v>
      </c>
      <c r="CO28" s="34">
        <v>7.0000000000000007E-2</v>
      </c>
      <c r="CP28" s="31" t="s">
        <v>40</v>
      </c>
      <c r="CQ28" s="34"/>
      <c r="CR28" s="34"/>
      <c r="CS28" s="34"/>
      <c r="CT28" s="34"/>
      <c r="CU28" s="34"/>
      <c r="CV28" s="34"/>
      <c r="CW28" s="34">
        <v>0.03</v>
      </c>
      <c r="CX28" s="31" t="s">
        <v>41</v>
      </c>
      <c r="CY28" s="34">
        <v>0.05</v>
      </c>
      <c r="CZ28" s="31" t="s">
        <v>41</v>
      </c>
      <c r="DA28" s="31" t="s">
        <v>41</v>
      </c>
      <c r="DB28" s="31" t="s">
        <v>41</v>
      </c>
      <c r="DC28" s="34"/>
      <c r="DD28" s="34"/>
      <c r="DE28" s="34"/>
      <c r="DF28" s="34"/>
      <c r="DG28" s="34"/>
      <c r="DH28" s="34"/>
      <c r="DI28" s="34">
        <v>0.38</v>
      </c>
      <c r="DJ28" s="34">
        <v>0.35</v>
      </c>
      <c r="DK28" s="34">
        <v>0.42</v>
      </c>
      <c r="DL28" s="34">
        <v>0.41</v>
      </c>
      <c r="DM28" s="34">
        <v>0.4</v>
      </c>
      <c r="DN28" s="31" t="s">
        <v>41</v>
      </c>
      <c r="DO28" s="34"/>
      <c r="DP28" s="34"/>
      <c r="DQ28" s="34"/>
      <c r="DR28" s="34"/>
      <c r="DS28" s="34"/>
      <c r="DT28" s="34"/>
      <c r="DU28" s="31" t="s">
        <v>41</v>
      </c>
      <c r="DV28" s="31" t="s">
        <v>41</v>
      </c>
      <c r="DW28" s="31" t="s">
        <v>41</v>
      </c>
      <c r="DX28" s="31" t="s">
        <v>41</v>
      </c>
      <c r="DY28" s="34">
        <v>0.03</v>
      </c>
      <c r="DZ28" s="31" t="s">
        <v>41</v>
      </c>
      <c r="EA28" s="34"/>
      <c r="EB28" s="34"/>
      <c r="EC28" s="34"/>
      <c r="ED28" s="34"/>
      <c r="EE28" s="34"/>
      <c r="EF28" s="34"/>
      <c r="EG28" s="37">
        <v>0.1</v>
      </c>
      <c r="EH28" s="37">
        <v>0.1</v>
      </c>
      <c r="EI28" s="37">
        <v>0.1</v>
      </c>
      <c r="EJ28" s="37">
        <v>0.18</v>
      </c>
      <c r="EK28" s="37">
        <v>0.1</v>
      </c>
      <c r="EL28" s="37">
        <v>0.05</v>
      </c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>
        <v>0.13</v>
      </c>
      <c r="EZ28" s="37">
        <v>0.12</v>
      </c>
      <c r="FA28" s="37">
        <v>0.23</v>
      </c>
      <c r="FB28" s="37">
        <v>0.28999999999999998</v>
      </c>
      <c r="FC28" s="37">
        <v>0.14000000000000001</v>
      </c>
      <c r="FD28" s="43" t="s">
        <v>24</v>
      </c>
      <c r="FE28" s="37"/>
      <c r="FF28" s="37"/>
      <c r="FG28" s="37"/>
      <c r="FH28" s="37"/>
      <c r="FI28" s="37"/>
      <c r="FJ28" s="37"/>
      <c r="FK28" s="37" t="s">
        <v>24</v>
      </c>
      <c r="FL28" s="37" t="s">
        <v>24</v>
      </c>
      <c r="FM28" s="37" t="s">
        <v>24</v>
      </c>
      <c r="FN28" s="37" t="s">
        <v>24</v>
      </c>
      <c r="FO28" s="37" t="s">
        <v>24</v>
      </c>
      <c r="FP28" s="37"/>
      <c r="FQ28" s="37"/>
      <c r="FR28" s="37"/>
      <c r="FS28" s="37"/>
      <c r="FT28" s="37"/>
      <c r="FU28" s="37"/>
      <c r="FV28" s="37"/>
      <c r="FW28" s="37">
        <v>0.1</v>
      </c>
      <c r="FX28" s="37" t="s">
        <v>24</v>
      </c>
      <c r="FY28" s="37" t="s">
        <v>24</v>
      </c>
      <c r="FZ28" s="37">
        <v>0.11</v>
      </c>
      <c r="GA28" s="37" t="s">
        <v>24</v>
      </c>
      <c r="GB28" s="31" t="s">
        <v>24</v>
      </c>
      <c r="GC28" s="37"/>
      <c r="GD28" s="37"/>
      <c r="GE28" s="37"/>
      <c r="GF28" s="37"/>
      <c r="GG28" s="37"/>
      <c r="GH28" s="37"/>
      <c r="GI28" s="37">
        <v>0.1</v>
      </c>
      <c r="GJ28" s="37">
        <v>0.1</v>
      </c>
      <c r="GK28" s="37">
        <v>0.17</v>
      </c>
      <c r="GL28" s="37" t="s">
        <v>24</v>
      </c>
      <c r="GM28" s="37">
        <v>0.1</v>
      </c>
      <c r="GN28" s="37" t="s">
        <v>24</v>
      </c>
      <c r="GO28" s="37"/>
      <c r="GP28" s="37"/>
      <c r="GQ28" s="37"/>
      <c r="GR28" s="37"/>
      <c r="GS28" s="37"/>
      <c r="GT28" s="37"/>
      <c r="GU28" s="37">
        <v>0.28999999999999998</v>
      </c>
      <c r="GV28" s="37" t="s">
        <v>24</v>
      </c>
      <c r="GW28" s="37" t="s">
        <v>24</v>
      </c>
      <c r="GX28" s="37" t="s">
        <v>24</v>
      </c>
      <c r="GY28" s="37" t="s">
        <v>24</v>
      </c>
      <c r="GZ28" s="37" t="s">
        <v>24</v>
      </c>
      <c r="HA28" s="37"/>
      <c r="HB28" s="37"/>
      <c r="HC28" s="37"/>
      <c r="HD28" s="37"/>
      <c r="HE28" s="37"/>
      <c r="HF28" s="37"/>
      <c r="HG28" s="31" t="s">
        <v>24</v>
      </c>
      <c r="HH28" s="31" t="s">
        <v>24</v>
      </c>
      <c r="HI28" s="31" t="s">
        <v>24</v>
      </c>
      <c r="HJ28" s="31" t="s">
        <v>24</v>
      </c>
      <c r="HK28" s="31">
        <v>0.1</v>
      </c>
      <c r="HL28" s="31" t="s">
        <v>24</v>
      </c>
      <c r="HM28" s="31" t="s">
        <v>24</v>
      </c>
      <c r="HN28" s="31" t="s">
        <v>24</v>
      </c>
      <c r="HO28" s="31">
        <v>0.1</v>
      </c>
      <c r="HP28" s="31" t="s">
        <v>24</v>
      </c>
      <c r="HQ28" s="31" t="s">
        <v>24</v>
      </c>
      <c r="HR28" s="31">
        <v>0.1</v>
      </c>
      <c r="HS28" s="31">
        <v>0.3</v>
      </c>
      <c r="HT28" s="31">
        <v>0.33</v>
      </c>
      <c r="HU28" s="31">
        <v>0.35</v>
      </c>
      <c r="HV28" s="31">
        <v>0.39</v>
      </c>
      <c r="HW28" s="31">
        <v>0.32</v>
      </c>
      <c r="HX28" s="31" t="s">
        <v>24</v>
      </c>
      <c r="HY28" s="31"/>
      <c r="HZ28" s="31"/>
      <c r="IA28" s="31"/>
      <c r="IB28" s="31"/>
      <c r="IC28" s="31"/>
      <c r="ID28" s="31"/>
      <c r="IE28" s="31" t="s">
        <v>24</v>
      </c>
      <c r="IF28" s="31" t="s">
        <v>24</v>
      </c>
      <c r="IG28" s="31" t="s">
        <v>24</v>
      </c>
      <c r="IH28" s="31">
        <v>0.11</v>
      </c>
      <c r="II28" s="31" t="s">
        <v>24</v>
      </c>
      <c r="IJ28" s="31" t="s">
        <v>24</v>
      </c>
      <c r="IK28" s="31"/>
      <c r="IL28" s="31"/>
      <c r="IM28" s="31"/>
      <c r="IN28" s="31"/>
      <c r="IO28" s="31"/>
      <c r="IP28" s="31">
        <v>0.31</v>
      </c>
      <c r="IQ28" s="31">
        <v>0.26</v>
      </c>
      <c r="IR28" s="31">
        <v>0.27</v>
      </c>
      <c r="IS28" s="31">
        <v>0.3</v>
      </c>
      <c r="IT28" s="31" t="s">
        <v>24</v>
      </c>
      <c r="IU28" s="31">
        <v>0.27</v>
      </c>
      <c r="IV28" s="31"/>
      <c r="IW28" s="31"/>
      <c r="IX28" s="31"/>
      <c r="IY28" s="31"/>
      <c r="IZ28" s="31"/>
      <c r="JA28" s="31"/>
      <c r="JB28" s="31" t="s">
        <v>24</v>
      </c>
      <c r="JC28" s="31" t="s">
        <v>24</v>
      </c>
      <c r="JD28" s="31" t="s">
        <v>24</v>
      </c>
      <c r="JE28" s="31" t="s">
        <v>24</v>
      </c>
      <c r="JF28" s="31" t="s">
        <v>24</v>
      </c>
      <c r="JG28" s="31" t="s">
        <v>24</v>
      </c>
      <c r="JH28" s="31" t="s">
        <v>24</v>
      </c>
      <c r="JI28" s="31" t="s">
        <v>24</v>
      </c>
      <c r="JJ28" s="31" t="s">
        <v>24</v>
      </c>
      <c r="JK28" s="31" t="s">
        <v>24</v>
      </c>
      <c r="JL28" s="34">
        <v>0.11</v>
      </c>
      <c r="JM28" s="31" t="s">
        <v>24</v>
      </c>
      <c r="JN28" s="31"/>
      <c r="JO28" s="31"/>
      <c r="JP28" s="31"/>
      <c r="JQ28" s="31"/>
      <c r="JR28" s="31"/>
      <c r="JS28" s="31"/>
      <c r="JT28" s="31" t="s">
        <v>24</v>
      </c>
      <c r="JU28" s="31" t="s">
        <v>24</v>
      </c>
      <c r="JV28" s="31" t="s">
        <v>24</v>
      </c>
      <c r="JW28" s="31" t="s">
        <v>24</v>
      </c>
      <c r="JX28" s="31">
        <v>0.11</v>
      </c>
      <c r="JY28" s="31" t="s">
        <v>24</v>
      </c>
      <c r="JZ28" s="31"/>
      <c r="KA28" s="31"/>
      <c r="KB28" s="31"/>
      <c r="KC28" s="31"/>
      <c r="KD28" s="31"/>
      <c r="KE28" s="31"/>
      <c r="KF28" s="31" t="s">
        <v>24</v>
      </c>
      <c r="KG28" s="31" t="s">
        <v>24</v>
      </c>
      <c r="KH28" s="31" t="s">
        <v>24</v>
      </c>
      <c r="KI28" s="31" t="s">
        <v>24</v>
      </c>
      <c r="KJ28" s="31" t="s">
        <v>107</v>
      </c>
      <c r="KK28" s="31" t="s">
        <v>107</v>
      </c>
      <c r="KL28" s="31" t="s">
        <v>107</v>
      </c>
      <c r="KM28" s="31" t="s">
        <v>107</v>
      </c>
      <c r="KN28" s="31" t="s">
        <v>107</v>
      </c>
      <c r="KO28" s="31" t="s">
        <v>107</v>
      </c>
    </row>
    <row r="29" spans="1:301" x14ac:dyDescent="0.2">
      <c r="A29" s="36" t="s">
        <v>42</v>
      </c>
      <c r="B29" s="29" t="s">
        <v>43</v>
      </c>
      <c r="C29" s="44"/>
      <c r="D29" s="45"/>
      <c r="E29" s="45"/>
      <c r="F29" s="46"/>
      <c r="G29" s="47"/>
      <c r="H29" s="47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34">
        <v>1.0999999999999999E-2</v>
      </c>
      <c r="AZ29" s="45" t="s">
        <v>44</v>
      </c>
      <c r="BA29" s="45" t="s">
        <v>40</v>
      </c>
      <c r="BB29" s="45" t="s">
        <v>40</v>
      </c>
      <c r="BC29" s="34"/>
      <c r="BD29" s="34"/>
      <c r="BE29" s="34"/>
      <c r="BF29" s="34"/>
      <c r="BG29" s="31" t="s">
        <v>40</v>
      </c>
      <c r="BH29" s="34">
        <v>0.03</v>
      </c>
      <c r="BI29" s="34">
        <v>0.01</v>
      </c>
      <c r="BJ29" s="34">
        <v>0.01</v>
      </c>
      <c r="BK29" s="34"/>
      <c r="BL29" s="34"/>
      <c r="BM29" s="34">
        <v>0.08</v>
      </c>
      <c r="BN29" s="34">
        <v>0.05</v>
      </c>
      <c r="BO29" s="34">
        <v>0.04</v>
      </c>
      <c r="BP29" s="34">
        <v>7.0000000000000007E-2</v>
      </c>
      <c r="BQ29" s="34">
        <v>0.05</v>
      </c>
      <c r="BR29" s="34">
        <v>0.03</v>
      </c>
      <c r="BS29" s="34"/>
      <c r="BT29" s="34"/>
      <c r="BU29" s="34"/>
      <c r="BV29" s="34"/>
      <c r="BW29" s="34"/>
      <c r="BX29" s="34"/>
      <c r="BY29" s="34">
        <v>0.11</v>
      </c>
      <c r="BZ29" s="34">
        <v>0.15</v>
      </c>
      <c r="CA29" s="34">
        <v>0.09</v>
      </c>
      <c r="CB29" s="34">
        <v>0.09</v>
      </c>
      <c r="CC29" s="34">
        <v>0.09</v>
      </c>
      <c r="CD29" s="34">
        <v>0.09</v>
      </c>
      <c r="CE29" s="34"/>
      <c r="CF29" s="34"/>
      <c r="CG29" s="34"/>
      <c r="CH29" s="34"/>
      <c r="CI29" s="34"/>
      <c r="CJ29" s="34"/>
      <c r="CK29" s="34">
        <v>0.02</v>
      </c>
      <c r="CL29" s="31" t="s">
        <v>40</v>
      </c>
      <c r="CM29" s="34">
        <v>0.1</v>
      </c>
      <c r="CN29" s="34">
        <v>0.01</v>
      </c>
      <c r="CO29" s="31" t="s">
        <v>40</v>
      </c>
      <c r="CP29" s="31" t="s">
        <v>40</v>
      </c>
      <c r="CQ29" s="34"/>
      <c r="CR29" s="34"/>
      <c r="CS29" s="34"/>
      <c r="CT29" s="34"/>
      <c r="CU29" s="34"/>
      <c r="CV29" s="34"/>
      <c r="CW29" s="34">
        <v>0.04</v>
      </c>
      <c r="CX29" s="34">
        <v>0.04</v>
      </c>
      <c r="CY29" s="34">
        <v>0.04</v>
      </c>
      <c r="CZ29" s="34">
        <v>0.04</v>
      </c>
      <c r="DA29" s="34">
        <v>0.04</v>
      </c>
      <c r="DB29" s="34">
        <v>0.04</v>
      </c>
      <c r="DC29" s="34"/>
      <c r="DD29" s="34"/>
      <c r="DE29" s="34"/>
      <c r="DF29" s="34"/>
      <c r="DG29" s="34"/>
      <c r="DH29" s="34"/>
      <c r="DI29" s="34">
        <v>0.89</v>
      </c>
      <c r="DJ29" s="34">
        <v>0.53</v>
      </c>
      <c r="DK29" s="34">
        <v>0.14000000000000001</v>
      </c>
      <c r="DL29" s="34">
        <v>0.08</v>
      </c>
      <c r="DM29" s="34">
        <v>0.06</v>
      </c>
      <c r="DN29" s="34">
        <v>0.06</v>
      </c>
      <c r="DO29" s="34"/>
      <c r="DP29" s="34"/>
      <c r="DQ29" s="34"/>
      <c r="DR29" s="34"/>
      <c r="DS29" s="34"/>
      <c r="DT29" s="34"/>
      <c r="DU29" s="34">
        <v>0.01</v>
      </c>
      <c r="DV29" s="31" t="s">
        <v>40</v>
      </c>
      <c r="DW29" s="34">
        <v>0.01</v>
      </c>
      <c r="DX29" s="31" t="s">
        <v>40</v>
      </c>
      <c r="DY29" s="31" t="s">
        <v>40</v>
      </c>
      <c r="DZ29" s="34">
        <v>0.01</v>
      </c>
      <c r="EA29" s="34"/>
      <c r="EB29" s="34"/>
      <c r="EC29" s="34"/>
      <c r="ED29" s="34"/>
      <c r="EE29" s="34"/>
      <c r="EF29" s="34"/>
      <c r="EG29" s="37">
        <v>0</v>
      </c>
      <c r="EH29" s="37">
        <v>0</v>
      </c>
      <c r="EI29" s="37">
        <v>0</v>
      </c>
      <c r="EJ29" s="37">
        <v>0</v>
      </c>
      <c r="EK29" s="37">
        <v>0</v>
      </c>
      <c r="EL29" s="37">
        <v>0</v>
      </c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>
        <v>7.0000000000000007E-2</v>
      </c>
      <c r="EZ29" s="37">
        <v>0.21</v>
      </c>
      <c r="FA29" s="37">
        <v>0.08</v>
      </c>
      <c r="FB29" s="37">
        <v>0.09</v>
      </c>
      <c r="FC29" s="48">
        <v>7.0000000000000007E-2</v>
      </c>
      <c r="FD29" s="48">
        <v>7.0000000000000007E-2</v>
      </c>
      <c r="FE29" s="37"/>
      <c r="FF29" s="37"/>
      <c r="FG29" s="37"/>
      <c r="FH29" s="37"/>
      <c r="FI29" s="37"/>
      <c r="FJ29" s="37"/>
      <c r="FK29" s="37">
        <v>0.01</v>
      </c>
      <c r="FL29" s="37" t="s">
        <v>40</v>
      </c>
      <c r="FM29" s="37" t="s">
        <v>40</v>
      </c>
      <c r="FN29" s="37" t="s">
        <v>40</v>
      </c>
      <c r="FO29" s="37">
        <v>0.02</v>
      </c>
      <c r="FP29" s="37"/>
      <c r="FQ29" s="37"/>
      <c r="FR29" s="37"/>
      <c r="FS29" s="37"/>
      <c r="FT29" s="37"/>
      <c r="FU29" s="37"/>
      <c r="FV29" s="37"/>
      <c r="FW29" s="37">
        <v>0.16</v>
      </c>
      <c r="FX29" s="37">
        <v>0.1</v>
      </c>
      <c r="FY29" s="37">
        <v>0.13</v>
      </c>
      <c r="FZ29" s="37">
        <v>0.12</v>
      </c>
      <c r="GA29" s="37">
        <v>0.11</v>
      </c>
      <c r="GB29" s="37">
        <v>0.13</v>
      </c>
      <c r="GC29" s="37"/>
      <c r="GD29" s="37"/>
      <c r="GE29" s="37"/>
      <c r="GF29" s="37"/>
      <c r="GG29" s="37"/>
      <c r="GH29" s="37"/>
      <c r="GI29" s="37">
        <v>1.0900000000000001</v>
      </c>
      <c r="GJ29" s="37">
        <v>7.0000000000000007E-2</v>
      </c>
      <c r="GK29" s="37">
        <v>0.02</v>
      </c>
      <c r="GL29" s="37">
        <v>0.03</v>
      </c>
      <c r="GM29" s="37">
        <v>2.4E-2</v>
      </c>
      <c r="GN29" s="37">
        <v>2.4E-2</v>
      </c>
      <c r="GO29" s="37"/>
      <c r="GP29" s="37"/>
      <c r="GQ29" s="37"/>
      <c r="GR29" s="37"/>
      <c r="GS29" s="37"/>
      <c r="GT29" s="37"/>
      <c r="GU29" s="37">
        <v>0.72</v>
      </c>
      <c r="GV29" s="37">
        <v>0.29299999999999998</v>
      </c>
      <c r="GW29" s="37">
        <v>0.16300000000000001</v>
      </c>
      <c r="GX29" s="37">
        <v>0.16400000000000001</v>
      </c>
      <c r="GY29" s="37">
        <v>0.16300000000000001</v>
      </c>
      <c r="GZ29" s="37">
        <v>0.13</v>
      </c>
      <c r="HA29" s="37"/>
      <c r="HB29" s="37"/>
      <c r="HC29" s="37"/>
      <c r="HD29" s="37"/>
      <c r="HE29" s="37"/>
      <c r="HF29" s="37"/>
      <c r="HG29" s="31">
        <v>0.03</v>
      </c>
      <c r="HH29" s="31">
        <v>0.05</v>
      </c>
      <c r="HI29" s="31">
        <v>0.04</v>
      </c>
      <c r="HJ29" s="31">
        <v>0.05</v>
      </c>
      <c r="HK29" s="31">
        <v>0.03</v>
      </c>
      <c r="HL29" s="31">
        <v>0.05</v>
      </c>
      <c r="HM29" s="31">
        <v>0.09</v>
      </c>
      <c r="HN29" s="31">
        <v>0.21</v>
      </c>
      <c r="HO29" s="31">
        <v>0.1</v>
      </c>
      <c r="HP29" s="31">
        <v>0.15</v>
      </c>
      <c r="HQ29" s="31">
        <v>0.11</v>
      </c>
      <c r="HR29" s="31">
        <v>0.15</v>
      </c>
      <c r="HS29" s="31">
        <v>0.254</v>
      </c>
      <c r="HT29" s="31">
        <v>0.104</v>
      </c>
      <c r="HU29" s="31">
        <v>7.0000000000000007E-2</v>
      </c>
      <c r="HV29" s="31">
        <v>4.8000000000000001E-2</v>
      </c>
      <c r="HW29" s="31">
        <v>0.113</v>
      </c>
      <c r="HX29" s="31">
        <v>0.186</v>
      </c>
      <c r="HY29" s="31"/>
      <c r="HZ29" s="31"/>
      <c r="IA29" s="31"/>
      <c r="IB29" s="31"/>
      <c r="IC29" s="31"/>
      <c r="ID29" s="31"/>
      <c r="IE29" s="31">
        <v>0.71</v>
      </c>
      <c r="IF29" s="31">
        <v>0.08</v>
      </c>
      <c r="IG29" s="31">
        <v>0.12</v>
      </c>
      <c r="IH29" s="31">
        <v>0.22</v>
      </c>
      <c r="II29" s="31">
        <v>0.06</v>
      </c>
      <c r="IJ29" s="31">
        <v>0.12</v>
      </c>
      <c r="IK29" s="31"/>
      <c r="IL29" s="31"/>
      <c r="IM29" s="31"/>
      <c r="IN29" s="31"/>
      <c r="IO29" s="31"/>
      <c r="IP29" s="31">
        <v>0.112</v>
      </c>
      <c r="IQ29" s="31">
        <v>0.10199999999999999</v>
      </c>
      <c r="IR29" s="31">
        <v>6.4000000000000001E-2</v>
      </c>
      <c r="IS29" s="31">
        <v>0.16400000000000001</v>
      </c>
      <c r="IT29" s="31">
        <v>6.4000000000000001E-2</v>
      </c>
      <c r="IU29" s="31">
        <v>9.5000000000000001E-2</v>
      </c>
      <c r="IV29" s="31"/>
      <c r="IW29" s="31"/>
      <c r="IX29" s="31"/>
      <c r="IY29" s="31"/>
      <c r="IZ29" s="31"/>
      <c r="JA29" s="31"/>
      <c r="JB29" s="31">
        <v>0.22</v>
      </c>
      <c r="JC29" s="31">
        <v>0.1</v>
      </c>
      <c r="JD29" s="31">
        <v>0.08</v>
      </c>
      <c r="JE29" s="31">
        <v>0.13</v>
      </c>
      <c r="JF29" s="31">
        <v>0.12</v>
      </c>
      <c r="JG29" s="31">
        <v>0.08</v>
      </c>
      <c r="JH29" s="45">
        <v>0.152</v>
      </c>
      <c r="JI29" s="45">
        <v>6.8000000000000005E-2</v>
      </c>
      <c r="JJ29" s="31" t="s">
        <v>40</v>
      </c>
      <c r="JK29" s="31" t="s">
        <v>40</v>
      </c>
      <c r="JL29" s="31" t="s">
        <v>40</v>
      </c>
      <c r="JM29" s="31" t="s">
        <v>40</v>
      </c>
      <c r="JN29" s="31"/>
      <c r="JO29" s="31"/>
      <c r="JP29" s="31"/>
      <c r="JQ29" s="31"/>
      <c r="JR29" s="31"/>
      <c r="JS29" s="31"/>
      <c r="JT29" s="31">
        <v>0.152</v>
      </c>
      <c r="JU29" s="31">
        <v>6.8000000000000005E-2</v>
      </c>
      <c r="JV29" s="31" t="s">
        <v>40</v>
      </c>
      <c r="JW29" s="31" t="s">
        <v>40</v>
      </c>
      <c r="JX29" s="31" t="s">
        <v>40</v>
      </c>
      <c r="JY29" s="31" t="s">
        <v>40</v>
      </c>
      <c r="JZ29" s="31"/>
      <c r="KA29" s="31"/>
      <c r="KB29" s="31"/>
      <c r="KC29" s="31"/>
      <c r="KD29" s="31"/>
      <c r="KE29" s="31"/>
      <c r="KF29" s="31">
        <v>8.4000000000000005E-2</v>
      </c>
      <c r="KG29" s="31">
        <v>7.6999999999999999E-2</v>
      </c>
      <c r="KH29" s="31">
        <v>9.6000000000000002E-2</v>
      </c>
      <c r="KI29" s="31">
        <v>9.4E-2</v>
      </c>
      <c r="KJ29" s="31">
        <v>8.2000000000000003E-2</v>
      </c>
      <c r="KK29" s="31" t="s">
        <v>108</v>
      </c>
      <c r="KL29" s="31" t="s">
        <v>108</v>
      </c>
      <c r="KM29" s="31">
        <v>9.7000000000000003E-2</v>
      </c>
      <c r="KN29" s="31">
        <v>3.2000000000000001E-2</v>
      </c>
      <c r="KO29" s="31">
        <v>3.1E-2</v>
      </c>
    </row>
    <row r="30" spans="1:301" x14ac:dyDescent="0.2">
      <c r="A30" s="36" t="s">
        <v>45</v>
      </c>
      <c r="B30" s="29" t="s">
        <v>43</v>
      </c>
      <c r="C30" s="49"/>
      <c r="D30" s="48"/>
      <c r="E30" s="48"/>
      <c r="F30" s="50"/>
      <c r="G30" s="51"/>
      <c r="H30" s="51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>
        <v>0</v>
      </c>
      <c r="AZ30" s="48">
        <v>0</v>
      </c>
      <c r="BA30" s="48">
        <v>0</v>
      </c>
      <c r="BB30" s="48">
        <v>0</v>
      </c>
      <c r="BC30" s="48"/>
      <c r="BD30" s="48"/>
      <c r="BE30" s="48"/>
      <c r="BF30" s="48"/>
      <c r="BG30" s="48">
        <v>0</v>
      </c>
      <c r="BH30" s="48">
        <v>0</v>
      </c>
      <c r="BI30" s="48">
        <v>0</v>
      </c>
      <c r="BJ30" s="48">
        <v>0</v>
      </c>
      <c r="BK30" s="48"/>
      <c r="BL30" s="48"/>
      <c r="BM30" s="48">
        <v>2.3E-2</v>
      </c>
      <c r="BN30" s="48">
        <v>0.01</v>
      </c>
      <c r="BO30" s="48">
        <v>1.7000000000000001E-2</v>
      </c>
      <c r="BP30" s="48">
        <v>4.0000000000000001E-3</v>
      </c>
      <c r="BQ30" s="48">
        <v>7.0000000000000001E-3</v>
      </c>
      <c r="BR30" s="31" t="s">
        <v>46</v>
      </c>
      <c r="BS30" s="48"/>
      <c r="BT30" s="48"/>
      <c r="BU30" s="48"/>
      <c r="BV30" s="48"/>
      <c r="BW30" s="48"/>
      <c r="BX30" s="48"/>
      <c r="BY30" s="31" t="s">
        <v>46</v>
      </c>
      <c r="BZ30" s="31" t="s">
        <v>46</v>
      </c>
      <c r="CA30" s="31" t="s">
        <v>46</v>
      </c>
      <c r="CB30" s="31" t="s">
        <v>46</v>
      </c>
      <c r="CC30" s="31" t="s">
        <v>46</v>
      </c>
      <c r="CD30" s="31" t="s">
        <v>46</v>
      </c>
      <c r="CE30" s="31"/>
      <c r="CF30" s="31"/>
      <c r="CG30" s="31"/>
      <c r="CH30" s="31"/>
      <c r="CI30" s="31"/>
      <c r="CJ30" s="31"/>
      <c r="CK30" s="31" t="s">
        <v>47</v>
      </c>
      <c r="CL30" s="48">
        <v>6.9</v>
      </c>
      <c r="CM30" s="48">
        <v>23.6</v>
      </c>
      <c r="CN30" s="48">
        <v>11.9</v>
      </c>
      <c r="CO30" s="48">
        <v>12.5</v>
      </c>
      <c r="CP30" s="48">
        <v>2.5</v>
      </c>
      <c r="CQ30" s="48"/>
      <c r="CR30" s="48"/>
      <c r="CS30" s="48"/>
      <c r="CT30" s="48"/>
      <c r="CU30" s="48"/>
      <c r="CV30" s="48"/>
      <c r="CW30" s="31" t="s">
        <v>46</v>
      </c>
      <c r="CX30" s="31" t="s">
        <v>46</v>
      </c>
      <c r="CY30" s="31" t="s">
        <v>46</v>
      </c>
      <c r="CZ30" s="31" t="s">
        <v>46</v>
      </c>
      <c r="DA30" s="31" t="s">
        <v>46</v>
      </c>
      <c r="DB30" s="31" t="s">
        <v>46</v>
      </c>
      <c r="DC30" s="48"/>
      <c r="DD30" s="48"/>
      <c r="DE30" s="48"/>
      <c r="DF30" s="48"/>
      <c r="DG30" s="48"/>
      <c r="DH30" s="48"/>
      <c r="DI30" s="31" t="s">
        <v>46</v>
      </c>
      <c r="DJ30" s="31" t="s">
        <v>46</v>
      </c>
      <c r="DK30" s="31" t="s">
        <v>46</v>
      </c>
      <c r="DL30" s="31" t="s">
        <v>46</v>
      </c>
      <c r="DM30" s="31" t="s">
        <v>46</v>
      </c>
      <c r="DN30" s="31" t="s">
        <v>46</v>
      </c>
      <c r="DO30" s="48"/>
      <c r="DP30" s="48"/>
      <c r="DQ30" s="48"/>
      <c r="DR30" s="48"/>
      <c r="DS30" s="48"/>
      <c r="DT30" s="48"/>
      <c r="DU30" s="31" t="s">
        <v>46</v>
      </c>
      <c r="DV30" s="31" t="s">
        <v>46</v>
      </c>
      <c r="DW30" s="31" t="s">
        <v>46</v>
      </c>
      <c r="DX30" s="31" t="s">
        <v>46</v>
      </c>
      <c r="DY30" s="31" t="s">
        <v>46</v>
      </c>
      <c r="DZ30" s="31" t="s">
        <v>46</v>
      </c>
      <c r="EA30" s="48"/>
      <c r="EB30" s="48"/>
      <c r="EC30" s="48"/>
      <c r="ED30" s="48"/>
      <c r="EE30" s="48"/>
      <c r="EF30" s="48"/>
      <c r="EG30" s="48">
        <v>1.4E-2</v>
      </c>
      <c r="EH30" s="48">
        <v>8.9999999999999993E-3</v>
      </c>
      <c r="EI30" s="48">
        <v>5.0000000000000001E-3</v>
      </c>
      <c r="EJ30" s="48">
        <v>5.0000000000000001E-3</v>
      </c>
      <c r="EK30" s="48">
        <v>7.0000000000000001E-3</v>
      </c>
      <c r="EL30" s="48">
        <v>4.0000000000000001E-3</v>
      </c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48" t="s">
        <v>46</v>
      </c>
      <c r="EZ30" s="48" t="s">
        <v>46</v>
      </c>
      <c r="FA30" s="48" t="s">
        <v>46</v>
      </c>
      <c r="FB30" s="48" t="s">
        <v>46</v>
      </c>
      <c r="FC30" s="48" t="s">
        <v>46</v>
      </c>
      <c r="FD30" s="48" t="s">
        <v>46</v>
      </c>
      <c r="FE30" s="48"/>
      <c r="FF30" s="48"/>
      <c r="FG30" s="48"/>
      <c r="FH30" s="37"/>
      <c r="FI30" s="37"/>
      <c r="FJ30" s="37"/>
      <c r="FK30" s="48" t="s">
        <v>46</v>
      </c>
      <c r="FL30" s="48" t="s">
        <v>46</v>
      </c>
      <c r="FM30" s="48" t="s">
        <v>46</v>
      </c>
      <c r="FN30" s="48" t="s">
        <v>46</v>
      </c>
      <c r="FO30" s="48" t="s">
        <v>46</v>
      </c>
      <c r="FP30" s="48"/>
      <c r="FQ30" s="48"/>
      <c r="FR30" s="48"/>
      <c r="FS30" s="48"/>
      <c r="FT30" s="48"/>
      <c r="FU30" s="48"/>
      <c r="FV30" s="48"/>
      <c r="FW30" s="48">
        <v>1.6E-2</v>
      </c>
      <c r="FX30" s="48">
        <v>1.2999999999999999E-2</v>
      </c>
      <c r="FY30" s="48">
        <v>0.01</v>
      </c>
      <c r="FZ30" s="48">
        <v>4.1000000000000002E-2</v>
      </c>
      <c r="GA30" s="48">
        <v>8.8999999999999996E-2</v>
      </c>
      <c r="GB30" s="48">
        <v>8.0000000000000002E-3</v>
      </c>
      <c r="GC30" s="48"/>
      <c r="GD30" s="48"/>
      <c r="GE30" s="48"/>
      <c r="GF30" s="48"/>
      <c r="GG30" s="48"/>
      <c r="GH30" s="48"/>
      <c r="GI30" s="48">
        <v>6.0000000000000001E-3</v>
      </c>
      <c r="GJ30" s="48">
        <v>6.0000000000000001E-3</v>
      </c>
      <c r="GK30" s="48">
        <v>3.0000000000000001E-3</v>
      </c>
      <c r="GL30" s="48">
        <v>0.01</v>
      </c>
      <c r="GM30" s="48">
        <v>1.6E-2</v>
      </c>
      <c r="GN30" s="48">
        <v>6.0000000000000001E-3</v>
      </c>
      <c r="GO30" s="48"/>
      <c r="GP30" s="48"/>
      <c r="GQ30" s="48"/>
      <c r="GR30" s="48"/>
      <c r="GS30" s="48"/>
      <c r="GT30" s="48"/>
      <c r="GU30" s="48">
        <v>0.01</v>
      </c>
      <c r="GV30" s="48">
        <v>7.0000000000000001E-3</v>
      </c>
      <c r="GW30" s="48">
        <v>7.0000000000000001E-3</v>
      </c>
      <c r="GX30" s="48">
        <v>6.0000000000000001E-3</v>
      </c>
      <c r="GY30" s="48">
        <v>7.0000000000000001E-3</v>
      </c>
      <c r="GZ30" s="48" t="s">
        <v>46</v>
      </c>
      <c r="HA30" s="48"/>
      <c r="HB30" s="48"/>
      <c r="HC30" s="48"/>
      <c r="HD30" s="48"/>
      <c r="HE30" s="48"/>
      <c r="HF30" s="48"/>
      <c r="HG30" s="43" t="s">
        <v>46</v>
      </c>
      <c r="HH30" s="43" t="s">
        <v>46</v>
      </c>
      <c r="HI30" s="43" t="s">
        <v>46</v>
      </c>
      <c r="HJ30" s="43" t="s">
        <v>46</v>
      </c>
      <c r="HK30" s="43" t="s">
        <v>46</v>
      </c>
      <c r="HL30" s="43" t="s">
        <v>46</v>
      </c>
      <c r="HM30" s="43">
        <v>8.0000000000000002E-3</v>
      </c>
      <c r="HN30" s="43">
        <v>7.0000000000000001E-3</v>
      </c>
      <c r="HO30" s="43">
        <v>6.0000000000000001E-3</v>
      </c>
      <c r="HP30" s="43">
        <v>1.2E-2</v>
      </c>
      <c r="HQ30" s="43">
        <v>7.0000000000000001E-3</v>
      </c>
      <c r="HR30" s="43" t="s">
        <v>46</v>
      </c>
      <c r="HS30" s="43">
        <v>1.6E-2</v>
      </c>
      <c r="HT30" s="43">
        <v>2.5999999999999999E-2</v>
      </c>
      <c r="HU30" s="43">
        <v>0.02</v>
      </c>
      <c r="HV30" s="43">
        <v>2.1999999999999999E-2</v>
      </c>
      <c r="HW30" s="43">
        <v>1.7000000000000001E-2</v>
      </c>
      <c r="HX30" s="43">
        <v>1.4E-2</v>
      </c>
      <c r="HY30" s="43"/>
      <c r="HZ30" s="43"/>
      <c r="IA30" s="43"/>
      <c r="IB30" s="43"/>
      <c r="IC30" s="43"/>
      <c r="ID30" s="43"/>
      <c r="IE30" s="43" t="s">
        <v>46</v>
      </c>
      <c r="IF30" s="43" t="s">
        <v>46</v>
      </c>
      <c r="IG30" s="43" t="s">
        <v>46</v>
      </c>
      <c r="IH30" s="43" t="s">
        <v>46</v>
      </c>
      <c r="II30" s="43" t="s">
        <v>46</v>
      </c>
      <c r="IJ30" s="43" t="s">
        <v>46</v>
      </c>
      <c r="IK30" s="43"/>
      <c r="IL30" s="43"/>
      <c r="IM30" s="43"/>
      <c r="IN30" s="43"/>
      <c r="IO30" s="43"/>
      <c r="IP30" s="31" t="s">
        <v>46</v>
      </c>
      <c r="IQ30" s="31" t="s">
        <v>46</v>
      </c>
      <c r="IR30" s="31" t="s">
        <v>46</v>
      </c>
      <c r="IS30" s="31" t="s">
        <v>46</v>
      </c>
      <c r="IT30" s="31" t="s">
        <v>46</v>
      </c>
      <c r="IU30" s="31" t="s">
        <v>46</v>
      </c>
      <c r="IV30" s="31"/>
      <c r="IW30" s="31"/>
      <c r="IX30" s="31"/>
      <c r="IY30" s="31"/>
      <c r="IZ30" s="31"/>
      <c r="JA30" s="31"/>
      <c r="JB30" s="31">
        <v>257.5</v>
      </c>
      <c r="JC30" s="31">
        <v>49.92</v>
      </c>
      <c r="JD30" s="31">
        <v>61.58</v>
      </c>
      <c r="JE30" s="31">
        <v>42.42</v>
      </c>
      <c r="JF30" s="31">
        <v>49.92</v>
      </c>
      <c r="JG30" s="31">
        <v>23.25</v>
      </c>
      <c r="JH30" s="48">
        <v>8.0000000000000002E-3</v>
      </c>
      <c r="JI30" s="48">
        <v>2E-3</v>
      </c>
      <c r="JJ30" s="43" t="s">
        <v>46</v>
      </c>
      <c r="JK30" s="43" t="s">
        <v>46</v>
      </c>
      <c r="JL30" s="48">
        <v>0.03</v>
      </c>
      <c r="JM30" s="43" t="s">
        <v>46</v>
      </c>
      <c r="JN30" s="43"/>
      <c r="JO30" s="43"/>
      <c r="JP30" s="43"/>
      <c r="JQ30" s="43"/>
      <c r="JR30" s="43"/>
      <c r="JS30" s="43"/>
      <c r="JT30" s="43">
        <v>8.0000000000000002E-3</v>
      </c>
      <c r="JU30" s="43">
        <v>2E-3</v>
      </c>
      <c r="JV30" s="31" t="s">
        <v>46</v>
      </c>
      <c r="JW30" s="31" t="s">
        <v>46</v>
      </c>
      <c r="JX30" s="43">
        <v>3.0000000000000001E-3</v>
      </c>
      <c r="JY30" s="31" t="s">
        <v>46</v>
      </c>
      <c r="JZ30" s="31"/>
      <c r="KA30" s="31"/>
      <c r="KB30" s="31"/>
      <c r="KC30" s="31"/>
      <c r="KD30" s="31"/>
      <c r="KE30" s="31"/>
      <c r="KF30" s="31" t="s">
        <v>46</v>
      </c>
      <c r="KG30" s="31" t="s">
        <v>46</v>
      </c>
      <c r="KH30" s="31" t="s">
        <v>46</v>
      </c>
      <c r="KI30" s="31" t="s">
        <v>46</v>
      </c>
      <c r="KJ30" s="31">
        <v>8.0000000000000002E-3</v>
      </c>
      <c r="KK30" s="31">
        <v>1.7000000000000001E-2</v>
      </c>
      <c r="KL30" s="31">
        <v>6.0000000000000001E-3</v>
      </c>
      <c r="KM30" s="31">
        <v>1.2999999999999999E-2</v>
      </c>
      <c r="KN30" s="31">
        <v>2.8000000000000001E-2</v>
      </c>
      <c r="KO30" s="31">
        <v>8.9999999999999993E-3</v>
      </c>
    </row>
    <row r="31" spans="1:301" x14ac:dyDescent="0.2">
      <c r="A31" s="28" t="s">
        <v>48</v>
      </c>
      <c r="B31" s="29" t="s">
        <v>43</v>
      </c>
      <c r="C31" s="38">
        <v>0.03</v>
      </c>
      <c r="D31" s="34">
        <v>0.03</v>
      </c>
      <c r="E31" s="34">
        <v>0.08</v>
      </c>
      <c r="F31" s="39">
        <v>0.06</v>
      </c>
      <c r="G31" s="40">
        <v>0.03</v>
      </c>
      <c r="H31" s="40">
        <v>0.1</v>
      </c>
      <c r="I31" s="34">
        <v>0.02</v>
      </c>
      <c r="J31" s="34">
        <v>0</v>
      </c>
      <c r="K31" s="34"/>
      <c r="L31" s="34"/>
      <c r="M31" s="34"/>
      <c r="N31" s="34"/>
      <c r="O31" s="34"/>
      <c r="P31" s="34"/>
      <c r="Q31" s="34"/>
      <c r="R31" s="34"/>
      <c r="S31" s="34">
        <v>0.02</v>
      </c>
      <c r="T31" s="34">
        <v>0.01</v>
      </c>
      <c r="U31" s="34">
        <v>0.03</v>
      </c>
      <c r="V31" s="34">
        <v>0.01</v>
      </c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  <c r="IB31" s="31"/>
      <c r="IC31" s="31"/>
      <c r="ID31" s="31"/>
      <c r="IE31" s="31"/>
      <c r="IF31" s="31"/>
      <c r="IG31" s="31"/>
      <c r="IH31" s="31"/>
      <c r="II31" s="31"/>
      <c r="IJ31" s="31"/>
      <c r="IK31" s="31"/>
      <c r="IL31" s="31"/>
      <c r="IM31" s="31"/>
      <c r="IN31" s="31"/>
      <c r="IO31" s="31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  <c r="JH31" s="34"/>
      <c r="JI31" s="34"/>
      <c r="JJ31" s="34"/>
      <c r="JK31" s="34"/>
      <c r="JL31" s="34"/>
      <c r="JM31" s="34"/>
      <c r="JN31" s="34"/>
      <c r="JO31" s="34"/>
      <c r="JP31" s="34"/>
      <c r="JQ31" s="34"/>
      <c r="JR31" s="34"/>
      <c r="JS31" s="34"/>
      <c r="JT31" s="34"/>
      <c r="JU31" s="34"/>
      <c r="JV31" s="34"/>
      <c r="JW31" s="34"/>
      <c r="JX31" s="34"/>
      <c r="JY31" s="34"/>
      <c r="JZ31" s="34"/>
      <c r="KA31" s="34"/>
      <c r="KB31" s="34"/>
      <c r="KC31" s="34"/>
      <c r="KD31" s="34"/>
      <c r="KE31" s="34"/>
      <c r="KF31" s="34"/>
      <c r="KG31" s="34"/>
      <c r="KH31" s="34"/>
      <c r="KI31" s="34"/>
      <c r="KJ31" s="34"/>
      <c r="KK31" s="34"/>
      <c r="KL31" s="34"/>
      <c r="KM31" s="34"/>
      <c r="KN31" s="34"/>
      <c r="KO31" s="34"/>
    </row>
    <row r="32" spans="1:301" x14ac:dyDescent="0.2">
      <c r="A32" s="28" t="s">
        <v>49</v>
      </c>
      <c r="B32" s="29" t="s">
        <v>22</v>
      </c>
      <c r="C32" s="38">
        <v>0</v>
      </c>
      <c r="D32" s="34">
        <v>0</v>
      </c>
      <c r="E32" s="34">
        <v>0</v>
      </c>
      <c r="F32" s="39">
        <v>0</v>
      </c>
      <c r="G32" s="40">
        <v>0</v>
      </c>
      <c r="H32" s="40">
        <v>0.74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4"/>
      <c r="JI32" s="34"/>
      <c r="JJ32" s="34"/>
      <c r="JK32" s="34"/>
      <c r="JL32" s="34"/>
      <c r="JM32" s="34"/>
      <c r="JN32" s="34"/>
      <c r="JO32" s="34"/>
      <c r="JP32" s="34"/>
      <c r="JQ32" s="34"/>
      <c r="JR32" s="34"/>
      <c r="JS32" s="34"/>
      <c r="JT32" s="34"/>
      <c r="JU32" s="34"/>
      <c r="JV32" s="34"/>
      <c r="JW32" s="34"/>
      <c r="JX32" s="34"/>
      <c r="JY32" s="34"/>
      <c r="JZ32" s="34"/>
      <c r="KA32" s="34"/>
      <c r="KB32" s="34"/>
      <c r="KC32" s="34"/>
      <c r="KD32" s="34"/>
      <c r="KE32" s="34"/>
      <c r="KF32" s="34"/>
      <c r="KG32" s="34"/>
      <c r="KH32" s="34"/>
      <c r="KI32" s="34"/>
      <c r="KJ32" s="34"/>
      <c r="KK32" s="34"/>
      <c r="KL32" s="34"/>
      <c r="KM32" s="34"/>
      <c r="KN32" s="34"/>
      <c r="KO32" s="34"/>
    </row>
    <row r="33" spans="1:301" x14ac:dyDescent="0.2">
      <c r="A33" s="28" t="s">
        <v>50</v>
      </c>
      <c r="B33" s="29" t="s">
        <v>22</v>
      </c>
      <c r="C33" s="38">
        <v>0.34</v>
      </c>
      <c r="D33" s="34">
        <v>0.46</v>
      </c>
      <c r="E33" s="34">
        <v>0.98</v>
      </c>
      <c r="F33" s="39">
        <v>0.28999999999999998</v>
      </c>
      <c r="G33" s="40">
        <v>0.52</v>
      </c>
      <c r="H33" s="40">
        <v>1.55</v>
      </c>
      <c r="I33" s="34">
        <v>0.63</v>
      </c>
      <c r="J33" s="34">
        <v>0.46</v>
      </c>
      <c r="K33" s="34">
        <v>0.45</v>
      </c>
      <c r="L33" s="34">
        <v>0.45</v>
      </c>
      <c r="M33" s="34">
        <v>0.39</v>
      </c>
      <c r="N33" s="34">
        <v>0.56000000000000005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4"/>
      <c r="JI33" s="34"/>
      <c r="JJ33" s="34"/>
      <c r="JK33" s="34"/>
      <c r="JL33" s="34"/>
      <c r="JM33" s="34"/>
      <c r="JN33" s="34"/>
      <c r="JO33" s="34"/>
      <c r="JP33" s="34"/>
      <c r="JQ33" s="34"/>
      <c r="JR33" s="34"/>
      <c r="JS33" s="34"/>
      <c r="JT33" s="34"/>
      <c r="JU33" s="34"/>
      <c r="JV33" s="34"/>
      <c r="JW33" s="34"/>
      <c r="JX33" s="34"/>
      <c r="JY33" s="34"/>
      <c r="JZ33" s="34"/>
      <c r="KA33" s="34"/>
      <c r="KB33" s="34"/>
      <c r="KC33" s="34"/>
      <c r="KD33" s="34"/>
      <c r="KE33" s="34"/>
      <c r="KF33" s="34"/>
      <c r="KG33" s="34"/>
      <c r="KH33" s="34"/>
      <c r="KI33" s="34"/>
      <c r="KJ33" s="34"/>
      <c r="KK33" s="34"/>
      <c r="KL33" s="34"/>
      <c r="KM33" s="34"/>
      <c r="KN33" s="34"/>
      <c r="KO33" s="34"/>
    </row>
    <row r="34" spans="1:301" x14ac:dyDescent="0.2">
      <c r="A34" s="28" t="s">
        <v>51</v>
      </c>
      <c r="B34" s="29" t="s">
        <v>22</v>
      </c>
      <c r="C34" s="38"/>
      <c r="D34" s="34"/>
      <c r="E34" s="34"/>
      <c r="F34" s="39"/>
      <c r="G34" s="40"/>
      <c r="H34" s="40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4"/>
      <c r="JU34" s="34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</row>
    <row r="35" spans="1:301" x14ac:dyDescent="0.2">
      <c r="A35" s="36" t="s">
        <v>52</v>
      </c>
      <c r="B35" s="29"/>
      <c r="C35" s="38">
        <v>8.1999999999999993</v>
      </c>
      <c r="D35" s="34">
        <v>8.36</v>
      </c>
      <c r="E35" s="34">
        <v>8.4700000000000006</v>
      </c>
      <c r="F35" s="39">
        <v>8.34</v>
      </c>
      <c r="G35" s="40">
        <v>8.44</v>
      </c>
      <c r="H35" s="40">
        <v>8.17</v>
      </c>
      <c r="I35" s="34">
        <v>8.1999999999999993</v>
      </c>
      <c r="J35" s="34">
        <v>8.1999999999999993</v>
      </c>
      <c r="K35" s="34">
        <v>8.6300000000000008</v>
      </c>
      <c r="L35" s="34">
        <v>8.5</v>
      </c>
      <c r="M35" s="34">
        <v>8.5500000000000007</v>
      </c>
      <c r="N35" s="34">
        <v>8.5500000000000007</v>
      </c>
      <c r="O35" s="34"/>
      <c r="P35" s="34"/>
      <c r="Q35" s="34"/>
      <c r="R35" s="34"/>
      <c r="S35" s="34">
        <v>8.8000000000000007</v>
      </c>
      <c r="T35" s="34">
        <v>8.6</v>
      </c>
      <c r="U35" s="34">
        <v>8.6999999999999993</v>
      </c>
      <c r="V35" s="34">
        <v>8.6999999999999993</v>
      </c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>
        <v>8.42</v>
      </c>
      <c r="AZ35" s="34">
        <v>8.3699999999999992</v>
      </c>
      <c r="BA35" s="34">
        <v>8.4</v>
      </c>
      <c r="BB35" s="34">
        <v>8.43</v>
      </c>
      <c r="BC35" s="34"/>
      <c r="BD35" s="34"/>
      <c r="BE35" s="34"/>
      <c r="BF35" s="34"/>
      <c r="BG35" s="34">
        <v>8.42</v>
      </c>
      <c r="BH35" s="34">
        <v>8.2799999999999994</v>
      </c>
      <c r="BI35" s="34">
        <v>8.36</v>
      </c>
      <c r="BJ35" s="34">
        <v>8.4700000000000006</v>
      </c>
      <c r="BK35" s="34"/>
      <c r="BL35" s="34"/>
      <c r="BM35" s="34">
        <v>7.5</v>
      </c>
      <c r="BN35" s="34">
        <v>7.64</v>
      </c>
      <c r="BO35" s="34">
        <v>7.77</v>
      </c>
      <c r="BP35" s="34">
        <v>7.88</v>
      </c>
      <c r="BQ35" s="34">
        <v>7.9</v>
      </c>
      <c r="BR35" s="34">
        <v>8.1</v>
      </c>
      <c r="BS35" s="34">
        <v>7.98</v>
      </c>
      <c r="BT35" s="34">
        <v>8.01</v>
      </c>
      <c r="BU35" s="34">
        <v>8.06</v>
      </c>
      <c r="BV35" s="34">
        <v>8.11</v>
      </c>
      <c r="BW35" s="34">
        <v>8.0399999999999991</v>
      </c>
      <c r="BX35" s="34">
        <v>7.82</v>
      </c>
      <c r="BY35" s="34">
        <v>7.82</v>
      </c>
      <c r="BZ35" s="34">
        <v>7.81</v>
      </c>
      <c r="CA35" s="34">
        <v>7.88</v>
      </c>
      <c r="CB35" s="34">
        <v>8.0299999999999994</v>
      </c>
      <c r="CC35" s="34">
        <v>7.94</v>
      </c>
      <c r="CD35" s="34">
        <v>8.1199999999999992</v>
      </c>
      <c r="CE35" s="34">
        <v>7.84</v>
      </c>
      <c r="CF35" s="34">
        <v>7.74</v>
      </c>
      <c r="CG35" s="34">
        <v>7.72</v>
      </c>
      <c r="CH35" s="34">
        <v>7.79</v>
      </c>
      <c r="CI35" s="34">
        <v>7.8</v>
      </c>
      <c r="CJ35" s="34">
        <v>8.11</v>
      </c>
      <c r="CK35" s="34">
        <v>8.3000000000000007</v>
      </c>
      <c r="CL35" s="34">
        <v>8.1</v>
      </c>
      <c r="CM35" s="34">
        <v>7.91</v>
      </c>
      <c r="CN35" s="34">
        <v>8.31</v>
      </c>
      <c r="CO35" s="34">
        <v>8.3000000000000007</v>
      </c>
      <c r="CP35" s="34">
        <v>8.1</v>
      </c>
      <c r="CQ35" s="34">
        <v>7.66</v>
      </c>
      <c r="CR35" s="34">
        <v>7.47</v>
      </c>
      <c r="CS35" s="34">
        <v>7.49</v>
      </c>
      <c r="CT35" s="34">
        <v>7.6</v>
      </c>
      <c r="CU35" s="34">
        <v>7.58</v>
      </c>
      <c r="CV35" s="34">
        <v>7.51</v>
      </c>
      <c r="CW35" s="34">
        <v>8.64</v>
      </c>
      <c r="CX35" s="34">
        <v>8.66</v>
      </c>
      <c r="CY35" s="34">
        <v>8.75</v>
      </c>
      <c r="CZ35" s="34">
        <v>8.6300000000000008</v>
      </c>
      <c r="DA35" s="34">
        <v>8.65</v>
      </c>
      <c r="DB35" s="34">
        <v>7.75</v>
      </c>
      <c r="DC35" s="34">
        <v>8.3699999999999992</v>
      </c>
      <c r="DD35" s="34">
        <v>8.31</v>
      </c>
      <c r="DE35" s="34">
        <v>8.3000000000000007</v>
      </c>
      <c r="DF35" s="34">
        <v>8.32</v>
      </c>
      <c r="DG35" s="34">
        <v>8.3000000000000007</v>
      </c>
      <c r="DH35" s="34">
        <v>7.83</v>
      </c>
      <c r="DI35" s="34">
        <v>7.51</v>
      </c>
      <c r="DJ35" s="34">
        <v>7.36</v>
      </c>
      <c r="DK35" s="34">
        <v>7.34</v>
      </c>
      <c r="DL35" s="34">
        <v>7.42</v>
      </c>
      <c r="DM35" s="34">
        <v>7.19</v>
      </c>
      <c r="DN35" s="34">
        <v>7.71</v>
      </c>
      <c r="DO35" s="34">
        <v>8.3000000000000007</v>
      </c>
      <c r="DP35" s="34">
        <v>8.24</v>
      </c>
      <c r="DQ35" s="34">
        <v>8.31</v>
      </c>
      <c r="DR35" s="34">
        <v>8.32</v>
      </c>
      <c r="DS35" s="34">
        <v>8.26</v>
      </c>
      <c r="DT35" s="34">
        <v>7.58</v>
      </c>
      <c r="DU35" s="34">
        <v>8.64</v>
      </c>
      <c r="DV35" s="34">
        <v>8.6199999999999992</v>
      </c>
      <c r="DW35" s="34">
        <v>8.81</v>
      </c>
      <c r="DX35" s="34">
        <v>8.32</v>
      </c>
      <c r="DY35" s="34">
        <v>8.65</v>
      </c>
      <c r="DZ35" s="34">
        <v>7.83</v>
      </c>
      <c r="EA35" s="34">
        <v>7.84</v>
      </c>
      <c r="EB35" s="34">
        <v>7.79</v>
      </c>
      <c r="EC35" s="34">
        <v>7.81</v>
      </c>
      <c r="ED35" s="34">
        <v>7.8</v>
      </c>
      <c r="EE35" s="34">
        <v>7.74</v>
      </c>
      <c r="EF35" s="34">
        <v>7.84</v>
      </c>
      <c r="EG35" s="37">
        <v>8.19</v>
      </c>
      <c r="EH35" s="37">
        <v>8.3000000000000007</v>
      </c>
      <c r="EI35" s="37">
        <v>8.4</v>
      </c>
      <c r="EJ35" s="37">
        <v>8.43</v>
      </c>
      <c r="EK35" s="37">
        <v>8.2899999999999991</v>
      </c>
      <c r="EL35" s="37">
        <v>8.1300000000000008</v>
      </c>
      <c r="EM35" s="37">
        <v>8.27</v>
      </c>
      <c r="EN35" s="37">
        <v>8.2899999999999991</v>
      </c>
      <c r="EO35" s="37">
        <v>8.41</v>
      </c>
      <c r="EP35" s="37">
        <v>8.52</v>
      </c>
      <c r="EQ35" s="37">
        <v>8.4</v>
      </c>
      <c r="ER35" s="37">
        <v>8.02</v>
      </c>
      <c r="ES35" s="37">
        <v>8.74</v>
      </c>
      <c r="ET35" s="37">
        <v>8.7200000000000006</v>
      </c>
      <c r="EU35" s="37">
        <v>8.81</v>
      </c>
      <c r="EV35" s="37">
        <v>8.61</v>
      </c>
      <c r="EW35" s="37">
        <v>8.77</v>
      </c>
      <c r="EX35" s="37">
        <v>8.7799999999999994</v>
      </c>
      <c r="EY35" s="37">
        <v>8.09</v>
      </c>
      <c r="EZ35" s="37">
        <v>8.31</v>
      </c>
      <c r="FA35" s="37">
        <v>8.3000000000000007</v>
      </c>
      <c r="FB35" s="37">
        <v>8.33</v>
      </c>
      <c r="FC35" s="37">
        <v>8.3000000000000007</v>
      </c>
      <c r="FD35" s="37">
        <v>8.3699999999999992</v>
      </c>
      <c r="FE35" s="37">
        <v>7.55</v>
      </c>
      <c r="FF35" s="37">
        <v>7.84</v>
      </c>
      <c r="FG35" s="37">
        <v>7.92</v>
      </c>
      <c r="FH35" s="37">
        <v>7.97</v>
      </c>
      <c r="FI35" s="37">
        <v>7.94</v>
      </c>
      <c r="FJ35" s="37">
        <v>7.55</v>
      </c>
      <c r="FK35" s="37">
        <v>8.39</v>
      </c>
      <c r="FL35" s="37">
        <v>8.42</v>
      </c>
      <c r="FM35" s="37">
        <v>8.58</v>
      </c>
      <c r="FN35" s="37">
        <v>8.59</v>
      </c>
      <c r="FO35" s="37">
        <v>8.4600000000000009</v>
      </c>
      <c r="FP35" s="37"/>
      <c r="FQ35" s="37">
        <v>8.3000000000000007</v>
      </c>
      <c r="FR35" s="37">
        <v>7.98</v>
      </c>
      <c r="FS35" s="37">
        <v>8.31</v>
      </c>
      <c r="FT35" s="37">
        <v>8.32</v>
      </c>
      <c r="FU35" s="37">
        <v>8.07</v>
      </c>
      <c r="FV35" s="37"/>
      <c r="FW35" s="37">
        <v>8.06</v>
      </c>
      <c r="FX35" s="37">
        <v>7.77</v>
      </c>
      <c r="FY35" s="37">
        <v>7.65</v>
      </c>
      <c r="FZ35" s="37">
        <v>7.53</v>
      </c>
      <c r="GA35" s="37">
        <v>7.66</v>
      </c>
      <c r="GB35" s="37">
        <v>7.5</v>
      </c>
      <c r="GC35" s="37">
        <v>8.23</v>
      </c>
      <c r="GD35" s="37">
        <v>8.2799999999999994</v>
      </c>
      <c r="GE35" s="37">
        <v>8.4499999999999993</v>
      </c>
      <c r="GF35" s="37">
        <v>8.3699999999999992</v>
      </c>
      <c r="GG35" s="37">
        <v>8.31</v>
      </c>
      <c r="GH35" s="37">
        <v>7.57</v>
      </c>
      <c r="GI35" s="37">
        <v>8.39</v>
      </c>
      <c r="GJ35" s="37">
        <v>8.3000000000000007</v>
      </c>
      <c r="GK35" s="37">
        <v>8.3800000000000008</v>
      </c>
      <c r="GL35" s="37">
        <v>8.4</v>
      </c>
      <c r="GM35" s="37">
        <v>8.3000000000000007</v>
      </c>
      <c r="GN35" s="37">
        <v>7.67</v>
      </c>
      <c r="GO35" s="37">
        <v>7.75</v>
      </c>
      <c r="GP35" s="37">
        <v>7.71</v>
      </c>
      <c r="GQ35" s="37">
        <v>7.73</v>
      </c>
      <c r="GR35" s="37">
        <v>7.77</v>
      </c>
      <c r="GS35" s="37">
        <v>7.74</v>
      </c>
      <c r="GT35" s="37">
        <v>8.0299999999999994</v>
      </c>
      <c r="GU35" s="37">
        <v>8.17</v>
      </c>
      <c r="GV35" s="37">
        <v>8.1199999999999992</v>
      </c>
      <c r="GW35" s="37">
        <v>8.1</v>
      </c>
      <c r="GX35" s="37">
        <v>8.16</v>
      </c>
      <c r="GY35" s="37">
        <v>8.0299999999999994</v>
      </c>
      <c r="GZ35" s="37">
        <v>8.1</v>
      </c>
      <c r="HA35" s="37">
        <v>7.69</v>
      </c>
      <c r="HB35" s="37">
        <v>7.64</v>
      </c>
      <c r="HC35" s="37">
        <v>7.78</v>
      </c>
      <c r="HD35" s="37">
        <v>7.84</v>
      </c>
      <c r="HE35" s="37">
        <v>7.74</v>
      </c>
      <c r="HF35" s="37">
        <v>7.87</v>
      </c>
      <c r="HG35" s="31">
        <v>8.0500000000000007</v>
      </c>
      <c r="HH35" s="31">
        <v>7.89</v>
      </c>
      <c r="HI35" s="31">
        <v>8.0299999999999994</v>
      </c>
      <c r="HJ35" s="31">
        <v>8.08</v>
      </c>
      <c r="HK35" s="31">
        <v>7.82</v>
      </c>
      <c r="HL35" s="31">
        <v>7.13</v>
      </c>
      <c r="HM35" s="31">
        <v>8.1</v>
      </c>
      <c r="HN35" s="31">
        <v>7.96</v>
      </c>
      <c r="HO35" s="31">
        <v>8.08</v>
      </c>
      <c r="HP35" s="31">
        <v>8.14</v>
      </c>
      <c r="HQ35" s="31">
        <v>8.08</v>
      </c>
      <c r="HR35" s="31">
        <v>8.1</v>
      </c>
      <c r="HS35" s="31">
        <v>7.12</v>
      </c>
      <c r="HT35" s="31">
        <v>7.22</v>
      </c>
      <c r="HU35" s="31">
        <v>7.23</v>
      </c>
      <c r="HV35" s="31">
        <v>7.35</v>
      </c>
      <c r="HW35" s="31">
        <v>7.33</v>
      </c>
      <c r="HX35" s="31">
        <v>7.7</v>
      </c>
      <c r="HY35" s="31">
        <v>8.34</v>
      </c>
      <c r="HZ35" s="31">
        <v>8.4</v>
      </c>
      <c r="IA35" s="31">
        <v>8.4700000000000006</v>
      </c>
      <c r="IB35" s="31">
        <v>8.49</v>
      </c>
      <c r="IC35" s="31">
        <v>8.39</v>
      </c>
      <c r="ID35" s="31">
        <v>8.1</v>
      </c>
      <c r="IE35" s="31">
        <v>8.6999999999999993</v>
      </c>
      <c r="IF35" s="31">
        <v>8.3800000000000008</v>
      </c>
      <c r="IG35" s="31">
        <v>8.94</v>
      </c>
      <c r="IH35" s="31">
        <v>8.92</v>
      </c>
      <c r="II35" s="31">
        <v>8.57</v>
      </c>
      <c r="IJ35" s="31">
        <v>7.58</v>
      </c>
      <c r="IK35" s="31">
        <v>8.41</v>
      </c>
      <c r="IL35" s="31">
        <v>8.2200000000000006</v>
      </c>
      <c r="IM35" s="31">
        <v>8.4499999999999993</v>
      </c>
      <c r="IN35" s="31">
        <v>7.76</v>
      </c>
      <c r="IO35" s="31">
        <v>8.44</v>
      </c>
      <c r="IP35" s="31">
        <v>8.17</v>
      </c>
      <c r="IQ35" s="31">
        <v>8.1</v>
      </c>
      <c r="IR35" s="31">
        <v>8.18</v>
      </c>
      <c r="IS35" s="31">
        <v>8.1300000000000008</v>
      </c>
      <c r="IT35" s="31">
        <v>8.09</v>
      </c>
      <c r="IU35" s="31">
        <v>8.09</v>
      </c>
      <c r="IV35" s="31">
        <v>8.33</v>
      </c>
      <c r="IW35" s="31">
        <v>8.27</v>
      </c>
      <c r="IX35" s="31">
        <v>8.23</v>
      </c>
      <c r="IY35" s="31">
        <v>8.3699999999999992</v>
      </c>
      <c r="IZ35" s="31">
        <v>8.42</v>
      </c>
      <c r="JA35" s="31">
        <v>7.41</v>
      </c>
      <c r="JB35" s="31">
        <v>8.0440000000000005</v>
      </c>
      <c r="JC35" s="31">
        <v>8.1300000000000008</v>
      </c>
      <c r="JD35" s="31">
        <v>8.11</v>
      </c>
      <c r="JE35" s="31">
        <v>8.1199999999999992</v>
      </c>
      <c r="JF35" s="31">
        <v>8.14</v>
      </c>
      <c r="JG35" s="31">
        <v>7.93</v>
      </c>
      <c r="JH35" s="34">
        <v>8.39</v>
      </c>
      <c r="JI35" s="34">
        <v>8.2899999999999991</v>
      </c>
      <c r="JJ35" s="34">
        <v>8.4700000000000006</v>
      </c>
      <c r="JK35" s="34">
        <v>8.44</v>
      </c>
      <c r="JL35" s="34">
        <v>8.4</v>
      </c>
      <c r="JM35" s="34">
        <v>8.17</v>
      </c>
      <c r="JN35" s="34">
        <v>8.4600000000000009</v>
      </c>
      <c r="JO35" s="34">
        <v>8.49</v>
      </c>
      <c r="JP35" s="34">
        <v>8.42</v>
      </c>
      <c r="JQ35" s="34">
        <v>8.6</v>
      </c>
      <c r="JR35" s="34">
        <v>8.5</v>
      </c>
      <c r="JS35" s="34">
        <v>8.61</v>
      </c>
      <c r="JT35" s="34">
        <v>8.39</v>
      </c>
      <c r="JU35" s="34">
        <v>8.2899999999999991</v>
      </c>
      <c r="JV35" s="34">
        <v>8.4700000000000006</v>
      </c>
      <c r="JW35" s="34">
        <v>8.44</v>
      </c>
      <c r="JX35" s="34">
        <v>8.4</v>
      </c>
      <c r="JY35" s="34">
        <v>8.17</v>
      </c>
      <c r="JZ35" s="34">
        <v>8.44</v>
      </c>
      <c r="KA35" s="34">
        <v>8.3699999999999992</v>
      </c>
      <c r="KB35" s="34">
        <v>8.5</v>
      </c>
      <c r="KC35" s="34">
        <v>8.35</v>
      </c>
      <c r="KD35" s="34">
        <v>8.33</v>
      </c>
      <c r="KE35" s="34">
        <v>7.62</v>
      </c>
      <c r="KF35" s="34">
        <v>8.41</v>
      </c>
      <c r="KG35" s="34">
        <v>8.44</v>
      </c>
      <c r="KH35" s="34">
        <v>8.5500000000000007</v>
      </c>
      <c r="KI35" s="34">
        <v>8.51</v>
      </c>
      <c r="KJ35" s="34">
        <v>8.24</v>
      </c>
      <c r="KK35" s="34">
        <v>8.0299999999999994</v>
      </c>
      <c r="KL35" s="34">
        <v>8.4</v>
      </c>
      <c r="KM35" s="34">
        <v>8.33</v>
      </c>
      <c r="KN35" s="34">
        <v>8.11</v>
      </c>
      <c r="KO35" s="34">
        <v>7.54</v>
      </c>
    </row>
    <row r="36" spans="1:301" x14ac:dyDescent="0.2">
      <c r="A36" s="28" t="s">
        <v>53</v>
      </c>
      <c r="B36" s="29" t="s">
        <v>54</v>
      </c>
      <c r="C36" s="38">
        <v>0.3</v>
      </c>
      <c r="D36" s="34">
        <v>0.9</v>
      </c>
      <c r="E36" s="34">
        <v>0.7</v>
      </c>
      <c r="F36" s="39">
        <v>0.2</v>
      </c>
      <c r="G36" s="40">
        <v>0</v>
      </c>
      <c r="H36" s="40">
        <v>0</v>
      </c>
      <c r="I36" s="34">
        <v>0</v>
      </c>
      <c r="J36" s="34">
        <v>0</v>
      </c>
      <c r="K36" s="34">
        <v>0.2</v>
      </c>
      <c r="L36" s="34">
        <v>0.1</v>
      </c>
      <c r="M36" s="34">
        <v>0.05</v>
      </c>
      <c r="N36" s="34">
        <v>0.05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4"/>
      <c r="JI36" s="34"/>
      <c r="JJ36" s="34"/>
      <c r="JK36" s="34"/>
      <c r="JL36" s="34"/>
      <c r="JM36" s="34"/>
      <c r="JN36" s="34"/>
      <c r="JO36" s="34"/>
      <c r="JP36" s="34"/>
      <c r="JQ36" s="34"/>
      <c r="JR36" s="34"/>
      <c r="JS36" s="34"/>
      <c r="JT36" s="34"/>
      <c r="JU36" s="34"/>
      <c r="JV36" s="34"/>
      <c r="JW36" s="34"/>
      <c r="JX36" s="34"/>
      <c r="JY36" s="34"/>
      <c r="JZ36" s="34"/>
      <c r="KA36" s="34"/>
      <c r="KB36" s="34"/>
      <c r="KC36" s="34"/>
      <c r="KD36" s="34"/>
      <c r="KE36" s="34"/>
      <c r="KF36" s="34"/>
      <c r="KG36" s="34"/>
      <c r="KH36" s="34"/>
      <c r="KI36" s="34"/>
      <c r="KJ36" s="31"/>
      <c r="KK36" s="31"/>
      <c r="KL36" s="34"/>
      <c r="KM36" s="34"/>
      <c r="KN36" s="34"/>
      <c r="KO36" s="34"/>
    </row>
    <row r="37" spans="1:301" x14ac:dyDescent="0.2">
      <c r="A37" s="36" t="s">
        <v>55</v>
      </c>
      <c r="B37" s="29" t="s">
        <v>22</v>
      </c>
      <c r="C37" s="38">
        <v>41</v>
      </c>
      <c r="D37" s="34">
        <v>185</v>
      </c>
      <c r="E37" s="34">
        <v>209</v>
      </c>
      <c r="F37" s="39">
        <v>74</v>
      </c>
      <c r="G37" s="40">
        <v>0</v>
      </c>
      <c r="H37" s="40">
        <v>3</v>
      </c>
      <c r="I37" s="34">
        <v>7</v>
      </c>
      <c r="J37" s="34">
        <v>4</v>
      </c>
      <c r="K37" s="34">
        <v>11</v>
      </c>
      <c r="L37" s="34">
        <v>11</v>
      </c>
      <c r="M37" s="34">
        <v>22</v>
      </c>
      <c r="N37" s="34">
        <v>81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>
        <v>0</v>
      </c>
      <c r="AF37" s="34">
        <v>0</v>
      </c>
      <c r="AG37" s="34">
        <v>0</v>
      </c>
      <c r="AH37" s="34">
        <v>22</v>
      </c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>
        <v>0</v>
      </c>
      <c r="AZ37" s="34">
        <v>0</v>
      </c>
      <c r="BA37" s="34">
        <v>0</v>
      </c>
      <c r="BB37" s="34">
        <v>33</v>
      </c>
      <c r="BC37" s="34"/>
      <c r="BD37" s="34"/>
      <c r="BE37" s="34"/>
      <c r="BF37" s="34"/>
      <c r="BG37" s="34">
        <v>0</v>
      </c>
      <c r="BH37" s="34">
        <v>1</v>
      </c>
      <c r="BI37" s="34">
        <v>1</v>
      </c>
      <c r="BJ37" s="34">
        <v>4</v>
      </c>
      <c r="BK37" s="34"/>
      <c r="BL37" s="34"/>
      <c r="BM37" s="34">
        <v>38</v>
      </c>
      <c r="BN37" s="34">
        <v>22</v>
      </c>
      <c r="BO37" s="34">
        <v>28</v>
      </c>
      <c r="BP37" s="34">
        <v>193</v>
      </c>
      <c r="BQ37" s="34">
        <v>37</v>
      </c>
      <c r="BR37" s="34">
        <v>37</v>
      </c>
      <c r="BS37" s="34"/>
      <c r="BT37" s="34"/>
      <c r="BU37" s="34"/>
      <c r="BV37" s="34"/>
      <c r="BW37" s="34"/>
      <c r="BX37" s="34"/>
      <c r="BY37" s="34">
        <v>105</v>
      </c>
      <c r="BZ37" s="34">
        <v>116</v>
      </c>
      <c r="CA37" s="34">
        <v>101</v>
      </c>
      <c r="CB37" s="34">
        <v>143</v>
      </c>
      <c r="CC37" s="34">
        <v>103</v>
      </c>
      <c r="CD37" s="34">
        <v>9</v>
      </c>
      <c r="CE37" s="52"/>
      <c r="CF37" s="52"/>
      <c r="CG37" s="34"/>
      <c r="CH37" s="34"/>
      <c r="CI37" s="34"/>
      <c r="CJ37" s="34"/>
      <c r="CK37" s="34">
        <v>13</v>
      </c>
      <c r="CL37" s="34">
        <v>153</v>
      </c>
      <c r="CM37" s="34">
        <v>2320</v>
      </c>
      <c r="CN37" s="34">
        <v>180</v>
      </c>
      <c r="CO37" s="34">
        <v>170</v>
      </c>
      <c r="CP37" s="34">
        <v>9</v>
      </c>
      <c r="CQ37" s="34"/>
      <c r="CR37" s="34"/>
      <c r="CS37" s="34"/>
      <c r="CT37" s="34"/>
      <c r="CU37" s="34"/>
      <c r="CV37" s="34"/>
      <c r="CW37" s="31" t="s">
        <v>56</v>
      </c>
      <c r="CX37" s="31" t="s">
        <v>56</v>
      </c>
      <c r="CY37" s="31" t="s">
        <v>56</v>
      </c>
      <c r="CZ37" s="31" t="s">
        <v>56</v>
      </c>
      <c r="DA37" s="31" t="s">
        <v>56</v>
      </c>
      <c r="DB37" s="31" t="s">
        <v>56</v>
      </c>
      <c r="DC37" s="34"/>
      <c r="DD37" s="34"/>
      <c r="DE37" s="34"/>
      <c r="DF37" s="34"/>
      <c r="DG37" s="34"/>
      <c r="DH37" s="34"/>
      <c r="DI37" s="34">
        <v>128</v>
      </c>
      <c r="DJ37" s="34">
        <v>124</v>
      </c>
      <c r="DK37" s="34">
        <v>116</v>
      </c>
      <c r="DL37" s="34">
        <v>155</v>
      </c>
      <c r="DM37" s="34">
        <v>130</v>
      </c>
      <c r="DN37" s="31" t="s">
        <v>56</v>
      </c>
      <c r="DO37" s="34"/>
      <c r="DP37" s="34"/>
      <c r="DQ37" s="34"/>
      <c r="DR37" s="34"/>
      <c r="DS37" s="34"/>
      <c r="DT37" s="34"/>
      <c r="DU37" s="31" t="s">
        <v>57</v>
      </c>
      <c r="DV37" s="31" t="s">
        <v>57</v>
      </c>
      <c r="DW37" s="31" t="s">
        <v>57</v>
      </c>
      <c r="DX37" s="31" t="s">
        <v>57</v>
      </c>
      <c r="DY37" s="31" t="s">
        <v>57</v>
      </c>
      <c r="DZ37" s="31" t="s">
        <v>57</v>
      </c>
      <c r="EA37" s="34"/>
      <c r="EB37" s="34"/>
      <c r="EC37" s="34"/>
      <c r="ED37" s="34"/>
      <c r="EE37" s="34"/>
      <c r="EF37" s="34"/>
      <c r="EG37" s="37">
        <v>15</v>
      </c>
      <c r="EH37" s="37">
        <v>22</v>
      </c>
      <c r="EI37" s="37">
        <v>28</v>
      </c>
      <c r="EJ37" s="37">
        <v>134</v>
      </c>
      <c r="EK37" s="37">
        <v>48</v>
      </c>
      <c r="EL37" s="37">
        <v>47</v>
      </c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>
        <v>85</v>
      </c>
      <c r="EZ37" s="37">
        <v>180</v>
      </c>
      <c r="FA37" s="37">
        <v>180</v>
      </c>
      <c r="FB37" s="37">
        <v>420</v>
      </c>
      <c r="FC37" s="37">
        <v>98</v>
      </c>
      <c r="FD37" s="37">
        <v>115</v>
      </c>
      <c r="FE37" s="37"/>
      <c r="FF37" s="37"/>
      <c r="FG37" s="37"/>
      <c r="FH37" s="37"/>
      <c r="FI37" s="37"/>
      <c r="FJ37" s="37"/>
      <c r="FK37" s="37" t="s">
        <v>57</v>
      </c>
      <c r="FL37" s="37" t="s">
        <v>57</v>
      </c>
      <c r="FM37" s="37" t="s">
        <v>57</v>
      </c>
      <c r="FN37" s="37" t="s">
        <v>57</v>
      </c>
      <c r="FO37" s="37" t="s">
        <v>57</v>
      </c>
      <c r="FP37" s="37"/>
      <c r="FQ37" s="37"/>
      <c r="FR37" s="37"/>
      <c r="FS37" s="37"/>
      <c r="FT37" s="37"/>
      <c r="FU37" s="37"/>
      <c r="FV37" s="37"/>
      <c r="FW37" s="37">
        <v>8</v>
      </c>
      <c r="FX37" s="37">
        <v>12</v>
      </c>
      <c r="FY37" s="37">
        <v>9</v>
      </c>
      <c r="FZ37" s="37">
        <v>42</v>
      </c>
      <c r="GA37" s="37">
        <v>8</v>
      </c>
      <c r="GB37" s="31" t="s">
        <v>57</v>
      </c>
      <c r="GC37" s="37"/>
      <c r="GD37" s="37"/>
      <c r="GE37" s="37"/>
      <c r="GF37" s="37"/>
      <c r="GG37" s="37"/>
      <c r="GH37" s="37"/>
      <c r="GI37" s="37" t="s">
        <v>57</v>
      </c>
      <c r="GJ37" s="37">
        <v>6</v>
      </c>
      <c r="GK37" s="37" t="s">
        <v>57</v>
      </c>
      <c r="GL37" s="37" t="s">
        <v>57</v>
      </c>
      <c r="GM37" s="37">
        <v>6</v>
      </c>
      <c r="GN37" s="37" t="s">
        <v>57</v>
      </c>
      <c r="GO37" s="37"/>
      <c r="GP37" s="37"/>
      <c r="GQ37" s="37"/>
      <c r="GR37" s="37"/>
      <c r="GS37" s="37"/>
      <c r="GT37" s="37"/>
      <c r="GU37" s="37">
        <v>7</v>
      </c>
      <c r="GV37" s="37">
        <v>10</v>
      </c>
      <c r="GW37" s="37">
        <v>11</v>
      </c>
      <c r="GX37" s="37">
        <v>20</v>
      </c>
      <c r="GY37" s="37">
        <v>18</v>
      </c>
      <c r="GZ37" s="37">
        <v>4</v>
      </c>
      <c r="HA37" s="37"/>
      <c r="HB37" s="37"/>
      <c r="HC37" s="37"/>
      <c r="HD37" s="37"/>
      <c r="HE37" s="37"/>
      <c r="HF37" s="37"/>
      <c r="HG37" s="31" t="s">
        <v>57</v>
      </c>
      <c r="HH37" s="31">
        <v>7</v>
      </c>
      <c r="HI37" s="31" t="s">
        <v>57</v>
      </c>
      <c r="HJ37" s="31" t="s">
        <v>57</v>
      </c>
      <c r="HK37" s="31" t="s">
        <v>57</v>
      </c>
      <c r="HL37" s="31" t="s">
        <v>57</v>
      </c>
      <c r="HM37" s="31">
        <v>9</v>
      </c>
      <c r="HN37" s="31">
        <v>8</v>
      </c>
      <c r="HO37" s="31">
        <v>11</v>
      </c>
      <c r="HP37" s="31">
        <v>22</v>
      </c>
      <c r="HQ37" s="31">
        <v>17</v>
      </c>
      <c r="HR37" s="31">
        <v>8</v>
      </c>
      <c r="HS37" s="31">
        <v>230</v>
      </c>
      <c r="HT37" s="31">
        <v>198</v>
      </c>
      <c r="HU37" s="31">
        <v>180</v>
      </c>
      <c r="HV37" s="31">
        <v>290</v>
      </c>
      <c r="HW37" s="31">
        <v>198</v>
      </c>
      <c r="HX37" s="31">
        <v>15</v>
      </c>
      <c r="HY37" s="31"/>
      <c r="HZ37" s="31"/>
      <c r="IA37" s="31"/>
      <c r="IB37" s="31"/>
      <c r="IC37" s="31"/>
      <c r="ID37" s="31"/>
      <c r="IE37" s="31">
        <v>18</v>
      </c>
      <c r="IF37" s="31">
        <v>31</v>
      </c>
      <c r="IG37" s="31">
        <v>19</v>
      </c>
      <c r="IH37" s="31">
        <v>22</v>
      </c>
      <c r="II37" s="31">
        <v>27</v>
      </c>
      <c r="IJ37" s="31" t="s">
        <v>57</v>
      </c>
      <c r="IK37" s="31"/>
      <c r="IL37" s="31"/>
      <c r="IM37" s="31"/>
      <c r="IN37" s="31"/>
      <c r="IO37" s="31"/>
      <c r="IP37" s="31">
        <v>113</v>
      </c>
      <c r="IQ37" s="31">
        <v>176</v>
      </c>
      <c r="IR37" s="31">
        <v>120</v>
      </c>
      <c r="IS37" s="31">
        <v>194</v>
      </c>
      <c r="IT37" s="31" t="s">
        <v>57</v>
      </c>
      <c r="IU37" s="31">
        <v>177</v>
      </c>
      <c r="IV37" s="31"/>
      <c r="IW37" s="31"/>
      <c r="IX37" s="31"/>
      <c r="IY37" s="31"/>
      <c r="IZ37" s="31"/>
      <c r="JA37" s="31"/>
      <c r="JB37" s="31">
        <v>12</v>
      </c>
      <c r="JC37" s="31">
        <v>30</v>
      </c>
      <c r="JD37" s="31">
        <v>11</v>
      </c>
      <c r="JE37" s="31">
        <v>40</v>
      </c>
      <c r="JF37" s="31">
        <v>6</v>
      </c>
      <c r="JG37" s="31" t="s">
        <v>57</v>
      </c>
      <c r="JH37" s="34">
        <v>6</v>
      </c>
      <c r="JI37" s="34">
        <v>6</v>
      </c>
      <c r="JJ37" s="34">
        <v>7</v>
      </c>
      <c r="JK37" s="34">
        <v>12</v>
      </c>
      <c r="JL37" s="34">
        <v>11</v>
      </c>
      <c r="JM37" s="31" t="s">
        <v>57</v>
      </c>
      <c r="JN37" s="31"/>
      <c r="JO37" s="31"/>
      <c r="JP37" s="31"/>
      <c r="JQ37" s="31"/>
      <c r="JR37" s="31"/>
      <c r="JS37" s="31"/>
      <c r="JT37" s="31">
        <v>6</v>
      </c>
      <c r="JU37" s="31">
        <v>6</v>
      </c>
      <c r="JV37" s="31">
        <v>7</v>
      </c>
      <c r="JW37" s="31">
        <v>12</v>
      </c>
      <c r="JX37" s="31">
        <v>11</v>
      </c>
      <c r="JY37" s="31" t="s">
        <v>57</v>
      </c>
      <c r="JZ37" s="31"/>
      <c r="KA37" s="31"/>
      <c r="KB37" s="31"/>
      <c r="KC37" s="31"/>
      <c r="KD37" s="31"/>
      <c r="KE37" s="31"/>
      <c r="KF37" s="31" t="s">
        <v>57</v>
      </c>
      <c r="KG37" s="31" t="s">
        <v>57</v>
      </c>
      <c r="KH37" s="31" t="s">
        <v>57</v>
      </c>
      <c r="KI37" s="31" t="s">
        <v>57</v>
      </c>
      <c r="KJ37" s="31" t="s">
        <v>57</v>
      </c>
      <c r="KK37" s="31" t="s">
        <v>57</v>
      </c>
      <c r="KL37" s="31" t="s">
        <v>57</v>
      </c>
      <c r="KM37" s="31" t="s">
        <v>57</v>
      </c>
      <c r="KN37" s="31">
        <v>7</v>
      </c>
      <c r="KO37" s="31">
        <v>20</v>
      </c>
    </row>
    <row r="38" spans="1:301" x14ac:dyDescent="0.2">
      <c r="A38" s="36" t="s">
        <v>58</v>
      </c>
      <c r="B38" s="29" t="s">
        <v>22</v>
      </c>
      <c r="C38" s="38">
        <v>313</v>
      </c>
      <c r="D38" s="34">
        <v>453</v>
      </c>
      <c r="E38" s="34">
        <v>470</v>
      </c>
      <c r="F38" s="39">
        <v>350</v>
      </c>
      <c r="G38" s="40">
        <v>293</v>
      </c>
      <c r="H38" s="40">
        <v>297</v>
      </c>
      <c r="I38" s="34">
        <v>305</v>
      </c>
      <c r="J38" s="34">
        <v>322</v>
      </c>
      <c r="K38" s="34">
        <v>426</v>
      </c>
      <c r="L38" s="34">
        <v>439</v>
      </c>
      <c r="M38" s="34">
        <v>477</v>
      </c>
      <c r="N38" s="34">
        <v>534</v>
      </c>
      <c r="O38" s="34">
        <v>927.8</v>
      </c>
      <c r="P38" s="34">
        <v>969</v>
      </c>
      <c r="Q38" s="34">
        <v>1118</v>
      </c>
      <c r="R38" s="34">
        <v>1876</v>
      </c>
      <c r="S38" s="34">
        <v>438</v>
      </c>
      <c r="T38" s="34">
        <v>463</v>
      </c>
      <c r="U38" s="34">
        <v>453</v>
      </c>
      <c r="V38" s="34">
        <v>460</v>
      </c>
      <c r="W38" s="34">
        <v>306</v>
      </c>
      <c r="X38" s="34">
        <v>305</v>
      </c>
      <c r="Y38" s="34"/>
      <c r="Z38" s="34"/>
      <c r="AA38" s="34">
        <v>813</v>
      </c>
      <c r="AB38" s="34">
        <v>977</v>
      </c>
      <c r="AC38" s="34">
        <v>794</v>
      </c>
      <c r="AD38" s="34">
        <v>1084</v>
      </c>
      <c r="AE38" s="34">
        <v>338</v>
      </c>
      <c r="AF38" s="34">
        <v>364</v>
      </c>
      <c r="AG38" s="34">
        <v>341</v>
      </c>
      <c r="AH38" s="34">
        <v>329</v>
      </c>
      <c r="AI38" s="34">
        <v>449</v>
      </c>
      <c r="AJ38" s="34">
        <v>469</v>
      </c>
      <c r="AK38" s="34">
        <v>426</v>
      </c>
      <c r="AL38" s="34">
        <v>459</v>
      </c>
      <c r="AM38" s="34">
        <v>396</v>
      </c>
      <c r="AN38" s="34">
        <v>408</v>
      </c>
      <c r="AO38" s="34">
        <v>426</v>
      </c>
      <c r="AP38" s="34">
        <v>434</v>
      </c>
      <c r="AQ38" s="34">
        <v>429</v>
      </c>
      <c r="AR38" s="34">
        <v>454</v>
      </c>
      <c r="AS38" s="34">
        <v>452</v>
      </c>
      <c r="AT38" s="34">
        <v>460</v>
      </c>
      <c r="AU38" s="34">
        <v>432</v>
      </c>
      <c r="AV38" s="34">
        <v>468</v>
      </c>
      <c r="AW38" s="34">
        <v>399</v>
      </c>
      <c r="AX38" s="34">
        <v>478</v>
      </c>
      <c r="AY38" s="34">
        <v>411</v>
      </c>
      <c r="AZ38" s="34">
        <v>420</v>
      </c>
      <c r="BA38" s="34">
        <v>428</v>
      </c>
      <c r="BB38" s="34">
        <v>461</v>
      </c>
      <c r="BC38" s="34">
        <v>461</v>
      </c>
      <c r="BD38" s="34">
        <v>481</v>
      </c>
      <c r="BE38" s="34">
        <v>497</v>
      </c>
      <c r="BF38" s="34">
        <v>593</v>
      </c>
      <c r="BG38" s="34">
        <v>349</v>
      </c>
      <c r="BH38" s="34">
        <v>358</v>
      </c>
      <c r="BI38" s="34">
        <v>359</v>
      </c>
      <c r="BJ38" s="34">
        <v>405</v>
      </c>
      <c r="BK38" s="34"/>
      <c r="BL38" s="34"/>
      <c r="BM38" s="34">
        <v>320</v>
      </c>
      <c r="BN38" s="34">
        <v>328</v>
      </c>
      <c r="BO38" s="34">
        <v>337</v>
      </c>
      <c r="BP38" s="34">
        <v>513</v>
      </c>
      <c r="BQ38" s="34">
        <v>342</v>
      </c>
      <c r="BR38" s="34">
        <v>455</v>
      </c>
      <c r="BS38" s="34"/>
      <c r="BT38" s="34"/>
      <c r="BU38" s="34"/>
      <c r="BV38" s="34"/>
      <c r="BW38" s="34"/>
      <c r="BX38" s="34"/>
      <c r="BY38" s="34">
        <v>366</v>
      </c>
      <c r="BZ38" s="34">
        <v>412</v>
      </c>
      <c r="CA38" s="34">
        <v>430</v>
      </c>
      <c r="CB38" s="34">
        <v>438</v>
      </c>
      <c r="CC38" s="34">
        <v>399</v>
      </c>
      <c r="CD38" s="34">
        <v>367</v>
      </c>
      <c r="CE38" s="34"/>
      <c r="CF38" s="34"/>
      <c r="CG38" s="34"/>
      <c r="CH38" s="34"/>
      <c r="CI38" s="34"/>
      <c r="CJ38" s="34"/>
      <c r="CK38" s="34">
        <v>255</v>
      </c>
      <c r="CL38" s="34">
        <v>367</v>
      </c>
      <c r="CM38" s="34">
        <v>2968</v>
      </c>
      <c r="CN38" s="34">
        <v>458</v>
      </c>
      <c r="CO38" s="34">
        <v>398</v>
      </c>
      <c r="CP38" s="34">
        <v>403</v>
      </c>
      <c r="CQ38" s="34"/>
      <c r="CR38" s="34"/>
      <c r="CS38" s="34"/>
      <c r="CT38" s="34"/>
      <c r="CU38" s="34"/>
      <c r="CV38" s="34"/>
      <c r="CW38" s="34">
        <v>401</v>
      </c>
      <c r="CX38" s="34">
        <v>382</v>
      </c>
      <c r="CY38" s="34">
        <v>375</v>
      </c>
      <c r="CZ38" s="34">
        <v>464</v>
      </c>
      <c r="DA38" s="34">
        <v>435</v>
      </c>
      <c r="DB38" s="34">
        <v>458</v>
      </c>
      <c r="DC38" s="34"/>
      <c r="DD38" s="34"/>
      <c r="DE38" s="34"/>
      <c r="DF38" s="34"/>
      <c r="DG38" s="34"/>
      <c r="DH38" s="34"/>
      <c r="DI38" s="34">
        <v>439</v>
      </c>
      <c r="DJ38" s="34">
        <v>435</v>
      </c>
      <c r="DK38" s="34">
        <v>425</v>
      </c>
      <c r="DL38" s="34">
        <v>479</v>
      </c>
      <c r="DM38" s="34">
        <v>445</v>
      </c>
      <c r="DN38" s="34">
        <v>430</v>
      </c>
      <c r="DO38" s="34"/>
      <c r="DP38" s="34"/>
      <c r="DQ38" s="34"/>
      <c r="DR38" s="34"/>
      <c r="DS38" s="34"/>
      <c r="DT38" s="34"/>
      <c r="DU38" s="34">
        <v>433</v>
      </c>
      <c r="DV38" s="34">
        <v>418</v>
      </c>
      <c r="DW38" s="34">
        <v>411</v>
      </c>
      <c r="DX38" s="34">
        <v>419</v>
      </c>
      <c r="DY38" s="34">
        <v>420</v>
      </c>
      <c r="DZ38" s="34">
        <v>473</v>
      </c>
      <c r="EA38" s="34"/>
      <c r="EB38" s="34"/>
      <c r="EC38" s="34"/>
      <c r="ED38" s="34"/>
      <c r="EE38" s="34"/>
      <c r="EF38" s="34"/>
      <c r="EG38" s="37">
        <v>280</v>
      </c>
      <c r="EH38" s="37">
        <v>328</v>
      </c>
      <c r="EI38" s="37">
        <v>347</v>
      </c>
      <c r="EJ38" s="37">
        <v>497</v>
      </c>
      <c r="EK38" s="37">
        <v>390</v>
      </c>
      <c r="EL38" s="37">
        <v>513</v>
      </c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>
        <v>385</v>
      </c>
      <c r="EZ38" s="37">
        <v>374</v>
      </c>
      <c r="FA38" s="37">
        <v>4780</v>
      </c>
      <c r="FB38" s="37">
        <v>667</v>
      </c>
      <c r="FC38" s="37">
        <v>403</v>
      </c>
      <c r="FD38" s="37">
        <v>567</v>
      </c>
      <c r="FE38" s="37"/>
      <c r="FF38" s="37"/>
      <c r="FG38" s="37"/>
      <c r="FH38" s="37"/>
      <c r="FI38" s="37"/>
      <c r="FJ38" s="37"/>
      <c r="FK38" s="37">
        <v>422</v>
      </c>
      <c r="FL38" s="37">
        <v>449</v>
      </c>
      <c r="FM38" s="37">
        <v>450</v>
      </c>
      <c r="FN38" s="37">
        <v>466</v>
      </c>
      <c r="FO38" s="37">
        <v>438</v>
      </c>
      <c r="FP38" s="37"/>
      <c r="FQ38" s="37"/>
      <c r="FR38" s="37"/>
      <c r="FS38" s="37"/>
      <c r="FT38" s="37"/>
      <c r="FU38" s="37"/>
      <c r="FV38" s="37"/>
      <c r="FW38" s="37">
        <v>242</v>
      </c>
      <c r="FX38" s="37">
        <v>338</v>
      </c>
      <c r="FY38" s="37">
        <v>277</v>
      </c>
      <c r="FZ38" s="37">
        <v>359</v>
      </c>
      <c r="GA38" s="37">
        <v>273</v>
      </c>
      <c r="GB38" s="37">
        <v>550</v>
      </c>
      <c r="GC38" s="37"/>
      <c r="GD38" s="37"/>
      <c r="GE38" s="37"/>
      <c r="GF38" s="37"/>
      <c r="GG38" s="37"/>
      <c r="GH38" s="37"/>
      <c r="GI38" s="37">
        <v>393</v>
      </c>
      <c r="GJ38" s="37">
        <v>381</v>
      </c>
      <c r="GK38" s="37">
        <v>376</v>
      </c>
      <c r="GL38" s="37">
        <v>387</v>
      </c>
      <c r="GM38" s="37">
        <v>382</v>
      </c>
      <c r="GN38" s="37">
        <v>556</v>
      </c>
      <c r="GO38" s="37"/>
      <c r="GP38" s="37"/>
      <c r="GQ38" s="37"/>
      <c r="GR38" s="37"/>
      <c r="GS38" s="37"/>
      <c r="GT38" s="37"/>
      <c r="GU38" s="37">
        <v>271</v>
      </c>
      <c r="GV38" s="37">
        <v>271</v>
      </c>
      <c r="GW38" s="37">
        <v>297</v>
      </c>
      <c r="GX38" s="37">
        <v>329</v>
      </c>
      <c r="GY38" s="37">
        <v>294</v>
      </c>
      <c r="GZ38" s="37">
        <v>502</v>
      </c>
      <c r="HA38" s="37"/>
      <c r="HB38" s="37"/>
      <c r="HC38" s="37"/>
      <c r="HD38" s="37"/>
      <c r="HE38" s="37"/>
      <c r="HF38" s="37"/>
      <c r="HG38" s="31">
        <v>442</v>
      </c>
      <c r="HH38" s="31">
        <v>455</v>
      </c>
      <c r="HI38" s="31">
        <v>459</v>
      </c>
      <c r="HJ38" s="31">
        <v>482</v>
      </c>
      <c r="HK38" s="31">
        <v>445</v>
      </c>
      <c r="HL38" s="31">
        <v>510</v>
      </c>
      <c r="HM38" s="31">
        <v>324</v>
      </c>
      <c r="HN38" s="31">
        <v>344</v>
      </c>
      <c r="HO38" s="31">
        <v>383</v>
      </c>
      <c r="HP38" s="31">
        <v>411</v>
      </c>
      <c r="HQ38" s="31">
        <v>367</v>
      </c>
      <c r="HR38" s="31">
        <v>549</v>
      </c>
      <c r="HS38" s="31">
        <v>515</v>
      </c>
      <c r="HT38" s="31">
        <v>496</v>
      </c>
      <c r="HU38" s="31">
        <v>501</v>
      </c>
      <c r="HV38" s="31">
        <v>571</v>
      </c>
      <c r="HW38" s="31">
        <v>510</v>
      </c>
      <c r="HX38" s="31">
        <v>417</v>
      </c>
      <c r="HY38" s="31"/>
      <c r="HZ38" s="31"/>
      <c r="IA38" s="31"/>
      <c r="IB38" s="31"/>
      <c r="IC38" s="31"/>
      <c r="ID38" s="31"/>
      <c r="IE38" s="31">
        <v>517</v>
      </c>
      <c r="IF38" s="31">
        <v>532</v>
      </c>
      <c r="IG38" s="31">
        <v>514</v>
      </c>
      <c r="IH38" s="31">
        <v>536</v>
      </c>
      <c r="II38" s="31">
        <v>531</v>
      </c>
      <c r="IJ38" s="31">
        <v>571</v>
      </c>
      <c r="IK38" s="31"/>
      <c r="IL38" s="31"/>
      <c r="IM38" s="31"/>
      <c r="IN38" s="31"/>
      <c r="IO38" s="31"/>
      <c r="IP38" s="31">
        <v>459</v>
      </c>
      <c r="IQ38" s="31">
        <v>476</v>
      </c>
      <c r="IR38" s="31">
        <v>461</v>
      </c>
      <c r="IS38" s="31">
        <v>514</v>
      </c>
      <c r="IT38" s="31">
        <v>549</v>
      </c>
      <c r="IU38" s="31">
        <v>472</v>
      </c>
      <c r="IV38" s="31"/>
      <c r="IW38" s="31"/>
      <c r="IX38" s="31"/>
      <c r="IY38" s="31"/>
      <c r="IZ38" s="31"/>
      <c r="JA38" s="31"/>
      <c r="JB38" s="31">
        <v>306</v>
      </c>
      <c r="JC38" s="31">
        <v>302</v>
      </c>
      <c r="JD38" s="31">
        <v>300</v>
      </c>
      <c r="JE38" s="31">
        <v>383</v>
      </c>
      <c r="JF38" s="31">
        <v>309</v>
      </c>
      <c r="JG38" s="31">
        <v>420</v>
      </c>
      <c r="JH38" s="34">
        <v>359</v>
      </c>
      <c r="JI38" s="34">
        <v>371</v>
      </c>
      <c r="JJ38" s="34">
        <v>384</v>
      </c>
      <c r="JK38" s="34">
        <v>408</v>
      </c>
      <c r="JL38" s="34">
        <v>368</v>
      </c>
      <c r="JM38" s="34">
        <v>464</v>
      </c>
      <c r="JN38" s="34"/>
      <c r="JO38" s="34"/>
      <c r="JP38" s="34"/>
      <c r="JQ38" s="34"/>
      <c r="JR38" s="34"/>
      <c r="JS38" s="34"/>
      <c r="JT38" s="34">
        <v>359</v>
      </c>
      <c r="JU38" s="34">
        <v>371</v>
      </c>
      <c r="JV38" s="34">
        <v>384</v>
      </c>
      <c r="JW38" s="34">
        <v>408</v>
      </c>
      <c r="JX38" s="34">
        <v>368</v>
      </c>
      <c r="JY38" s="34">
        <v>464</v>
      </c>
      <c r="JZ38" s="34"/>
      <c r="KA38" s="34"/>
      <c r="KB38" s="34"/>
      <c r="KC38" s="34"/>
      <c r="KD38" s="34"/>
      <c r="KE38" s="34"/>
      <c r="KF38" s="34">
        <v>420</v>
      </c>
      <c r="KG38" s="34">
        <v>395</v>
      </c>
      <c r="KH38" s="34">
        <v>392</v>
      </c>
      <c r="KI38" s="34">
        <v>400</v>
      </c>
      <c r="KJ38" s="34">
        <v>505</v>
      </c>
      <c r="KK38" s="34">
        <v>506</v>
      </c>
      <c r="KL38" s="34">
        <v>497</v>
      </c>
      <c r="KM38" s="34">
        <v>528</v>
      </c>
      <c r="KN38" s="34">
        <v>515</v>
      </c>
      <c r="KO38" s="34">
        <v>587</v>
      </c>
    </row>
    <row r="39" spans="1:301" x14ac:dyDescent="0.2">
      <c r="A39" s="28" t="s">
        <v>59</v>
      </c>
      <c r="B39" s="29" t="s">
        <v>22</v>
      </c>
      <c r="C39" s="38"/>
      <c r="D39" s="34"/>
      <c r="E39" s="34"/>
      <c r="F39" s="39"/>
      <c r="G39" s="40"/>
      <c r="H39" s="40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4"/>
      <c r="JI39" s="34"/>
      <c r="JJ39" s="34"/>
      <c r="JK39" s="34"/>
      <c r="JL39" s="34"/>
      <c r="JM39" s="34"/>
      <c r="JN39" s="34"/>
      <c r="JO39" s="34"/>
      <c r="JP39" s="34"/>
      <c r="JQ39" s="34"/>
      <c r="JR39" s="34"/>
      <c r="JS39" s="34"/>
      <c r="JT39" s="34"/>
      <c r="JU39" s="34"/>
      <c r="JV39" s="34"/>
      <c r="JW39" s="34"/>
      <c r="JX39" s="34"/>
      <c r="JY39" s="34"/>
      <c r="JZ39" s="34"/>
      <c r="KA39" s="34"/>
      <c r="KB39" s="34"/>
      <c r="KC39" s="34"/>
      <c r="KD39" s="34"/>
      <c r="KE39" s="34"/>
      <c r="KF39" s="34"/>
      <c r="KG39" s="34"/>
      <c r="KH39" s="34"/>
      <c r="KI39" s="34"/>
      <c r="KJ39" s="34"/>
      <c r="KK39" s="34"/>
      <c r="KL39" s="34"/>
      <c r="KM39" s="34"/>
      <c r="KN39" s="34"/>
      <c r="KO39" s="34"/>
    </row>
    <row r="40" spans="1:301" x14ac:dyDescent="0.2">
      <c r="A40" s="36" t="s">
        <v>60</v>
      </c>
      <c r="B40" s="29" t="s">
        <v>22</v>
      </c>
      <c r="C40" s="38">
        <v>0</v>
      </c>
      <c r="D40" s="34">
        <v>18</v>
      </c>
      <c r="E40" s="34">
        <v>15</v>
      </c>
      <c r="F40" s="39">
        <v>6</v>
      </c>
      <c r="G40" s="40">
        <v>14.5</v>
      </c>
      <c r="H40" s="40">
        <v>27.75</v>
      </c>
      <c r="I40" s="34">
        <v>23.5</v>
      </c>
      <c r="J40" s="34">
        <v>7</v>
      </c>
      <c r="K40" s="34">
        <v>39.200000000000003</v>
      </c>
      <c r="L40" s="34">
        <v>17.600000000000001</v>
      </c>
      <c r="M40" s="34">
        <v>18</v>
      </c>
      <c r="N40" s="34">
        <v>32</v>
      </c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>
        <v>10</v>
      </c>
      <c r="AZ40" s="34">
        <v>6.7</v>
      </c>
      <c r="BA40" s="34">
        <v>3</v>
      </c>
      <c r="BB40" s="34">
        <v>7.3</v>
      </c>
      <c r="BC40" s="34"/>
      <c r="BD40" s="34"/>
      <c r="BE40" s="34"/>
      <c r="BF40" s="34"/>
      <c r="BG40" s="34">
        <v>5.2</v>
      </c>
      <c r="BH40" s="34">
        <v>5.2</v>
      </c>
      <c r="BI40" s="34">
        <v>0.8</v>
      </c>
      <c r="BJ40" s="34">
        <v>1.6</v>
      </c>
      <c r="BK40" s="34"/>
      <c r="BL40" s="34"/>
      <c r="BM40" s="34">
        <v>2</v>
      </c>
      <c r="BN40" s="34">
        <v>6.4</v>
      </c>
      <c r="BO40" s="34">
        <v>8.4</v>
      </c>
      <c r="BP40" s="34">
        <v>17.600000000000001</v>
      </c>
      <c r="BQ40" s="34">
        <v>5.6</v>
      </c>
      <c r="BR40" s="34">
        <v>6</v>
      </c>
      <c r="BS40" s="34"/>
      <c r="BT40" s="34"/>
      <c r="BU40" s="34"/>
      <c r="BV40" s="34"/>
      <c r="BW40" s="34"/>
      <c r="BX40" s="34"/>
      <c r="BY40" s="34">
        <v>5.2</v>
      </c>
      <c r="BZ40" s="34">
        <v>2.8</v>
      </c>
      <c r="CA40" s="34">
        <v>2.8</v>
      </c>
      <c r="CB40" s="34">
        <v>3.2</v>
      </c>
      <c r="CC40" s="34">
        <v>4.4000000000000004</v>
      </c>
      <c r="CD40" s="34">
        <v>7.6</v>
      </c>
      <c r="CE40" s="34"/>
      <c r="CF40" s="34"/>
      <c r="CG40" s="34"/>
      <c r="CH40" s="34"/>
      <c r="CI40" s="34"/>
      <c r="CJ40" s="34"/>
      <c r="CK40" s="34">
        <v>26</v>
      </c>
      <c r="CL40" s="34">
        <v>28</v>
      </c>
      <c r="CM40" s="34">
        <v>18.670000000000002</v>
      </c>
      <c r="CN40" s="34">
        <v>61.6</v>
      </c>
      <c r="CO40" s="34">
        <v>52</v>
      </c>
      <c r="CP40" s="34">
        <v>34.799999999999997</v>
      </c>
      <c r="CQ40" s="34"/>
      <c r="CR40" s="34"/>
      <c r="CS40" s="34"/>
      <c r="CT40" s="34"/>
      <c r="CU40" s="34"/>
      <c r="CV40" s="34"/>
      <c r="CW40" s="34">
        <v>9.6</v>
      </c>
      <c r="CX40" s="34">
        <v>10.4</v>
      </c>
      <c r="CY40" s="34">
        <v>2.4</v>
      </c>
      <c r="CZ40" s="34">
        <v>5.6</v>
      </c>
      <c r="DA40" s="34">
        <v>0.8</v>
      </c>
      <c r="DB40" s="34">
        <v>9.6</v>
      </c>
      <c r="DC40" s="34"/>
      <c r="DD40" s="34"/>
      <c r="DE40" s="34"/>
      <c r="DF40" s="34"/>
      <c r="DG40" s="34"/>
      <c r="DH40" s="34"/>
      <c r="DI40" s="34">
        <v>1.2</v>
      </c>
      <c r="DJ40" s="34">
        <v>4</v>
      </c>
      <c r="DK40" s="34">
        <v>2</v>
      </c>
      <c r="DL40" s="34">
        <v>6</v>
      </c>
      <c r="DM40" s="34">
        <v>1.6</v>
      </c>
      <c r="DN40" s="34">
        <v>6.4</v>
      </c>
      <c r="DO40" s="34"/>
      <c r="DP40" s="34"/>
      <c r="DQ40" s="34"/>
      <c r="DR40" s="34"/>
      <c r="DS40" s="34"/>
      <c r="DT40" s="34"/>
      <c r="DU40" s="34">
        <v>12.8</v>
      </c>
      <c r="DV40" s="34">
        <v>51.6</v>
      </c>
      <c r="DW40" s="34">
        <v>45.2</v>
      </c>
      <c r="DX40" s="34">
        <v>18.8</v>
      </c>
      <c r="DY40" s="34">
        <v>20</v>
      </c>
      <c r="DZ40" s="34">
        <v>62.4</v>
      </c>
      <c r="EA40" s="34"/>
      <c r="EB40" s="34"/>
      <c r="EC40" s="34"/>
      <c r="ED40" s="34"/>
      <c r="EE40" s="34"/>
      <c r="EF40" s="34"/>
      <c r="EG40" s="37">
        <v>10.4</v>
      </c>
      <c r="EH40" s="37">
        <v>10</v>
      </c>
      <c r="EI40" s="37">
        <v>11.6</v>
      </c>
      <c r="EJ40" s="37">
        <v>12.4</v>
      </c>
      <c r="EK40" s="37">
        <v>10.4</v>
      </c>
      <c r="EL40" s="37">
        <v>6</v>
      </c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>
        <v>34</v>
      </c>
      <c r="EZ40" s="37">
        <v>2.4</v>
      </c>
      <c r="FA40" s="37">
        <v>6</v>
      </c>
      <c r="FB40" s="37">
        <v>40.4</v>
      </c>
      <c r="FC40" s="37">
        <v>8.4</v>
      </c>
      <c r="FD40" s="37">
        <v>55.6</v>
      </c>
      <c r="FE40" s="37"/>
      <c r="FF40" s="37"/>
      <c r="FG40" s="37"/>
      <c r="FH40" s="37"/>
      <c r="FI40" s="37"/>
      <c r="FJ40" s="37"/>
      <c r="FK40" s="37">
        <v>11.6</v>
      </c>
      <c r="FL40" s="37">
        <v>7.2</v>
      </c>
      <c r="FM40" s="37">
        <v>8</v>
      </c>
      <c r="FN40" s="37">
        <v>10</v>
      </c>
      <c r="FO40" s="37">
        <v>7.2</v>
      </c>
      <c r="FP40" s="37"/>
      <c r="FQ40" s="37"/>
      <c r="FR40" s="37"/>
      <c r="FS40" s="37"/>
      <c r="FT40" s="37"/>
      <c r="FU40" s="37"/>
      <c r="FV40" s="37"/>
      <c r="FW40" s="37">
        <v>18.399999999999999</v>
      </c>
      <c r="FX40" s="37">
        <v>12.8</v>
      </c>
      <c r="FY40" s="37">
        <v>3.6</v>
      </c>
      <c r="FZ40" s="37">
        <v>2.8</v>
      </c>
      <c r="GA40" s="37">
        <v>9.1999999999999993</v>
      </c>
      <c r="GB40" s="37">
        <v>9.1999999999999993</v>
      </c>
      <c r="GC40" s="37"/>
      <c r="GD40" s="37"/>
      <c r="GE40" s="37"/>
      <c r="GF40" s="37"/>
      <c r="GG40" s="37"/>
      <c r="GH40" s="37"/>
      <c r="GI40" s="37">
        <v>3.2</v>
      </c>
      <c r="GJ40" s="37">
        <v>11.9</v>
      </c>
      <c r="GK40" s="37">
        <v>14.8</v>
      </c>
      <c r="GL40" s="37">
        <v>7.6</v>
      </c>
      <c r="GM40" s="37">
        <v>9.1999999999999993</v>
      </c>
      <c r="GN40" s="37">
        <v>4.8</v>
      </c>
      <c r="GO40" s="37"/>
      <c r="GP40" s="37"/>
      <c r="GQ40" s="37"/>
      <c r="GR40" s="37"/>
      <c r="GS40" s="37"/>
      <c r="GT40" s="37"/>
      <c r="GU40" s="37">
        <v>3.6</v>
      </c>
      <c r="GV40" s="37">
        <v>2</v>
      </c>
      <c r="GW40" s="37">
        <v>2.8</v>
      </c>
      <c r="GX40" s="37">
        <v>7.6</v>
      </c>
      <c r="GY40" s="37">
        <v>6.8</v>
      </c>
      <c r="GZ40" s="37">
        <v>5.6</v>
      </c>
      <c r="HA40" s="37"/>
      <c r="HB40" s="37"/>
      <c r="HC40" s="37"/>
      <c r="HD40" s="37"/>
      <c r="HE40" s="37"/>
      <c r="HF40" s="37"/>
      <c r="HG40" s="31">
        <v>10</v>
      </c>
      <c r="HH40" s="31">
        <v>4.4000000000000004</v>
      </c>
      <c r="HI40" s="31">
        <v>10.4</v>
      </c>
      <c r="HJ40" s="31">
        <v>12</v>
      </c>
      <c r="HK40" s="31">
        <v>16.8</v>
      </c>
      <c r="HL40" s="31">
        <v>5.2</v>
      </c>
      <c r="HM40" s="31">
        <v>8.4</v>
      </c>
      <c r="HN40" s="31">
        <v>5.2</v>
      </c>
      <c r="HO40" s="31">
        <v>6.8</v>
      </c>
      <c r="HP40" s="31">
        <v>3.2</v>
      </c>
      <c r="HQ40" s="31">
        <v>17.600000000000001</v>
      </c>
      <c r="HR40" s="31">
        <v>31.2</v>
      </c>
      <c r="HS40" s="31">
        <v>8</v>
      </c>
      <c r="HT40" s="31">
        <v>6.8</v>
      </c>
      <c r="HU40" s="31">
        <v>12</v>
      </c>
      <c r="HV40" s="31">
        <v>10.4</v>
      </c>
      <c r="HW40" s="31">
        <v>2.8</v>
      </c>
      <c r="HX40" s="31">
        <v>25.6</v>
      </c>
      <c r="HY40" s="31"/>
      <c r="HZ40" s="31"/>
      <c r="IA40" s="31"/>
      <c r="IB40" s="31"/>
      <c r="IC40" s="31"/>
      <c r="ID40" s="31"/>
      <c r="IE40" s="31">
        <v>4.4000000000000004</v>
      </c>
      <c r="IF40" s="31">
        <v>7.6</v>
      </c>
      <c r="IG40" s="31">
        <v>13.6</v>
      </c>
      <c r="IH40" s="31">
        <v>8.4</v>
      </c>
      <c r="II40" s="31">
        <v>4.4000000000000004</v>
      </c>
      <c r="IJ40" s="31">
        <v>0</v>
      </c>
      <c r="IK40" s="31"/>
      <c r="IL40" s="31"/>
      <c r="IM40" s="31"/>
      <c r="IN40" s="31"/>
      <c r="IO40" s="31"/>
      <c r="IP40" s="31">
        <v>18.399999999999999</v>
      </c>
      <c r="IQ40" s="31">
        <v>28.4</v>
      </c>
      <c r="IR40" s="31">
        <v>18.399999999999999</v>
      </c>
      <c r="IS40" s="31">
        <v>22.8</v>
      </c>
      <c r="IT40" s="31">
        <v>6</v>
      </c>
      <c r="IU40" s="31">
        <v>12.4</v>
      </c>
      <c r="IV40" s="31"/>
      <c r="IW40" s="31"/>
      <c r="IX40" s="31"/>
      <c r="IY40" s="31"/>
      <c r="IZ40" s="31"/>
      <c r="JA40" s="31"/>
      <c r="JB40" s="31">
        <v>8.5</v>
      </c>
      <c r="JC40" s="31">
        <v>9.5</v>
      </c>
      <c r="JD40" s="31">
        <v>10</v>
      </c>
      <c r="JE40" s="31">
        <v>11</v>
      </c>
      <c r="JF40" s="31">
        <v>10.5</v>
      </c>
      <c r="JG40" s="31">
        <v>16</v>
      </c>
      <c r="JH40" s="34">
        <v>4.8</v>
      </c>
      <c r="JI40" s="34">
        <v>10.8</v>
      </c>
      <c r="JJ40" s="34">
        <v>0</v>
      </c>
      <c r="JK40" s="34">
        <v>6.8</v>
      </c>
      <c r="JL40" s="34">
        <v>10.8</v>
      </c>
      <c r="JM40" s="34">
        <v>5.6</v>
      </c>
      <c r="JN40" s="34"/>
      <c r="JO40" s="34"/>
      <c r="JP40" s="34"/>
      <c r="JQ40" s="34"/>
      <c r="JR40" s="34"/>
      <c r="JS40" s="34"/>
      <c r="JT40" s="34">
        <v>4.8</v>
      </c>
      <c r="JU40" s="34">
        <v>10.8</v>
      </c>
      <c r="JV40" s="34">
        <v>0</v>
      </c>
      <c r="JW40" s="34">
        <v>6.8</v>
      </c>
      <c r="JX40" s="34">
        <v>10.8</v>
      </c>
      <c r="JY40" s="34">
        <v>5.6</v>
      </c>
      <c r="JZ40" s="34"/>
      <c r="KA40" s="34"/>
      <c r="KB40" s="34"/>
      <c r="KC40" s="34"/>
      <c r="KD40" s="34"/>
      <c r="KE40" s="34"/>
      <c r="KF40" s="34">
        <v>11.2</v>
      </c>
      <c r="KG40" s="34">
        <v>17.600000000000001</v>
      </c>
      <c r="KH40" s="34">
        <v>6.4</v>
      </c>
      <c r="KI40" s="34">
        <v>7.2</v>
      </c>
      <c r="KJ40" s="34">
        <v>0.4</v>
      </c>
      <c r="KK40" s="34">
        <v>11.2</v>
      </c>
      <c r="KL40" s="34">
        <v>6</v>
      </c>
      <c r="KM40" s="34">
        <v>0.4</v>
      </c>
      <c r="KN40" s="34">
        <v>11.6</v>
      </c>
      <c r="KO40" s="34">
        <v>3.6</v>
      </c>
    </row>
    <row r="41" spans="1:301" x14ac:dyDescent="0.2">
      <c r="A41" s="28" t="s">
        <v>61</v>
      </c>
      <c r="B41" s="29" t="s">
        <v>22</v>
      </c>
      <c r="C41" s="38">
        <v>10.65</v>
      </c>
      <c r="D41" s="34">
        <v>16.36</v>
      </c>
      <c r="E41" s="34">
        <v>18.329999999999998</v>
      </c>
      <c r="F41" s="39">
        <v>23.95</v>
      </c>
      <c r="G41" s="40">
        <v>0</v>
      </c>
      <c r="H41" s="40">
        <v>0.7</v>
      </c>
      <c r="I41" s="34">
        <v>0.7</v>
      </c>
      <c r="J41" s="34">
        <v>8</v>
      </c>
      <c r="K41" s="34">
        <v>20.45</v>
      </c>
      <c r="L41" s="34">
        <v>29.09</v>
      </c>
      <c r="M41" s="34">
        <v>53.64</v>
      </c>
      <c r="N41" s="34">
        <v>73.34</v>
      </c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4"/>
      <c r="JI41" s="34"/>
      <c r="JJ41" s="34"/>
      <c r="JK41" s="34"/>
      <c r="JL41" s="34"/>
      <c r="JM41" s="34"/>
      <c r="JN41" s="34"/>
      <c r="JO41" s="34"/>
      <c r="JP41" s="34"/>
      <c r="JQ41" s="34"/>
      <c r="JR41" s="34"/>
      <c r="JS41" s="34"/>
      <c r="JT41" s="34"/>
      <c r="JU41" s="34"/>
      <c r="JV41" s="34"/>
      <c r="JW41" s="34"/>
      <c r="JX41" s="34"/>
      <c r="JY41" s="34"/>
      <c r="JZ41" s="34"/>
      <c r="KA41" s="34"/>
      <c r="KB41" s="34"/>
      <c r="KC41" s="34"/>
      <c r="KD41" s="34"/>
      <c r="KE41" s="34"/>
      <c r="KF41" s="34"/>
      <c r="KG41" s="34"/>
      <c r="KH41" s="34"/>
      <c r="KI41" s="34"/>
      <c r="KJ41" s="34"/>
      <c r="KK41" s="34"/>
      <c r="KL41" s="34"/>
      <c r="KM41" s="34"/>
      <c r="KN41" s="34"/>
      <c r="KO41" s="34"/>
    </row>
    <row r="42" spans="1:301" x14ac:dyDescent="0.2">
      <c r="A42" s="28" t="s">
        <v>62</v>
      </c>
      <c r="B42" s="29" t="s">
        <v>63</v>
      </c>
      <c r="C42" s="38"/>
      <c r="D42" s="34"/>
      <c r="E42" s="34"/>
      <c r="F42" s="39"/>
      <c r="G42" s="40"/>
      <c r="H42" s="40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  <c r="HB42" s="34"/>
      <c r="HC42" s="34"/>
      <c r="HD42" s="34"/>
      <c r="HE42" s="34"/>
      <c r="HF42" s="34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4"/>
      <c r="JI42" s="34"/>
      <c r="JJ42" s="34"/>
      <c r="JK42" s="34"/>
      <c r="JL42" s="34"/>
      <c r="JM42" s="34"/>
      <c r="JN42" s="34"/>
      <c r="JO42" s="34"/>
      <c r="JP42" s="34"/>
      <c r="JQ42" s="34"/>
      <c r="JR42" s="34"/>
      <c r="JS42" s="34"/>
      <c r="JT42" s="34"/>
      <c r="JU42" s="34"/>
      <c r="JV42" s="34"/>
      <c r="JW42" s="34"/>
      <c r="JX42" s="34"/>
      <c r="JY42" s="34"/>
      <c r="JZ42" s="34"/>
      <c r="KA42" s="34"/>
      <c r="KB42" s="34"/>
      <c r="KC42" s="34"/>
      <c r="KD42" s="34"/>
      <c r="KE42" s="34"/>
      <c r="KF42" s="34"/>
      <c r="KG42" s="34"/>
      <c r="KH42" s="34"/>
      <c r="KI42" s="34"/>
      <c r="KJ42" s="34"/>
      <c r="KK42" s="34"/>
      <c r="KL42" s="34"/>
      <c r="KM42" s="34"/>
      <c r="KN42" s="34"/>
      <c r="KO42" s="34"/>
    </row>
    <row r="43" spans="1:301" x14ac:dyDescent="0.2">
      <c r="A43" s="28" t="s">
        <v>64</v>
      </c>
      <c r="B43" s="29" t="s">
        <v>65</v>
      </c>
      <c r="C43" s="38">
        <v>17</v>
      </c>
      <c r="D43" s="34">
        <v>40</v>
      </c>
      <c r="E43" s="34">
        <v>52</v>
      </c>
      <c r="F43" s="39">
        <v>26</v>
      </c>
      <c r="G43" s="40"/>
      <c r="H43" s="40"/>
      <c r="I43" s="34"/>
      <c r="J43" s="34"/>
      <c r="K43" s="34">
        <v>15</v>
      </c>
      <c r="L43" s="34">
        <v>14</v>
      </c>
      <c r="M43" s="34">
        <v>22</v>
      </c>
      <c r="N43" s="34">
        <v>56</v>
      </c>
      <c r="O43" s="34"/>
      <c r="P43" s="34"/>
      <c r="Q43" s="34"/>
      <c r="R43" s="34"/>
      <c r="S43" s="34">
        <v>2.5</v>
      </c>
      <c r="T43" s="34">
        <v>5.6</v>
      </c>
      <c r="U43" s="34">
        <v>11</v>
      </c>
      <c r="V43" s="34">
        <v>9.4</v>
      </c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  <c r="HB43" s="34"/>
      <c r="HC43" s="34"/>
      <c r="HD43" s="34"/>
      <c r="HE43" s="34"/>
      <c r="HF43" s="34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4"/>
      <c r="JI43" s="34"/>
      <c r="JJ43" s="34"/>
      <c r="JK43" s="34"/>
      <c r="JL43" s="34"/>
      <c r="JM43" s="34"/>
      <c r="JN43" s="34"/>
      <c r="JO43" s="34"/>
      <c r="JP43" s="34"/>
      <c r="JQ43" s="34"/>
      <c r="JR43" s="34"/>
      <c r="JS43" s="34"/>
      <c r="JT43" s="34"/>
      <c r="JU43" s="34"/>
      <c r="JV43" s="34"/>
      <c r="JW43" s="34"/>
      <c r="JX43" s="34"/>
      <c r="JY43" s="34"/>
      <c r="JZ43" s="34"/>
      <c r="KA43" s="34"/>
      <c r="KB43" s="34"/>
      <c r="KC43" s="34"/>
      <c r="KD43" s="34"/>
      <c r="KE43" s="34"/>
      <c r="KF43" s="34"/>
      <c r="KG43" s="34"/>
      <c r="KH43" s="34"/>
      <c r="KI43" s="34"/>
      <c r="KJ43" s="34"/>
      <c r="KK43" s="34"/>
      <c r="KL43" s="34"/>
      <c r="KM43" s="34"/>
      <c r="KN43" s="34"/>
      <c r="KO43" s="34"/>
    </row>
    <row r="44" spans="1:301" x14ac:dyDescent="0.2">
      <c r="A44" s="53" t="s">
        <v>66</v>
      </c>
      <c r="B44" s="54" t="s">
        <v>67</v>
      </c>
      <c r="C44" s="55">
        <v>3000</v>
      </c>
      <c r="D44" s="52">
        <v>7000</v>
      </c>
      <c r="E44" s="52">
        <v>17000</v>
      </c>
      <c r="F44" s="56">
        <v>11000</v>
      </c>
      <c r="G44" s="57">
        <v>13000</v>
      </c>
      <c r="H44" s="57">
        <v>3000</v>
      </c>
      <c r="I44" s="52">
        <v>2200</v>
      </c>
      <c r="J44" s="52">
        <v>17000</v>
      </c>
      <c r="K44" s="52">
        <v>50000</v>
      </c>
      <c r="L44" s="52">
        <v>30000</v>
      </c>
      <c r="M44" s="52">
        <v>8000</v>
      </c>
      <c r="N44" s="52">
        <v>17000</v>
      </c>
      <c r="O44" s="52">
        <v>50000</v>
      </c>
      <c r="P44" s="52">
        <v>30000</v>
      </c>
      <c r="Q44" s="52">
        <v>24000</v>
      </c>
      <c r="R44" s="52">
        <v>30000</v>
      </c>
      <c r="S44" s="52">
        <v>5000</v>
      </c>
      <c r="T44" s="52">
        <v>1300</v>
      </c>
      <c r="U44" s="52">
        <v>50000</v>
      </c>
      <c r="V44" s="52">
        <v>8000</v>
      </c>
      <c r="W44" s="52">
        <v>17000</v>
      </c>
      <c r="X44" s="52">
        <v>7000</v>
      </c>
      <c r="Y44" s="52"/>
      <c r="Z44" s="52"/>
      <c r="AA44" s="52">
        <v>90000</v>
      </c>
      <c r="AB44" s="52">
        <v>130000</v>
      </c>
      <c r="AC44" s="52">
        <v>30000</v>
      </c>
      <c r="AD44" s="58">
        <v>80000</v>
      </c>
      <c r="AE44" s="52">
        <v>3000</v>
      </c>
      <c r="AF44" s="52">
        <v>50000</v>
      </c>
      <c r="AG44" s="52">
        <v>5000</v>
      </c>
      <c r="AH44" s="52">
        <v>5000</v>
      </c>
      <c r="AI44" s="52">
        <v>5000</v>
      </c>
      <c r="AJ44" s="58">
        <v>11000</v>
      </c>
      <c r="AK44" s="52">
        <v>2200</v>
      </c>
      <c r="AL44" s="52">
        <v>2800</v>
      </c>
      <c r="AM44" s="52">
        <v>5000</v>
      </c>
      <c r="AN44" s="52">
        <v>3000</v>
      </c>
      <c r="AO44" s="52">
        <v>2400</v>
      </c>
      <c r="AP44" s="52">
        <v>8000</v>
      </c>
      <c r="AQ44" s="52">
        <v>17000</v>
      </c>
      <c r="AR44" s="52">
        <v>13000</v>
      </c>
      <c r="AS44" s="52">
        <v>5000</v>
      </c>
      <c r="AT44" s="52">
        <v>5000</v>
      </c>
      <c r="AU44" s="58">
        <v>2800</v>
      </c>
      <c r="AV44" s="52">
        <v>3000</v>
      </c>
      <c r="AW44" s="52">
        <v>5000</v>
      </c>
      <c r="AX44" s="52">
        <v>1300</v>
      </c>
      <c r="AY44" s="52">
        <v>5000</v>
      </c>
      <c r="AZ44" s="52">
        <v>1700</v>
      </c>
      <c r="BA44" s="52">
        <v>13000</v>
      </c>
      <c r="BB44" s="52">
        <v>13000</v>
      </c>
      <c r="BC44" s="52">
        <v>2200</v>
      </c>
      <c r="BD44" s="52">
        <v>8000</v>
      </c>
      <c r="BE44" s="52">
        <v>2200</v>
      </c>
      <c r="BF44" s="52">
        <v>5000</v>
      </c>
      <c r="BG44" s="52">
        <v>7900</v>
      </c>
      <c r="BH44" s="52">
        <v>240000</v>
      </c>
      <c r="BI44" s="52">
        <v>4600</v>
      </c>
      <c r="BJ44" s="52">
        <v>2700</v>
      </c>
      <c r="BK44" s="52"/>
      <c r="BL44" s="52"/>
      <c r="BM44" s="52">
        <v>22000</v>
      </c>
      <c r="BN44" s="52">
        <v>9400</v>
      </c>
      <c r="BO44" s="52">
        <v>24000</v>
      </c>
      <c r="BP44" s="52">
        <v>22000</v>
      </c>
      <c r="BQ44" s="52">
        <v>17000</v>
      </c>
      <c r="BR44" s="58" t="s">
        <v>68</v>
      </c>
      <c r="BS44" s="52">
        <v>2400</v>
      </c>
      <c r="BT44" s="52">
        <v>2200</v>
      </c>
      <c r="BU44" s="52">
        <v>1100</v>
      </c>
      <c r="BV44" s="52">
        <v>17000</v>
      </c>
      <c r="BW44" s="52">
        <v>940</v>
      </c>
      <c r="BX44" s="52">
        <v>1300</v>
      </c>
      <c r="BY44" s="52">
        <v>4900</v>
      </c>
      <c r="BZ44" s="52">
        <v>13000</v>
      </c>
      <c r="CA44" s="52">
        <v>17000</v>
      </c>
      <c r="CB44" s="52">
        <v>17000</v>
      </c>
      <c r="CC44" s="52">
        <v>49000</v>
      </c>
      <c r="CD44" s="52">
        <v>4900</v>
      </c>
      <c r="CE44" s="52">
        <v>4000</v>
      </c>
      <c r="CF44" s="52">
        <v>11000</v>
      </c>
      <c r="CG44" s="52">
        <v>17000</v>
      </c>
      <c r="CH44" s="52">
        <v>11000</v>
      </c>
      <c r="CI44" s="52">
        <v>11000</v>
      </c>
      <c r="CJ44" s="52">
        <v>4900</v>
      </c>
      <c r="CK44" s="52">
        <v>7900</v>
      </c>
      <c r="CL44" s="52">
        <v>11000</v>
      </c>
      <c r="CM44" s="52">
        <v>170000</v>
      </c>
      <c r="CN44" s="52">
        <v>79000</v>
      </c>
      <c r="CO44" s="52">
        <v>790</v>
      </c>
      <c r="CP44" s="52">
        <v>1700</v>
      </c>
      <c r="CQ44" s="58">
        <v>14000</v>
      </c>
      <c r="CR44" s="52">
        <v>17000</v>
      </c>
      <c r="CS44" s="52">
        <v>160000</v>
      </c>
      <c r="CT44" s="52">
        <v>24000</v>
      </c>
      <c r="CU44" s="52">
        <v>54000</v>
      </c>
      <c r="CV44" s="52">
        <v>700</v>
      </c>
      <c r="CW44" s="52">
        <v>1700</v>
      </c>
      <c r="CX44" s="52">
        <v>1400</v>
      </c>
      <c r="CY44" s="52">
        <v>1100</v>
      </c>
      <c r="CZ44" s="52">
        <v>490</v>
      </c>
      <c r="DA44" s="52">
        <v>700</v>
      </c>
      <c r="DB44" s="52">
        <v>23</v>
      </c>
      <c r="DC44" s="52">
        <v>3300</v>
      </c>
      <c r="DD44" s="52">
        <v>1700</v>
      </c>
      <c r="DE44" s="52">
        <v>790</v>
      </c>
      <c r="DF44" s="52">
        <v>1100</v>
      </c>
      <c r="DG44" s="52">
        <v>490</v>
      </c>
      <c r="DH44" s="52">
        <v>790</v>
      </c>
      <c r="DI44" s="52">
        <v>92000</v>
      </c>
      <c r="DJ44" s="52">
        <v>92000</v>
      </c>
      <c r="DK44" s="58" t="s">
        <v>69</v>
      </c>
      <c r="DL44" s="52">
        <v>92000</v>
      </c>
      <c r="DM44" s="52">
        <v>92000</v>
      </c>
      <c r="DN44" s="52">
        <v>3300</v>
      </c>
      <c r="DO44" s="58">
        <v>3500</v>
      </c>
      <c r="DP44" s="52">
        <v>5400</v>
      </c>
      <c r="DQ44" s="52">
        <v>2200</v>
      </c>
      <c r="DR44" s="52">
        <v>5400</v>
      </c>
      <c r="DS44" s="52">
        <v>1700</v>
      </c>
      <c r="DT44" s="52">
        <v>790</v>
      </c>
      <c r="DU44" s="52">
        <v>1300</v>
      </c>
      <c r="DV44" s="52">
        <v>490</v>
      </c>
      <c r="DW44" s="52">
        <v>330</v>
      </c>
      <c r="DX44" s="52">
        <v>540</v>
      </c>
      <c r="DY44" s="52">
        <v>2400</v>
      </c>
      <c r="DZ44" s="52">
        <v>31</v>
      </c>
      <c r="EA44" s="52"/>
      <c r="EB44" s="52"/>
      <c r="EC44" s="52"/>
      <c r="ED44" s="52"/>
      <c r="EE44" s="52"/>
      <c r="EF44" s="52"/>
      <c r="EG44" s="52">
        <v>54000</v>
      </c>
      <c r="EH44" s="52">
        <v>7900</v>
      </c>
      <c r="EI44" s="52">
        <v>11000</v>
      </c>
      <c r="EJ44" s="52">
        <v>54000</v>
      </c>
      <c r="EK44" s="52">
        <v>35000</v>
      </c>
      <c r="EL44" s="58">
        <v>790</v>
      </c>
      <c r="EM44" s="52">
        <v>2400</v>
      </c>
      <c r="EN44" s="52">
        <v>170</v>
      </c>
      <c r="EO44" s="52">
        <v>1700</v>
      </c>
      <c r="EP44" s="52">
        <v>700</v>
      </c>
      <c r="EQ44" s="52">
        <v>490</v>
      </c>
      <c r="ER44" s="52">
        <v>240</v>
      </c>
      <c r="ES44" s="52">
        <v>16000</v>
      </c>
      <c r="ET44" s="58" t="s">
        <v>70</v>
      </c>
      <c r="EU44" s="52">
        <v>16000</v>
      </c>
      <c r="EV44" s="52">
        <v>35000</v>
      </c>
      <c r="EW44" s="52">
        <v>16000</v>
      </c>
      <c r="EX44" s="58">
        <v>240</v>
      </c>
      <c r="EY44" s="58">
        <v>92000</v>
      </c>
      <c r="EZ44" s="58">
        <v>35000</v>
      </c>
      <c r="FA44" s="52">
        <v>28000</v>
      </c>
      <c r="FB44" s="52">
        <v>54000</v>
      </c>
      <c r="FC44" s="52">
        <v>160000</v>
      </c>
      <c r="FD44" s="52">
        <v>4900</v>
      </c>
      <c r="FE44" s="52">
        <v>3300</v>
      </c>
      <c r="FF44" s="52">
        <v>1300</v>
      </c>
      <c r="FG44" s="52">
        <v>4900</v>
      </c>
      <c r="FH44" s="58">
        <v>3300</v>
      </c>
      <c r="FI44" s="52">
        <v>7900</v>
      </c>
      <c r="FJ44" s="52">
        <v>2300</v>
      </c>
      <c r="FK44" s="52">
        <v>1300</v>
      </c>
      <c r="FL44" s="52">
        <v>46</v>
      </c>
      <c r="FM44" s="52">
        <v>1100</v>
      </c>
      <c r="FN44" s="52">
        <v>33</v>
      </c>
      <c r="FO44" s="52">
        <v>17</v>
      </c>
      <c r="FP44" s="52"/>
      <c r="FQ44" s="52">
        <v>4600</v>
      </c>
      <c r="FR44" s="52">
        <v>7900</v>
      </c>
      <c r="FS44" s="52">
        <v>13000</v>
      </c>
      <c r="FT44" s="52">
        <v>22000</v>
      </c>
      <c r="FU44" s="52">
        <v>7900</v>
      </c>
      <c r="FV44" s="52"/>
      <c r="FW44" s="52">
        <v>11000</v>
      </c>
      <c r="FX44" s="52">
        <v>2300</v>
      </c>
      <c r="FY44" s="52">
        <v>11000</v>
      </c>
      <c r="FZ44" s="52">
        <v>4600</v>
      </c>
      <c r="GA44" s="52">
        <v>4900</v>
      </c>
      <c r="GB44" s="52">
        <v>1100</v>
      </c>
      <c r="GC44" s="52">
        <v>1700</v>
      </c>
      <c r="GD44" s="52">
        <v>1200</v>
      </c>
      <c r="GE44" s="52">
        <v>450</v>
      </c>
      <c r="GF44" s="52">
        <v>930</v>
      </c>
      <c r="GG44" s="52">
        <v>450</v>
      </c>
      <c r="GH44" s="52">
        <v>330</v>
      </c>
      <c r="GI44" s="52">
        <v>1700</v>
      </c>
      <c r="GJ44" s="52">
        <v>2300</v>
      </c>
      <c r="GK44" s="52">
        <v>2200</v>
      </c>
      <c r="GL44" s="52">
        <v>1300</v>
      </c>
      <c r="GM44" s="52">
        <v>7900</v>
      </c>
      <c r="GN44" s="52">
        <v>130</v>
      </c>
      <c r="GO44" s="52">
        <v>33000</v>
      </c>
      <c r="GP44" s="52">
        <v>110000</v>
      </c>
      <c r="GQ44" s="52">
        <v>110000</v>
      </c>
      <c r="GR44" s="52">
        <v>110000</v>
      </c>
      <c r="GS44" s="52">
        <v>13000</v>
      </c>
      <c r="GT44" s="52">
        <v>330</v>
      </c>
      <c r="GU44" s="52">
        <v>3500</v>
      </c>
      <c r="GV44" s="52">
        <v>490</v>
      </c>
      <c r="GW44" s="52">
        <v>230</v>
      </c>
      <c r="GX44" s="52">
        <v>490</v>
      </c>
      <c r="GY44" s="52">
        <v>2400</v>
      </c>
      <c r="GZ44" s="52">
        <v>790</v>
      </c>
      <c r="HA44" s="52"/>
      <c r="HB44" s="52"/>
      <c r="HC44" s="52"/>
      <c r="HD44" s="52"/>
      <c r="HE44" s="52"/>
      <c r="HF44" s="52"/>
      <c r="HG44" s="58">
        <v>1100</v>
      </c>
      <c r="HH44" s="58">
        <v>200</v>
      </c>
      <c r="HI44" s="58">
        <v>1100</v>
      </c>
      <c r="HJ44" s="58">
        <v>1400</v>
      </c>
      <c r="HK44" s="58">
        <v>780</v>
      </c>
      <c r="HL44" s="58">
        <v>5400</v>
      </c>
      <c r="HM44" s="58">
        <v>4900</v>
      </c>
      <c r="HN44" s="58">
        <v>7000</v>
      </c>
      <c r="HO44" s="58">
        <v>3300</v>
      </c>
      <c r="HP44" s="58">
        <v>13000</v>
      </c>
      <c r="HQ44" s="58">
        <v>3300</v>
      </c>
      <c r="HR44" s="58">
        <v>1300</v>
      </c>
      <c r="HS44" s="58">
        <v>3300</v>
      </c>
      <c r="HT44" s="58">
        <v>17000</v>
      </c>
      <c r="HU44" s="58">
        <v>4900</v>
      </c>
      <c r="HV44" s="58">
        <v>1700</v>
      </c>
      <c r="HW44" s="58">
        <v>13000</v>
      </c>
      <c r="HX44" s="58">
        <v>2200</v>
      </c>
      <c r="HY44" s="58">
        <v>490</v>
      </c>
      <c r="HZ44" s="58">
        <v>490</v>
      </c>
      <c r="IA44" s="58">
        <v>490</v>
      </c>
      <c r="IB44" s="58">
        <v>2200</v>
      </c>
      <c r="IC44" s="58">
        <v>1100</v>
      </c>
      <c r="ID44" s="58">
        <v>1300</v>
      </c>
      <c r="IE44" s="58">
        <v>1700</v>
      </c>
      <c r="IF44" s="58">
        <v>3500</v>
      </c>
      <c r="IG44" s="58">
        <v>5400</v>
      </c>
      <c r="IH44" s="58">
        <v>9200</v>
      </c>
      <c r="II44" s="58">
        <v>79</v>
      </c>
      <c r="IJ44" s="58">
        <v>3500</v>
      </c>
      <c r="IK44" s="58">
        <v>450</v>
      </c>
      <c r="IL44" s="58">
        <v>780</v>
      </c>
      <c r="IM44" s="58">
        <v>2000</v>
      </c>
      <c r="IN44" s="58">
        <v>5400</v>
      </c>
      <c r="IO44" s="58">
        <v>2000</v>
      </c>
      <c r="IP44" s="58">
        <v>22000</v>
      </c>
      <c r="IQ44" s="58">
        <v>11000</v>
      </c>
      <c r="IR44" s="58">
        <v>33000</v>
      </c>
      <c r="IS44" s="58">
        <v>49000</v>
      </c>
      <c r="IT44" s="58">
        <v>3500</v>
      </c>
      <c r="IU44" s="58">
        <v>17000</v>
      </c>
      <c r="IV44" s="58">
        <v>1100</v>
      </c>
      <c r="IW44" s="58">
        <v>490</v>
      </c>
      <c r="IX44" s="58">
        <v>1700</v>
      </c>
      <c r="IY44" s="58" t="s">
        <v>68</v>
      </c>
      <c r="IZ44" s="58">
        <v>5400</v>
      </c>
      <c r="JA44" s="58">
        <v>23</v>
      </c>
      <c r="JB44" s="58">
        <v>27000</v>
      </c>
      <c r="JC44" s="58">
        <v>9100</v>
      </c>
      <c r="JD44" s="58">
        <v>4500</v>
      </c>
      <c r="JE44" s="58">
        <v>33000</v>
      </c>
      <c r="JF44" s="58">
        <v>4900</v>
      </c>
      <c r="JG44" s="58">
        <v>2700</v>
      </c>
      <c r="JH44" s="52">
        <v>4500</v>
      </c>
      <c r="JI44" s="58">
        <v>2300</v>
      </c>
      <c r="JJ44" s="52">
        <v>14000</v>
      </c>
      <c r="JK44" s="52">
        <v>22000</v>
      </c>
      <c r="JL44" s="52">
        <v>13000</v>
      </c>
      <c r="JM44" s="52">
        <v>1400</v>
      </c>
      <c r="JN44" s="52"/>
      <c r="JO44" s="52">
        <v>0</v>
      </c>
      <c r="JP44" s="52"/>
      <c r="JQ44" s="52"/>
      <c r="JR44" s="52"/>
      <c r="JS44" s="52"/>
      <c r="JT44" s="58">
        <v>4500</v>
      </c>
      <c r="JU44" s="52">
        <v>2300</v>
      </c>
      <c r="JV44" s="52">
        <v>14000</v>
      </c>
      <c r="JW44" s="52">
        <v>22000</v>
      </c>
      <c r="JX44" s="52">
        <v>13000</v>
      </c>
      <c r="JY44" s="58">
        <v>1400</v>
      </c>
      <c r="JZ44" s="58">
        <v>2000</v>
      </c>
      <c r="KA44" s="58">
        <v>780</v>
      </c>
      <c r="KB44" s="58">
        <v>450</v>
      </c>
      <c r="KC44" s="58">
        <v>2000</v>
      </c>
      <c r="KD44" s="58">
        <v>780</v>
      </c>
      <c r="KE44" s="58">
        <v>200</v>
      </c>
      <c r="KF44" s="58">
        <v>1700</v>
      </c>
      <c r="KG44" s="58">
        <v>1100</v>
      </c>
      <c r="KH44" s="58">
        <v>1100</v>
      </c>
      <c r="KI44" s="58">
        <v>490</v>
      </c>
      <c r="KJ44" s="58">
        <v>790</v>
      </c>
      <c r="KK44" s="58">
        <v>330</v>
      </c>
      <c r="KL44" s="58">
        <v>79</v>
      </c>
      <c r="KM44" s="58">
        <v>490</v>
      </c>
      <c r="KN44" s="58">
        <v>700</v>
      </c>
      <c r="KO44" s="58">
        <v>1700</v>
      </c>
    </row>
    <row r="45" spans="1:301" x14ac:dyDescent="0.2">
      <c r="A45" s="53" t="s">
        <v>71</v>
      </c>
      <c r="B45" s="54" t="s">
        <v>67</v>
      </c>
      <c r="C45" s="55">
        <v>3000</v>
      </c>
      <c r="D45" s="52">
        <v>2200</v>
      </c>
      <c r="E45" s="52">
        <v>7000</v>
      </c>
      <c r="F45" s="56">
        <v>11000</v>
      </c>
      <c r="G45" s="57">
        <v>13000</v>
      </c>
      <c r="H45" s="57">
        <v>3000</v>
      </c>
      <c r="I45" s="52">
        <v>2200</v>
      </c>
      <c r="J45" s="52">
        <v>17000</v>
      </c>
      <c r="K45" s="52">
        <v>800</v>
      </c>
      <c r="L45" s="52">
        <v>1700</v>
      </c>
      <c r="M45" s="52">
        <v>2200</v>
      </c>
      <c r="N45" s="52">
        <v>8000</v>
      </c>
      <c r="O45" s="52">
        <v>1700</v>
      </c>
      <c r="P45" s="52">
        <v>5000</v>
      </c>
      <c r="Q45" s="52">
        <v>8000</v>
      </c>
      <c r="R45" s="52">
        <v>3000</v>
      </c>
      <c r="S45" s="52">
        <v>3000</v>
      </c>
      <c r="T45" s="52">
        <v>800</v>
      </c>
      <c r="U45" s="52">
        <v>1700</v>
      </c>
      <c r="V45" s="52">
        <v>5000</v>
      </c>
      <c r="W45" s="52">
        <v>5000</v>
      </c>
      <c r="X45" s="52">
        <v>2400</v>
      </c>
      <c r="Y45" s="52"/>
      <c r="Z45" s="52"/>
      <c r="AA45" s="52">
        <v>30000</v>
      </c>
      <c r="AB45" s="52">
        <v>30000</v>
      </c>
      <c r="AC45" s="52">
        <v>30000</v>
      </c>
      <c r="AD45" s="58">
        <v>8000</v>
      </c>
      <c r="AE45" s="52">
        <v>1300</v>
      </c>
      <c r="AF45" s="52">
        <v>1100</v>
      </c>
      <c r="AG45" s="52">
        <v>1100</v>
      </c>
      <c r="AH45" s="52">
        <v>300</v>
      </c>
      <c r="AI45" s="58">
        <v>1300</v>
      </c>
      <c r="AJ45" s="52">
        <v>800</v>
      </c>
      <c r="AK45" s="52">
        <v>800</v>
      </c>
      <c r="AL45" s="52">
        <v>230</v>
      </c>
      <c r="AM45" s="52">
        <v>1100</v>
      </c>
      <c r="AN45" s="52">
        <v>1700</v>
      </c>
      <c r="AO45" s="52">
        <v>1300</v>
      </c>
      <c r="AP45" s="52">
        <v>2800</v>
      </c>
      <c r="AQ45" s="52">
        <v>5000</v>
      </c>
      <c r="AR45" s="52">
        <v>1700</v>
      </c>
      <c r="AS45" s="58">
        <v>3000</v>
      </c>
      <c r="AT45" s="52">
        <v>1100</v>
      </c>
      <c r="AU45" s="52">
        <v>500</v>
      </c>
      <c r="AV45" s="52">
        <v>1030</v>
      </c>
      <c r="AW45" s="52">
        <v>1300</v>
      </c>
      <c r="AX45" s="52">
        <v>1300</v>
      </c>
      <c r="AY45" s="52">
        <v>1700</v>
      </c>
      <c r="AZ45" s="52">
        <v>500</v>
      </c>
      <c r="BA45" s="52">
        <v>10000</v>
      </c>
      <c r="BB45" s="52">
        <v>2400</v>
      </c>
      <c r="BC45" s="52">
        <v>500</v>
      </c>
      <c r="BD45" s="52">
        <v>800</v>
      </c>
      <c r="BE45" s="52">
        <v>1300</v>
      </c>
      <c r="BF45" s="52">
        <v>800</v>
      </c>
      <c r="BG45" s="52">
        <v>2400</v>
      </c>
      <c r="BH45" s="52">
        <v>130000</v>
      </c>
      <c r="BI45" s="52">
        <v>1700</v>
      </c>
      <c r="BJ45" s="52">
        <v>2200</v>
      </c>
      <c r="BK45" s="52"/>
      <c r="BL45" s="52"/>
      <c r="BM45" s="52">
        <v>2800</v>
      </c>
      <c r="BN45" s="52">
        <v>1300</v>
      </c>
      <c r="BO45" s="52">
        <v>4900</v>
      </c>
      <c r="BP45" s="52">
        <v>3300</v>
      </c>
      <c r="BQ45" s="52">
        <v>1700</v>
      </c>
      <c r="BR45" s="58" t="s">
        <v>68</v>
      </c>
      <c r="BS45" s="52">
        <v>790</v>
      </c>
      <c r="BT45" s="52">
        <v>1300</v>
      </c>
      <c r="BU45" s="52">
        <v>490</v>
      </c>
      <c r="BV45" s="52">
        <v>7900</v>
      </c>
      <c r="BW45" s="52">
        <v>700</v>
      </c>
      <c r="BX45" s="52">
        <v>790</v>
      </c>
      <c r="BY45" s="52">
        <v>4900</v>
      </c>
      <c r="BZ45" s="52">
        <v>13000</v>
      </c>
      <c r="CA45" s="52">
        <v>13000</v>
      </c>
      <c r="CB45" s="52">
        <v>4900</v>
      </c>
      <c r="CC45" s="52">
        <v>7900</v>
      </c>
      <c r="CD45" s="52">
        <v>1300</v>
      </c>
      <c r="CE45" s="52">
        <v>3500</v>
      </c>
      <c r="CF45" s="52">
        <v>3300</v>
      </c>
      <c r="CG45" s="52">
        <v>7000</v>
      </c>
      <c r="CH45" s="52">
        <v>3300</v>
      </c>
      <c r="CI45" s="52">
        <v>3300</v>
      </c>
      <c r="CJ45" s="52">
        <v>1700</v>
      </c>
      <c r="CK45" s="52">
        <v>3300</v>
      </c>
      <c r="CL45" s="52">
        <v>2200</v>
      </c>
      <c r="CM45" s="52">
        <v>11000</v>
      </c>
      <c r="CN45" s="52">
        <v>17000</v>
      </c>
      <c r="CO45" s="52">
        <v>330</v>
      </c>
      <c r="CP45" s="52">
        <v>230</v>
      </c>
      <c r="CQ45" s="58">
        <v>14000</v>
      </c>
      <c r="CR45" s="52">
        <v>13000</v>
      </c>
      <c r="CS45" s="52">
        <v>92000</v>
      </c>
      <c r="CT45" s="52">
        <v>13000</v>
      </c>
      <c r="CU45" s="52">
        <v>24000</v>
      </c>
      <c r="CV45" s="52">
        <v>490</v>
      </c>
      <c r="CW45" s="52">
        <v>790</v>
      </c>
      <c r="CX45" s="52">
        <v>700</v>
      </c>
      <c r="CY45" s="52">
        <v>20</v>
      </c>
      <c r="CZ45" s="52">
        <v>45</v>
      </c>
      <c r="DA45" s="52">
        <v>330</v>
      </c>
      <c r="DB45" s="31" t="s">
        <v>72</v>
      </c>
      <c r="DC45" s="52">
        <v>790</v>
      </c>
      <c r="DD45" s="52">
        <v>1300</v>
      </c>
      <c r="DE45" s="52">
        <v>490</v>
      </c>
      <c r="DF45" s="52">
        <v>790</v>
      </c>
      <c r="DG45" s="52">
        <v>330</v>
      </c>
      <c r="DH45" s="52">
        <v>170</v>
      </c>
      <c r="DI45" s="52">
        <v>35000</v>
      </c>
      <c r="DJ45" s="52">
        <v>13000</v>
      </c>
      <c r="DK45" s="52">
        <v>35000</v>
      </c>
      <c r="DL45" s="52">
        <v>35000</v>
      </c>
      <c r="DM45" s="52">
        <v>13000</v>
      </c>
      <c r="DN45" s="52">
        <v>3300</v>
      </c>
      <c r="DO45" s="52">
        <v>790</v>
      </c>
      <c r="DP45" s="52">
        <v>700</v>
      </c>
      <c r="DQ45" s="52">
        <v>1100</v>
      </c>
      <c r="DR45" s="52">
        <v>490</v>
      </c>
      <c r="DS45" s="52">
        <v>790</v>
      </c>
      <c r="DT45" s="52">
        <v>110</v>
      </c>
      <c r="DU45" s="52">
        <v>1300</v>
      </c>
      <c r="DV45" s="52">
        <v>330</v>
      </c>
      <c r="DW45" s="52">
        <v>330</v>
      </c>
      <c r="DX45" s="52">
        <v>540</v>
      </c>
      <c r="DY45" s="52">
        <v>790</v>
      </c>
      <c r="DZ45" s="52">
        <v>13</v>
      </c>
      <c r="EA45" s="52"/>
      <c r="EB45" s="52"/>
      <c r="EC45" s="52"/>
      <c r="ED45" s="52"/>
      <c r="EE45" s="52"/>
      <c r="EF45" s="52"/>
      <c r="EG45" s="52">
        <v>2200</v>
      </c>
      <c r="EH45" s="52">
        <v>3300</v>
      </c>
      <c r="EI45" s="52">
        <v>2300</v>
      </c>
      <c r="EJ45" s="52">
        <v>9400</v>
      </c>
      <c r="EK45" s="52">
        <v>4900</v>
      </c>
      <c r="EL45" s="52">
        <v>78</v>
      </c>
      <c r="EM45" s="52">
        <v>2400</v>
      </c>
      <c r="EN45" s="52">
        <v>170</v>
      </c>
      <c r="EO45" s="52">
        <v>490</v>
      </c>
      <c r="EP45" s="52">
        <v>330</v>
      </c>
      <c r="EQ45" s="52">
        <v>330</v>
      </c>
      <c r="ER45" s="52">
        <v>240</v>
      </c>
      <c r="ES45" s="52">
        <v>5400</v>
      </c>
      <c r="ET45" s="58">
        <v>3500</v>
      </c>
      <c r="EU45" s="52">
        <v>3500</v>
      </c>
      <c r="EV45" s="52">
        <v>13000</v>
      </c>
      <c r="EW45" s="52">
        <v>16000</v>
      </c>
      <c r="EX45" s="58">
        <v>240</v>
      </c>
      <c r="EY45" s="52">
        <v>13000</v>
      </c>
      <c r="EZ45" s="52">
        <v>17000</v>
      </c>
      <c r="FA45" s="52">
        <v>22000</v>
      </c>
      <c r="FB45" s="52">
        <v>13000</v>
      </c>
      <c r="FC45" s="52">
        <v>92000</v>
      </c>
      <c r="FD45" s="52">
        <v>2300</v>
      </c>
      <c r="FE45" s="52">
        <v>1300</v>
      </c>
      <c r="FF45" s="52">
        <v>1300</v>
      </c>
      <c r="FG45" s="52">
        <v>4900</v>
      </c>
      <c r="FH45" s="52">
        <v>1300</v>
      </c>
      <c r="FI45" s="52">
        <v>4900</v>
      </c>
      <c r="FJ45" s="52">
        <v>3.3</v>
      </c>
      <c r="FK45" s="52">
        <v>330</v>
      </c>
      <c r="FL45" s="52">
        <v>33</v>
      </c>
      <c r="FM45" s="52">
        <v>330</v>
      </c>
      <c r="FN45" s="52">
        <v>17</v>
      </c>
      <c r="FO45" s="52">
        <v>17</v>
      </c>
      <c r="FP45" s="52"/>
      <c r="FQ45" s="52">
        <v>3300</v>
      </c>
      <c r="FR45" s="52">
        <v>4900</v>
      </c>
      <c r="FS45" s="52">
        <v>2800</v>
      </c>
      <c r="FT45" s="52">
        <v>7900</v>
      </c>
      <c r="FU45" s="52">
        <v>4900</v>
      </c>
      <c r="FV45" s="52"/>
      <c r="FW45" s="52">
        <v>1100</v>
      </c>
      <c r="FX45" s="52">
        <v>1300</v>
      </c>
      <c r="FY45" s="52">
        <v>7000</v>
      </c>
      <c r="FZ45" s="52">
        <v>1300</v>
      </c>
      <c r="GA45" s="52">
        <v>1300</v>
      </c>
      <c r="GB45" s="52">
        <v>790</v>
      </c>
      <c r="GC45" s="52">
        <v>680</v>
      </c>
      <c r="GD45" s="52">
        <v>610</v>
      </c>
      <c r="GE45" s="52">
        <v>450</v>
      </c>
      <c r="GF45" s="52">
        <v>680</v>
      </c>
      <c r="GG45" s="52">
        <v>450</v>
      </c>
      <c r="GH45" s="52">
        <v>330</v>
      </c>
      <c r="GI45" s="52">
        <v>1100</v>
      </c>
      <c r="GJ45" s="52">
        <v>2300</v>
      </c>
      <c r="GK45" s="52">
        <v>400</v>
      </c>
      <c r="GL45" s="52">
        <v>1300</v>
      </c>
      <c r="GM45" s="52">
        <v>1700</v>
      </c>
      <c r="GN45" s="52">
        <v>79</v>
      </c>
      <c r="GO45" s="52">
        <v>13000</v>
      </c>
      <c r="GP45" s="52">
        <v>110000</v>
      </c>
      <c r="GQ45" s="52">
        <v>70000</v>
      </c>
      <c r="GR45" s="52">
        <v>33000</v>
      </c>
      <c r="GS45" s="52">
        <v>13000</v>
      </c>
      <c r="GT45" s="52">
        <v>330</v>
      </c>
      <c r="GU45" s="52">
        <v>790</v>
      </c>
      <c r="GV45" s="52">
        <v>490</v>
      </c>
      <c r="GW45" s="52">
        <v>230</v>
      </c>
      <c r="GX45" s="52">
        <v>490</v>
      </c>
      <c r="GY45" s="52">
        <v>1300</v>
      </c>
      <c r="GZ45" s="52">
        <v>490</v>
      </c>
      <c r="HA45" s="52"/>
      <c r="HB45" s="52"/>
      <c r="HC45" s="52"/>
      <c r="HD45" s="52"/>
      <c r="HE45" s="52"/>
      <c r="HF45" s="52"/>
      <c r="HG45" s="58">
        <v>450</v>
      </c>
      <c r="HH45" s="58">
        <v>200</v>
      </c>
      <c r="HI45" s="58">
        <v>780</v>
      </c>
      <c r="HJ45" s="58">
        <v>1400</v>
      </c>
      <c r="HK45" s="58">
        <v>780</v>
      </c>
      <c r="HL45" s="58">
        <v>490</v>
      </c>
      <c r="HM45" s="58">
        <v>2200</v>
      </c>
      <c r="HN45" s="58">
        <v>4900</v>
      </c>
      <c r="HO45" s="58">
        <v>680</v>
      </c>
      <c r="HP45" s="58">
        <v>3300</v>
      </c>
      <c r="HQ45" s="58">
        <v>790</v>
      </c>
      <c r="HR45" s="58">
        <v>1300</v>
      </c>
      <c r="HS45" s="58">
        <v>3300</v>
      </c>
      <c r="HT45" s="58">
        <v>17000</v>
      </c>
      <c r="HU45" s="58">
        <v>4900</v>
      </c>
      <c r="HV45" s="58">
        <v>1300</v>
      </c>
      <c r="HW45" s="58">
        <v>13000</v>
      </c>
      <c r="HX45" s="58">
        <v>2200</v>
      </c>
      <c r="HY45" s="58">
        <v>330</v>
      </c>
      <c r="HZ45" s="58">
        <v>220</v>
      </c>
      <c r="IA45" s="58">
        <v>490</v>
      </c>
      <c r="IB45" s="58">
        <v>2200</v>
      </c>
      <c r="IC45" s="58">
        <v>1100</v>
      </c>
      <c r="ID45" s="58">
        <v>330</v>
      </c>
      <c r="IE45" s="58">
        <v>1700</v>
      </c>
      <c r="IF45" s="58">
        <v>3500</v>
      </c>
      <c r="IG45" s="58">
        <v>5400</v>
      </c>
      <c r="IH45" s="58">
        <v>5400</v>
      </c>
      <c r="II45" s="58">
        <v>79</v>
      </c>
      <c r="IJ45" s="58">
        <v>1700</v>
      </c>
      <c r="IK45" s="58">
        <v>450</v>
      </c>
      <c r="IL45" s="58">
        <v>450</v>
      </c>
      <c r="IM45" s="58">
        <v>2000</v>
      </c>
      <c r="IN45" s="58">
        <v>3500</v>
      </c>
      <c r="IO45" s="58">
        <v>2000</v>
      </c>
      <c r="IP45" s="58">
        <v>13000</v>
      </c>
      <c r="IQ45" s="58">
        <v>11000</v>
      </c>
      <c r="IR45" s="58">
        <v>33000</v>
      </c>
      <c r="IS45" s="58">
        <v>49000</v>
      </c>
      <c r="IT45" s="58">
        <v>490</v>
      </c>
      <c r="IU45" s="58">
        <v>7800</v>
      </c>
      <c r="IV45" s="58">
        <v>700</v>
      </c>
      <c r="IW45" s="58">
        <v>230</v>
      </c>
      <c r="IX45" s="58">
        <v>490</v>
      </c>
      <c r="IY45" s="58">
        <v>16000</v>
      </c>
      <c r="IZ45" s="58">
        <v>3500</v>
      </c>
      <c r="JA45" s="58">
        <v>23</v>
      </c>
      <c r="JB45" s="58">
        <v>17000</v>
      </c>
      <c r="JC45" s="58">
        <v>2000</v>
      </c>
      <c r="JD45" s="58">
        <v>2000</v>
      </c>
      <c r="JE45" s="58">
        <v>23000</v>
      </c>
      <c r="JF45" s="58">
        <v>4900</v>
      </c>
      <c r="JG45" s="58">
        <v>1100</v>
      </c>
      <c r="JH45" s="58" t="s">
        <v>73</v>
      </c>
      <c r="JI45" s="58">
        <v>2300</v>
      </c>
      <c r="JJ45" s="52">
        <v>11000</v>
      </c>
      <c r="JK45" s="52">
        <v>2000</v>
      </c>
      <c r="JL45" s="52">
        <v>1700</v>
      </c>
      <c r="JM45" s="52">
        <v>330</v>
      </c>
      <c r="JN45" s="52"/>
      <c r="JO45" s="52">
        <v>0</v>
      </c>
      <c r="JP45" s="52"/>
      <c r="JQ45" s="52"/>
      <c r="JR45" s="52"/>
      <c r="JS45" s="52"/>
      <c r="JT45" s="58" t="s">
        <v>73</v>
      </c>
      <c r="JU45" s="52">
        <v>2300</v>
      </c>
      <c r="JV45" s="52">
        <v>11000</v>
      </c>
      <c r="JW45" s="52">
        <v>2000</v>
      </c>
      <c r="JX45" s="52">
        <v>1700</v>
      </c>
      <c r="JY45" s="52">
        <v>330</v>
      </c>
      <c r="JZ45" s="58" t="s">
        <v>105</v>
      </c>
      <c r="KA45" s="52">
        <v>450</v>
      </c>
      <c r="KB45" s="52">
        <v>200</v>
      </c>
      <c r="KC45" s="58">
        <v>2000</v>
      </c>
      <c r="KD45" s="52">
        <v>450</v>
      </c>
      <c r="KE45" s="58" t="s">
        <v>106</v>
      </c>
      <c r="KF45" s="58">
        <v>700</v>
      </c>
      <c r="KG45" s="58">
        <v>140</v>
      </c>
      <c r="KH45" s="58">
        <v>700</v>
      </c>
      <c r="KI45" s="58">
        <v>330</v>
      </c>
      <c r="KJ45" s="58">
        <v>220000</v>
      </c>
      <c r="KK45" s="58">
        <v>170</v>
      </c>
      <c r="KL45" s="58">
        <v>79</v>
      </c>
      <c r="KM45" s="58">
        <v>490</v>
      </c>
      <c r="KN45" s="58">
        <v>230</v>
      </c>
      <c r="KO45" s="58">
        <v>490</v>
      </c>
    </row>
    <row r="46" spans="1:301" x14ac:dyDescent="0.2">
      <c r="A46" s="36" t="s">
        <v>74</v>
      </c>
      <c r="B46" s="29" t="s">
        <v>75</v>
      </c>
      <c r="C46" s="38"/>
      <c r="D46" s="34"/>
      <c r="E46" s="34"/>
      <c r="F46" s="39"/>
      <c r="G46" s="40">
        <v>169.7</v>
      </c>
      <c r="H46" s="40">
        <v>341.1</v>
      </c>
      <c r="I46" s="34">
        <v>218.2</v>
      </c>
      <c r="J46" s="34">
        <v>240.2</v>
      </c>
      <c r="K46" s="34">
        <v>257.2</v>
      </c>
      <c r="L46" s="34">
        <v>30</v>
      </c>
      <c r="M46" s="34">
        <v>821.7</v>
      </c>
      <c r="N46" s="34">
        <v>1111</v>
      </c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>
        <v>253.6</v>
      </c>
      <c r="AZ46" s="34">
        <v>222.6</v>
      </c>
      <c r="BA46" s="34">
        <v>228.3</v>
      </c>
      <c r="BB46" s="34">
        <v>1405</v>
      </c>
      <c r="BC46" s="34"/>
      <c r="BD46" s="34"/>
      <c r="BE46" s="34"/>
      <c r="BF46" s="34"/>
      <c r="BG46" s="34">
        <v>207</v>
      </c>
      <c r="BH46" s="34">
        <v>76.2</v>
      </c>
      <c r="BI46" s="31" t="s">
        <v>76</v>
      </c>
      <c r="BJ46" s="31" t="s">
        <v>76</v>
      </c>
      <c r="BK46" s="34"/>
      <c r="BL46" s="34"/>
      <c r="BM46" s="34">
        <v>1965</v>
      </c>
      <c r="BN46" s="34">
        <v>2533</v>
      </c>
      <c r="BO46" s="34">
        <v>3932</v>
      </c>
      <c r="BP46" s="34">
        <v>7656</v>
      </c>
      <c r="BQ46" s="34">
        <v>5269</v>
      </c>
      <c r="BR46" s="34">
        <v>1186</v>
      </c>
      <c r="BS46" s="34"/>
      <c r="BT46" s="34"/>
      <c r="BU46" s="34"/>
      <c r="BV46" s="34"/>
      <c r="BW46" s="34"/>
      <c r="BX46" s="34"/>
      <c r="BY46" s="34">
        <v>20140</v>
      </c>
      <c r="BZ46" s="34">
        <v>13960</v>
      </c>
      <c r="CA46" s="34">
        <v>17020</v>
      </c>
      <c r="CB46" s="34">
        <v>16970</v>
      </c>
      <c r="CC46" s="34">
        <v>20810</v>
      </c>
      <c r="CD46" s="34">
        <v>704.5</v>
      </c>
      <c r="CE46" s="34"/>
      <c r="CF46" s="34"/>
      <c r="CG46" s="34"/>
      <c r="CH46" s="34"/>
      <c r="CI46" s="34"/>
      <c r="CJ46" s="34"/>
      <c r="CK46" s="34">
        <v>1149</v>
      </c>
      <c r="CL46" s="34">
        <v>3296</v>
      </c>
      <c r="CM46" s="34">
        <v>64810</v>
      </c>
      <c r="CN46" s="34">
        <v>8639</v>
      </c>
      <c r="CO46" s="34">
        <v>3998</v>
      </c>
      <c r="CP46" s="34">
        <v>144.1</v>
      </c>
      <c r="CQ46" s="34"/>
      <c r="CR46" s="34"/>
      <c r="CS46" s="34"/>
      <c r="CT46" s="34"/>
      <c r="CU46" s="34"/>
      <c r="CV46" s="34"/>
      <c r="CW46" s="34">
        <v>35.1</v>
      </c>
      <c r="CX46" s="34">
        <v>46.9</v>
      </c>
      <c r="CY46" s="34">
        <v>86.2</v>
      </c>
      <c r="CZ46" s="34">
        <v>58.1</v>
      </c>
      <c r="DA46" s="34">
        <v>79</v>
      </c>
      <c r="DB46" s="34">
        <v>351</v>
      </c>
      <c r="DC46" s="34"/>
      <c r="DD46" s="34"/>
      <c r="DE46" s="34"/>
      <c r="DF46" s="34"/>
      <c r="DG46" s="34"/>
      <c r="DH46" s="34"/>
      <c r="DI46" s="34">
        <v>13354</v>
      </c>
      <c r="DJ46" s="34">
        <v>11264</v>
      </c>
      <c r="DK46" s="34">
        <v>10413.700000000001</v>
      </c>
      <c r="DL46" s="34">
        <v>12837</v>
      </c>
      <c r="DM46" s="34">
        <v>12815</v>
      </c>
      <c r="DN46" s="34">
        <v>170.2</v>
      </c>
      <c r="DO46" s="52"/>
      <c r="DP46" s="52"/>
      <c r="DQ46" s="34"/>
      <c r="DR46" s="34"/>
      <c r="DS46" s="34"/>
      <c r="DT46" s="34"/>
      <c r="DU46" s="34">
        <v>93.6</v>
      </c>
      <c r="DV46" s="34">
        <v>98.7</v>
      </c>
      <c r="DW46" s="34">
        <v>55.6</v>
      </c>
      <c r="DX46" s="34">
        <v>102.3</v>
      </c>
      <c r="DY46" s="34">
        <v>244.2</v>
      </c>
      <c r="DZ46" s="34">
        <v>58.1</v>
      </c>
      <c r="EA46" s="34"/>
      <c r="EB46" s="34"/>
      <c r="EC46" s="34"/>
      <c r="ED46" s="34"/>
      <c r="EE46" s="34"/>
      <c r="EF46" s="34"/>
      <c r="EG46" s="37">
        <v>827</v>
      </c>
      <c r="EH46" s="37">
        <v>805.9</v>
      </c>
      <c r="EI46" s="37">
        <v>916.2</v>
      </c>
      <c r="EJ46" s="37">
        <v>2808.3</v>
      </c>
      <c r="EK46" s="37">
        <f>1683/1</f>
        <v>1683</v>
      </c>
      <c r="EL46" s="37">
        <v>1334.3</v>
      </c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>
        <v>4583.7</v>
      </c>
      <c r="EZ46" s="37">
        <v>4760.8</v>
      </c>
      <c r="FA46" s="37">
        <v>9566.7000000000007</v>
      </c>
      <c r="FB46" s="37">
        <v>19096</v>
      </c>
      <c r="FC46" s="37">
        <v>9013.4</v>
      </c>
      <c r="FD46" s="37">
        <v>4251.5</v>
      </c>
      <c r="FE46" s="37"/>
      <c r="FF46" s="37"/>
      <c r="FG46" s="37"/>
      <c r="FH46" s="37"/>
      <c r="FI46" s="37"/>
      <c r="FJ46" s="37"/>
      <c r="FK46" s="37">
        <v>119.1</v>
      </c>
      <c r="FL46" s="37">
        <v>235.1</v>
      </c>
      <c r="FM46" s="37">
        <v>302.10000000000002</v>
      </c>
      <c r="FN46" s="37">
        <v>200.5</v>
      </c>
      <c r="FO46" s="37">
        <v>246.1</v>
      </c>
      <c r="FP46" s="37"/>
      <c r="FQ46" s="37"/>
      <c r="FR46" s="37"/>
      <c r="FS46" s="37"/>
      <c r="FT46" s="37"/>
      <c r="FU46" s="37"/>
      <c r="FV46" s="37"/>
      <c r="FW46" s="37">
        <v>1250.7</v>
      </c>
      <c r="FX46" s="37">
        <v>999.6</v>
      </c>
      <c r="FY46" s="37">
        <v>1109.9000000000001</v>
      </c>
      <c r="FZ46" s="37">
        <v>1636.8</v>
      </c>
      <c r="GA46" s="37">
        <v>1268.3</v>
      </c>
      <c r="GB46" s="37">
        <v>183.6</v>
      </c>
      <c r="GC46" s="37"/>
      <c r="GD46" s="37"/>
      <c r="GE46" s="37"/>
      <c r="GF46" s="37"/>
      <c r="GG46" s="37"/>
      <c r="GH46" s="37"/>
      <c r="GI46" s="37">
        <v>1634.6</v>
      </c>
      <c r="GJ46" s="37">
        <v>1217.7</v>
      </c>
      <c r="GK46" s="37">
        <v>1195.7</v>
      </c>
      <c r="GL46" s="37">
        <v>921.7</v>
      </c>
      <c r="GM46" s="37">
        <v>1675.3</v>
      </c>
      <c r="GN46" s="37">
        <v>377</v>
      </c>
      <c r="GO46" s="37">
        <v>6098.4</v>
      </c>
      <c r="GP46" s="37">
        <v>7269.9</v>
      </c>
      <c r="GQ46" s="37">
        <v>9938.5</v>
      </c>
      <c r="GR46" s="37">
        <v>9901.1</v>
      </c>
      <c r="GS46" s="37">
        <v>7866.1</v>
      </c>
      <c r="GT46" s="37">
        <v>322.60000000000002</v>
      </c>
      <c r="GU46" s="37">
        <v>1394.8</v>
      </c>
      <c r="GV46" s="37">
        <v>1401.4</v>
      </c>
      <c r="GW46" s="37">
        <v>1276</v>
      </c>
      <c r="GX46" s="37">
        <v>2392.5</v>
      </c>
      <c r="GY46" s="37">
        <v>2492.6</v>
      </c>
      <c r="GZ46" s="37">
        <v>700.7</v>
      </c>
      <c r="HA46" s="37"/>
      <c r="HB46" s="37"/>
      <c r="HC46" s="37"/>
      <c r="HD46" s="37"/>
      <c r="HE46" s="37"/>
      <c r="HF46" s="37"/>
      <c r="HG46" s="31">
        <v>294.8</v>
      </c>
      <c r="HH46" s="31">
        <v>212.6</v>
      </c>
      <c r="HI46" s="31">
        <v>149.69999999999999</v>
      </c>
      <c r="HJ46" s="31">
        <v>260.2</v>
      </c>
      <c r="HK46" s="31">
        <v>304</v>
      </c>
      <c r="HL46" s="31">
        <v>202.4</v>
      </c>
      <c r="HM46" s="31">
        <v>1400.3</v>
      </c>
      <c r="HN46" s="31">
        <v>1377.2</v>
      </c>
      <c r="HO46" s="31">
        <v>1269.4000000000001</v>
      </c>
      <c r="HP46" s="31">
        <v>1361.8</v>
      </c>
      <c r="HQ46" s="31">
        <v>1397</v>
      </c>
      <c r="HR46" s="31">
        <v>352.9</v>
      </c>
      <c r="HS46" s="31">
        <v>8384.2000000000007</v>
      </c>
      <c r="HT46" s="31">
        <v>7846.3</v>
      </c>
      <c r="HU46" s="31">
        <v>7751.7</v>
      </c>
      <c r="HV46" s="31">
        <v>10785.5</v>
      </c>
      <c r="HW46" s="31">
        <v>8635</v>
      </c>
      <c r="HX46" s="31">
        <v>747.8</v>
      </c>
      <c r="HY46" s="31"/>
      <c r="HZ46" s="31"/>
      <c r="IA46" s="31"/>
      <c r="IB46" s="31"/>
      <c r="IC46" s="31"/>
      <c r="ID46" s="31"/>
      <c r="IE46" s="31">
        <v>608.29999999999995</v>
      </c>
      <c r="IF46" s="31">
        <v>815.5</v>
      </c>
      <c r="IG46" s="31">
        <v>485.8</v>
      </c>
      <c r="IH46" s="31">
        <v>648.20000000000005</v>
      </c>
      <c r="II46" s="31">
        <v>763.8</v>
      </c>
      <c r="IJ46" s="31">
        <v>43.5</v>
      </c>
      <c r="IK46" s="31"/>
      <c r="IL46" s="31"/>
      <c r="IM46" s="31"/>
      <c r="IN46" s="31"/>
      <c r="IO46" s="31"/>
      <c r="IP46" s="31">
        <v>14157</v>
      </c>
      <c r="IQ46" s="31">
        <v>14520</v>
      </c>
      <c r="IR46" s="31">
        <v>10436.799999999999</v>
      </c>
      <c r="IS46" s="31">
        <v>11979</v>
      </c>
      <c r="IT46" s="31">
        <v>154.44</v>
      </c>
      <c r="IU46" s="31">
        <v>13772</v>
      </c>
      <c r="IV46" s="31"/>
      <c r="IW46" s="31"/>
      <c r="IX46" s="31"/>
      <c r="IY46" s="31"/>
      <c r="IZ46" s="31"/>
      <c r="JA46" s="31"/>
      <c r="JB46" s="31">
        <v>3008.5</v>
      </c>
      <c r="JC46" s="31">
        <v>3021.7</v>
      </c>
      <c r="JD46" s="31">
        <v>3173.5</v>
      </c>
      <c r="JE46" s="31">
        <v>4551.8</v>
      </c>
      <c r="JF46" s="31">
        <v>3054.7</v>
      </c>
      <c r="JG46" s="31">
        <v>334.62</v>
      </c>
      <c r="JH46" s="34">
        <v>807.84</v>
      </c>
      <c r="JI46" s="34">
        <v>930.05</v>
      </c>
      <c r="JJ46" s="34">
        <v>719.62</v>
      </c>
      <c r="JK46" s="34">
        <v>1325.5</v>
      </c>
      <c r="JL46" s="34">
        <v>841.61</v>
      </c>
      <c r="JM46" s="34">
        <v>138.38</v>
      </c>
      <c r="JN46" s="34"/>
      <c r="JO46" s="34"/>
      <c r="JP46" s="34"/>
      <c r="JQ46" s="34"/>
      <c r="JR46" s="34"/>
      <c r="JS46" s="34"/>
      <c r="JT46" s="34"/>
      <c r="JU46" s="34">
        <v>930.05</v>
      </c>
      <c r="JV46" s="34">
        <v>719.62</v>
      </c>
      <c r="JW46" s="34">
        <v>1325.5</v>
      </c>
      <c r="JX46" s="34">
        <v>841.61</v>
      </c>
      <c r="JY46" s="34">
        <v>138.38</v>
      </c>
      <c r="JZ46" s="34">
        <v>113.85</v>
      </c>
      <c r="KA46" s="34">
        <v>129.58000000000001</v>
      </c>
      <c r="KB46" s="34">
        <v>129.94</v>
      </c>
      <c r="KC46" s="34">
        <v>197.45</v>
      </c>
      <c r="KD46" s="34">
        <v>125.29</v>
      </c>
      <c r="KE46" s="34">
        <v>767.91</v>
      </c>
      <c r="KF46" s="34">
        <v>75.537000000000006</v>
      </c>
      <c r="KG46" s="34">
        <v>77.802999999999997</v>
      </c>
      <c r="KH46" s="34">
        <v>145.09</v>
      </c>
      <c r="KI46" s="34">
        <v>95.92</v>
      </c>
      <c r="KJ46" s="34">
        <v>128.15</v>
      </c>
      <c r="KK46" s="34">
        <v>251.02</v>
      </c>
      <c r="KL46" s="34">
        <v>153.56</v>
      </c>
      <c r="KM46" s="34">
        <v>365.97</v>
      </c>
      <c r="KN46" s="34">
        <v>482.9</v>
      </c>
      <c r="KO46" s="34">
        <v>1158.3</v>
      </c>
    </row>
    <row r="47" spans="1:301" x14ac:dyDescent="0.2">
      <c r="A47" s="28" t="s">
        <v>77</v>
      </c>
      <c r="B47" s="29" t="s">
        <v>75</v>
      </c>
      <c r="C47" s="44"/>
      <c r="D47" s="45"/>
      <c r="E47" s="45"/>
      <c r="F47" s="46"/>
      <c r="G47" s="47"/>
      <c r="H47" s="47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 t="s">
        <v>78</v>
      </c>
      <c r="AZ47" s="45" t="s">
        <v>78</v>
      </c>
      <c r="BA47" s="45" t="s">
        <v>78</v>
      </c>
      <c r="BB47" s="45" t="s">
        <v>78</v>
      </c>
      <c r="BC47" s="34"/>
      <c r="BD47" s="34"/>
      <c r="BE47" s="34"/>
      <c r="BF47" s="34"/>
      <c r="BG47" s="34">
        <v>100.6</v>
      </c>
      <c r="BH47" s="34">
        <v>88.7</v>
      </c>
      <c r="BI47" s="34">
        <v>107.2</v>
      </c>
      <c r="BJ47" s="34">
        <v>157.6</v>
      </c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45"/>
      <c r="JI47" s="45"/>
      <c r="JJ47" s="45"/>
      <c r="JK47" s="45"/>
      <c r="JL47" s="45"/>
      <c r="JM47" s="45"/>
      <c r="JN47" s="45"/>
      <c r="JO47" s="45"/>
      <c r="JP47" s="45"/>
      <c r="JQ47" s="45"/>
      <c r="JR47" s="45"/>
      <c r="JS47" s="45"/>
      <c r="JT47" s="45">
        <v>807.8</v>
      </c>
      <c r="JU47" s="45"/>
      <c r="JV47" s="45"/>
      <c r="JW47" s="45"/>
      <c r="JX47" s="45"/>
      <c r="JY47" s="45"/>
      <c r="JZ47" s="45"/>
      <c r="KA47" s="45"/>
      <c r="KB47" s="45"/>
      <c r="KC47" s="45"/>
      <c r="KD47" s="45"/>
      <c r="KE47" s="45"/>
      <c r="KF47" s="45"/>
      <c r="KG47" s="45"/>
      <c r="KH47" s="45"/>
      <c r="KI47" s="45"/>
      <c r="KJ47" s="45"/>
      <c r="KK47" s="45"/>
      <c r="KL47" s="45"/>
      <c r="KM47" s="45"/>
      <c r="KN47" s="45"/>
      <c r="KO47" s="45"/>
    </row>
    <row r="48" spans="1:301" ht="14.25" x14ac:dyDescent="0.2">
      <c r="A48" s="36" t="s">
        <v>79</v>
      </c>
      <c r="B48" s="29" t="s">
        <v>75</v>
      </c>
      <c r="C48" s="30" t="s">
        <v>80</v>
      </c>
      <c r="D48" s="31" t="s">
        <v>80</v>
      </c>
      <c r="E48" s="31" t="s">
        <v>80</v>
      </c>
      <c r="F48" s="32" t="s">
        <v>80</v>
      </c>
      <c r="G48" s="33" t="s">
        <v>80</v>
      </c>
      <c r="H48" s="33" t="s">
        <v>80</v>
      </c>
      <c r="I48" s="31" t="s">
        <v>80</v>
      </c>
      <c r="J48" s="31" t="s">
        <v>80</v>
      </c>
      <c r="K48" s="31" t="s">
        <v>80</v>
      </c>
      <c r="L48" s="31" t="s">
        <v>80</v>
      </c>
      <c r="M48" s="31" t="s">
        <v>80</v>
      </c>
      <c r="N48" s="31" t="s">
        <v>80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45" t="s">
        <v>80</v>
      </c>
      <c r="AJ48" s="45" t="s">
        <v>80</v>
      </c>
      <c r="AK48" s="31">
        <v>1.2</v>
      </c>
      <c r="AL48" s="45" t="s">
        <v>80</v>
      </c>
      <c r="AM48" s="45" t="s">
        <v>80</v>
      </c>
      <c r="AN48" s="45" t="s">
        <v>80</v>
      </c>
      <c r="AO48" s="45" t="s">
        <v>80</v>
      </c>
      <c r="AP48" s="45" t="s">
        <v>80</v>
      </c>
      <c r="AQ48" s="45" t="s">
        <v>80</v>
      </c>
      <c r="AR48" s="45" t="s">
        <v>80</v>
      </c>
      <c r="AS48" s="45" t="s">
        <v>80</v>
      </c>
      <c r="AT48" s="45" t="s">
        <v>80</v>
      </c>
      <c r="AU48" s="45" t="s">
        <v>80</v>
      </c>
      <c r="AV48" s="45" t="s">
        <v>80</v>
      </c>
      <c r="AW48" s="31">
        <v>0.94</v>
      </c>
      <c r="AX48" s="31">
        <v>0.56000000000000005</v>
      </c>
      <c r="AY48" s="31">
        <v>3.2</v>
      </c>
      <c r="AZ48" s="31">
        <v>8.5</v>
      </c>
      <c r="BA48" s="31">
        <v>6.3</v>
      </c>
      <c r="BB48" s="31">
        <v>9.1</v>
      </c>
      <c r="BC48" s="31" t="s">
        <v>81</v>
      </c>
      <c r="BD48" s="31" t="s">
        <v>81</v>
      </c>
      <c r="BE48" s="31">
        <v>0.5</v>
      </c>
      <c r="BF48" s="31">
        <v>1.2</v>
      </c>
      <c r="BG48" s="31" t="s">
        <v>80</v>
      </c>
      <c r="BH48" s="31">
        <v>0.88</v>
      </c>
      <c r="BI48" s="31">
        <v>0.61</v>
      </c>
      <c r="BJ48" s="31">
        <v>0.83</v>
      </c>
      <c r="BK48" s="31"/>
      <c r="BL48" s="31"/>
      <c r="BM48" s="31" t="s">
        <v>82</v>
      </c>
      <c r="BN48" s="31" t="s">
        <v>82</v>
      </c>
      <c r="BO48" s="31" t="s">
        <v>82</v>
      </c>
      <c r="BP48" s="31" t="s">
        <v>82</v>
      </c>
      <c r="BQ48" s="31" t="s">
        <v>82</v>
      </c>
      <c r="BR48" s="31" t="s">
        <v>82</v>
      </c>
      <c r="BS48" s="31" t="s">
        <v>82</v>
      </c>
      <c r="BT48" s="31" t="s">
        <v>82</v>
      </c>
      <c r="BU48" s="31" t="s">
        <v>82</v>
      </c>
      <c r="BV48" s="31" t="s">
        <v>82</v>
      </c>
      <c r="BW48" s="31" t="s">
        <v>82</v>
      </c>
      <c r="BX48" s="31" t="s">
        <v>82</v>
      </c>
      <c r="BY48" s="31" t="s">
        <v>82</v>
      </c>
      <c r="BZ48" s="31" t="s">
        <v>82</v>
      </c>
      <c r="CA48" s="31" t="s">
        <v>82</v>
      </c>
      <c r="CB48" s="31" t="s">
        <v>82</v>
      </c>
      <c r="CC48" s="31" t="s">
        <v>82</v>
      </c>
      <c r="CD48" s="31" t="s">
        <v>82</v>
      </c>
      <c r="CE48" s="31" t="s">
        <v>82</v>
      </c>
      <c r="CF48" s="31" t="s">
        <v>82</v>
      </c>
      <c r="CG48" s="31" t="s">
        <v>82</v>
      </c>
      <c r="CH48" s="31" t="s">
        <v>82</v>
      </c>
      <c r="CI48" s="31" t="s">
        <v>82</v>
      </c>
      <c r="CJ48" s="31" t="s">
        <v>82</v>
      </c>
      <c r="CK48" s="31" t="s">
        <v>82</v>
      </c>
      <c r="CL48" s="31" t="s">
        <v>82</v>
      </c>
      <c r="CM48" s="31" t="s">
        <v>82</v>
      </c>
      <c r="CN48" s="31" t="s">
        <v>82</v>
      </c>
      <c r="CO48" s="31" t="s">
        <v>82</v>
      </c>
      <c r="CP48" s="31" t="s">
        <v>82</v>
      </c>
      <c r="CQ48" s="31" t="s">
        <v>82</v>
      </c>
      <c r="CR48" s="31" t="s">
        <v>82</v>
      </c>
      <c r="CS48" s="31" t="s">
        <v>82</v>
      </c>
      <c r="CT48" s="31" t="s">
        <v>82</v>
      </c>
      <c r="CU48" s="31" t="s">
        <v>82</v>
      </c>
      <c r="CV48" s="31" t="s">
        <v>82</v>
      </c>
      <c r="CW48" s="31" t="s">
        <v>82</v>
      </c>
      <c r="CX48" s="31" t="s">
        <v>82</v>
      </c>
      <c r="CY48" s="31" t="s">
        <v>82</v>
      </c>
      <c r="CZ48" s="31" t="s">
        <v>82</v>
      </c>
      <c r="DA48" s="31" t="s">
        <v>82</v>
      </c>
      <c r="DB48" s="31" t="s">
        <v>82</v>
      </c>
      <c r="DC48" s="31" t="s">
        <v>82</v>
      </c>
      <c r="DD48" s="31" t="s">
        <v>82</v>
      </c>
      <c r="DE48" s="31" t="s">
        <v>82</v>
      </c>
      <c r="DF48" s="31" t="s">
        <v>82</v>
      </c>
      <c r="DG48" s="31" t="s">
        <v>82</v>
      </c>
      <c r="DH48" s="31" t="s">
        <v>82</v>
      </c>
      <c r="DI48" s="31" t="s">
        <v>82</v>
      </c>
      <c r="DJ48" s="31" t="s">
        <v>82</v>
      </c>
      <c r="DK48" s="31" t="s">
        <v>82</v>
      </c>
      <c r="DL48" s="31" t="s">
        <v>82</v>
      </c>
      <c r="DM48" s="31" t="s">
        <v>82</v>
      </c>
      <c r="DN48" s="31" t="s">
        <v>82</v>
      </c>
      <c r="DO48" s="37" t="s">
        <v>83</v>
      </c>
      <c r="DP48" s="37" t="s">
        <v>83</v>
      </c>
      <c r="DQ48" s="37" t="s">
        <v>83</v>
      </c>
      <c r="DR48" s="37" t="s">
        <v>83</v>
      </c>
      <c r="DS48" s="37" t="s">
        <v>83</v>
      </c>
      <c r="DT48" s="37" t="s">
        <v>83</v>
      </c>
      <c r="DU48" s="37" t="s">
        <v>83</v>
      </c>
      <c r="DV48" s="37" t="s">
        <v>83</v>
      </c>
      <c r="DW48" s="37" t="s">
        <v>83</v>
      </c>
      <c r="DX48" s="37" t="s">
        <v>83</v>
      </c>
      <c r="DY48" s="37" t="s">
        <v>83</v>
      </c>
      <c r="DZ48" s="37" t="s">
        <v>83</v>
      </c>
      <c r="EA48" s="37" t="s">
        <v>83</v>
      </c>
      <c r="EB48" s="37" t="s">
        <v>83</v>
      </c>
      <c r="EC48" s="37" t="s">
        <v>83</v>
      </c>
      <c r="ED48" s="37" t="s">
        <v>83</v>
      </c>
      <c r="EE48" s="37" t="s">
        <v>83</v>
      </c>
      <c r="EF48" s="37" t="s">
        <v>83</v>
      </c>
      <c r="EG48" s="37" t="s">
        <v>83</v>
      </c>
      <c r="EH48" s="37" t="s">
        <v>83</v>
      </c>
      <c r="EI48" s="37" t="s">
        <v>83</v>
      </c>
      <c r="EJ48" s="37" t="s">
        <v>83</v>
      </c>
      <c r="EK48" s="37" t="s">
        <v>83</v>
      </c>
      <c r="EL48" s="37" t="s">
        <v>83</v>
      </c>
      <c r="EM48" s="37" t="s">
        <v>83</v>
      </c>
      <c r="EN48" s="37" t="s">
        <v>83</v>
      </c>
      <c r="EO48" s="37" t="s">
        <v>83</v>
      </c>
      <c r="EP48" s="37" t="s">
        <v>83</v>
      </c>
      <c r="EQ48" s="37" t="s">
        <v>83</v>
      </c>
      <c r="ER48" s="37" t="s">
        <v>83</v>
      </c>
      <c r="ES48" s="37" t="s">
        <v>83</v>
      </c>
      <c r="ET48" s="37" t="s">
        <v>83</v>
      </c>
      <c r="EU48" s="37" t="s">
        <v>83</v>
      </c>
      <c r="EV48" s="37" t="s">
        <v>83</v>
      </c>
      <c r="EW48" s="37" t="s">
        <v>83</v>
      </c>
      <c r="EX48" s="37" t="s">
        <v>83</v>
      </c>
      <c r="EY48" s="37" t="s">
        <v>83</v>
      </c>
      <c r="EZ48" s="37" t="s">
        <v>83</v>
      </c>
      <c r="FA48" s="37" t="s">
        <v>83</v>
      </c>
      <c r="FB48" s="37" t="s">
        <v>83</v>
      </c>
      <c r="FC48" s="37" t="s">
        <v>83</v>
      </c>
      <c r="FD48" s="37" t="s">
        <v>83</v>
      </c>
      <c r="FE48" s="37" t="s">
        <v>83</v>
      </c>
      <c r="FF48" s="37" t="s">
        <v>83</v>
      </c>
      <c r="FG48" s="37" t="s">
        <v>83</v>
      </c>
      <c r="FH48" s="37" t="s">
        <v>83</v>
      </c>
      <c r="FI48" s="37" t="s">
        <v>83</v>
      </c>
      <c r="FJ48" s="37" t="s">
        <v>83</v>
      </c>
      <c r="FK48" s="37" t="s">
        <v>83</v>
      </c>
      <c r="FL48" s="37" t="s">
        <v>83</v>
      </c>
      <c r="FM48" s="37" t="s">
        <v>83</v>
      </c>
      <c r="FN48" s="37" t="s">
        <v>83</v>
      </c>
      <c r="FO48" s="37" t="s">
        <v>83</v>
      </c>
      <c r="FP48" s="37"/>
      <c r="FQ48" s="37" t="s">
        <v>83</v>
      </c>
      <c r="FR48" s="37" t="s">
        <v>83</v>
      </c>
      <c r="FS48" s="37" t="s">
        <v>83</v>
      </c>
      <c r="FT48" s="37" t="s">
        <v>83</v>
      </c>
      <c r="FU48" s="37" t="s">
        <v>83</v>
      </c>
      <c r="FV48" s="37"/>
      <c r="FW48" s="37" t="s">
        <v>83</v>
      </c>
      <c r="FX48" s="37" t="s">
        <v>83</v>
      </c>
      <c r="FY48" s="37" t="s">
        <v>83</v>
      </c>
      <c r="FZ48" s="37" t="s">
        <v>83</v>
      </c>
      <c r="GA48" s="37" t="s">
        <v>83</v>
      </c>
      <c r="GB48" s="37" t="s">
        <v>83</v>
      </c>
      <c r="GC48" s="37" t="s">
        <v>83</v>
      </c>
      <c r="GD48" s="37" t="s">
        <v>83</v>
      </c>
      <c r="GE48" s="37" t="s">
        <v>83</v>
      </c>
      <c r="GF48" s="37" t="s">
        <v>83</v>
      </c>
      <c r="GG48" s="37" t="s">
        <v>83</v>
      </c>
      <c r="GH48" s="37" t="s">
        <v>83</v>
      </c>
      <c r="GI48" s="37" t="s">
        <v>83</v>
      </c>
      <c r="GJ48" s="37" t="s">
        <v>83</v>
      </c>
      <c r="GK48" s="37" t="s">
        <v>83</v>
      </c>
      <c r="GL48" s="37" t="s">
        <v>83</v>
      </c>
      <c r="GM48" s="37" t="s">
        <v>83</v>
      </c>
      <c r="GN48" s="37" t="s">
        <v>83</v>
      </c>
      <c r="GO48" s="37" t="s">
        <v>83</v>
      </c>
      <c r="GP48" s="37" t="s">
        <v>83</v>
      </c>
      <c r="GQ48" s="37" t="s">
        <v>83</v>
      </c>
      <c r="GR48" s="37" t="s">
        <v>83</v>
      </c>
      <c r="GS48" s="37" t="s">
        <v>83</v>
      </c>
      <c r="GT48" s="37" t="s">
        <v>83</v>
      </c>
      <c r="GU48" s="31" t="s">
        <v>84</v>
      </c>
      <c r="GV48" s="31" t="s">
        <v>84</v>
      </c>
      <c r="GW48" s="31" t="s">
        <v>84</v>
      </c>
      <c r="GX48" s="31" t="s">
        <v>84</v>
      </c>
      <c r="GY48" s="31" t="s">
        <v>84</v>
      </c>
      <c r="GZ48" s="31" t="s">
        <v>84</v>
      </c>
      <c r="HA48" s="31" t="s">
        <v>84</v>
      </c>
      <c r="HB48" s="31" t="s">
        <v>84</v>
      </c>
      <c r="HC48" s="31" t="s">
        <v>84</v>
      </c>
      <c r="HD48" s="31" t="s">
        <v>84</v>
      </c>
      <c r="HE48" s="31" t="s">
        <v>84</v>
      </c>
      <c r="HF48" s="31" t="s">
        <v>84</v>
      </c>
      <c r="HG48" s="31" t="s">
        <v>84</v>
      </c>
      <c r="HH48" s="31" t="s">
        <v>84</v>
      </c>
      <c r="HI48" s="31" t="s">
        <v>84</v>
      </c>
      <c r="HJ48" s="31" t="s">
        <v>84</v>
      </c>
      <c r="HK48" s="31" t="s">
        <v>84</v>
      </c>
      <c r="HL48" s="31" t="s">
        <v>84</v>
      </c>
      <c r="HM48" s="31" t="s">
        <v>84</v>
      </c>
      <c r="HN48" s="31" t="s">
        <v>84</v>
      </c>
      <c r="HO48" s="31" t="s">
        <v>84</v>
      </c>
      <c r="HP48" s="31" t="s">
        <v>84</v>
      </c>
      <c r="HQ48" s="31" t="s">
        <v>84</v>
      </c>
      <c r="HR48" s="31" t="s">
        <v>84</v>
      </c>
      <c r="HS48" s="31" t="s">
        <v>84</v>
      </c>
      <c r="HT48" s="31" t="s">
        <v>84</v>
      </c>
      <c r="HU48" s="31" t="s">
        <v>84</v>
      </c>
      <c r="HV48" s="31" t="s">
        <v>84</v>
      </c>
      <c r="HW48" s="31" t="s">
        <v>84</v>
      </c>
      <c r="HX48" s="31" t="s">
        <v>84</v>
      </c>
      <c r="HY48" s="31" t="s">
        <v>84</v>
      </c>
      <c r="HZ48" s="31" t="s">
        <v>84</v>
      </c>
      <c r="IA48" s="31" t="s">
        <v>84</v>
      </c>
      <c r="IB48" s="31" t="s">
        <v>84</v>
      </c>
      <c r="IC48" s="31" t="s">
        <v>84</v>
      </c>
      <c r="ID48" s="31" t="s">
        <v>84</v>
      </c>
      <c r="IE48" s="31" t="s">
        <v>84</v>
      </c>
      <c r="IF48" s="31" t="s">
        <v>84</v>
      </c>
      <c r="IG48" s="31" t="s">
        <v>84</v>
      </c>
      <c r="IH48" s="31" t="s">
        <v>84</v>
      </c>
      <c r="II48" s="31" t="s">
        <v>84</v>
      </c>
      <c r="IJ48" s="31" t="s">
        <v>84</v>
      </c>
      <c r="IK48" s="31" t="s">
        <v>84</v>
      </c>
      <c r="IL48" s="31" t="s">
        <v>84</v>
      </c>
      <c r="IM48" s="31" t="s">
        <v>84</v>
      </c>
      <c r="IN48" s="31" t="s">
        <v>84</v>
      </c>
      <c r="IO48" s="31" t="s">
        <v>84</v>
      </c>
      <c r="IP48" s="31" t="s">
        <v>84</v>
      </c>
      <c r="IQ48" s="31" t="s">
        <v>84</v>
      </c>
      <c r="IR48" s="31" t="s">
        <v>84</v>
      </c>
      <c r="IS48" s="31" t="s">
        <v>84</v>
      </c>
      <c r="IT48" s="31" t="s">
        <v>84</v>
      </c>
      <c r="IU48" s="31" t="s">
        <v>84</v>
      </c>
      <c r="IV48" s="31" t="s">
        <v>83</v>
      </c>
      <c r="IW48" s="31" t="s">
        <v>83</v>
      </c>
      <c r="IX48" s="31" t="s">
        <v>83</v>
      </c>
      <c r="IY48" s="31" t="s">
        <v>83</v>
      </c>
      <c r="IZ48" s="31" t="s">
        <v>83</v>
      </c>
      <c r="JA48" s="31" t="s">
        <v>83</v>
      </c>
      <c r="JB48" s="31" t="s">
        <v>83</v>
      </c>
      <c r="JC48" s="31" t="s">
        <v>83</v>
      </c>
      <c r="JD48" s="31" t="s">
        <v>83</v>
      </c>
      <c r="JE48" s="31" t="s">
        <v>83</v>
      </c>
      <c r="JF48" s="31" t="s">
        <v>83</v>
      </c>
      <c r="JG48" s="31" t="s">
        <v>83</v>
      </c>
      <c r="JH48" s="31" t="s">
        <v>83</v>
      </c>
      <c r="JI48" s="31" t="s">
        <v>83</v>
      </c>
      <c r="JJ48" s="31" t="s">
        <v>83</v>
      </c>
      <c r="JK48" s="31" t="s">
        <v>83</v>
      </c>
      <c r="JL48" s="31" t="s">
        <v>83</v>
      </c>
      <c r="JM48" s="31" t="s">
        <v>83</v>
      </c>
      <c r="JN48" s="31" t="s">
        <v>83</v>
      </c>
      <c r="JO48" s="31" t="s">
        <v>83</v>
      </c>
      <c r="JP48" s="31" t="s">
        <v>83</v>
      </c>
      <c r="JQ48" s="31" t="s">
        <v>83</v>
      </c>
      <c r="JR48" s="31" t="s">
        <v>83</v>
      </c>
      <c r="JS48" s="31" t="s">
        <v>83</v>
      </c>
      <c r="JT48" s="31" t="s">
        <v>83</v>
      </c>
      <c r="JU48" s="31" t="s">
        <v>83</v>
      </c>
      <c r="JV48" s="31" t="s">
        <v>83</v>
      </c>
      <c r="JW48" s="31" t="s">
        <v>83</v>
      </c>
      <c r="JX48" s="31" t="s">
        <v>83</v>
      </c>
      <c r="JY48" s="31" t="s">
        <v>83</v>
      </c>
      <c r="JZ48" s="31" t="s">
        <v>83</v>
      </c>
      <c r="KA48" s="31" t="s">
        <v>83</v>
      </c>
      <c r="KB48" s="31" t="s">
        <v>83</v>
      </c>
      <c r="KC48" s="31" t="s">
        <v>83</v>
      </c>
      <c r="KD48" s="31" t="s">
        <v>83</v>
      </c>
      <c r="KE48" s="31" t="s">
        <v>83</v>
      </c>
      <c r="KF48" s="31" t="s">
        <v>83</v>
      </c>
      <c r="KG48" s="31" t="s">
        <v>83</v>
      </c>
      <c r="KH48" s="31" t="s">
        <v>83</v>
      </c>
      <c r="KI48" s="31" t="s">
        <v>83</v>
      </c>
      <c r="KJ48" s="31" t="s">
        <v>83</v>
      </c>
      <c r="KK48" s="31" t="s">
        <v>83</v>
      </c>
      <c r="KL48" s="31" t="s">
        <v>83</v>
      </c>
      <c r="KM48" s="31" t="s">
        <v>83</v>
      </c>
      <c r="KN48" s="31" t="s">
        <v>83</v>
      </c>
      <c r="KO48" s="31" t="s">
        <v>83</v>
      </c>
    </row>
    <row r="49" spans="1:301" x14ac:dyDescent="0.2">
      <c r="A49" s="36" t="s">
        <v>85</v>
      </c>
      <c r="B49" s="29" t="s">
        <v>75</v>
      </c>
      <c r="C49" s="30" t="s">
        <v>25</v>
      </c>
      <c r="D49" s="31" t="s">
        <v>25</v>
      </c>
      <c r="E49" s="31" t="s">
        <v>25</v>
      </c>
      <c r="F49" s="32" t="s">
        <v>25</v>
      </c>
      <c r="G49" s="33">
        <v>2.89</v>
      </c>
      <c r="H49" s="33">
        <v>6.58</v>
      </c>
      <c r="I49" s="31">
        <v>6.85</v>
      </c>
      <c r="J49" s="31">
        <v>11.25</v>
      </c>
      <c r="K49" s="34">
        <v>4.79</v>
      </c>
      <c r="L49" s="34">
        <v>1.77</v>
      </c>
      <c r="M49" s="34">
        <v>2.82</v>
      </c>
      <c r="N49" s="34">
        <v>5.14</v>
      </c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45">
        <v>6.8</v>
      </c>
      <c r="AZ49" s="45">
        <v>7.7</v>
      </c>
      <c r="BA49" s="34">
        <v>5.0999999999999996</v>
      </c>
      <c r="BB49" s="34">
        <v>5.7</v>
      </c>
      <c r="BC49" s="34"/>
      <c r="BD49" s="34"/>
      <c r="BE49" s="34"/>
      <c r="BF49" s="34"/>
      <c r="BG49" s="31" t="s">
        <v>25</v>
      </c>
      <c r="BH49" s="31" t="s">
        <v>25</v>
      </c>
      <c r="BI49" s="31" t="s">
        <v>25</v>
      </c>
      <c r="BJ49" s="31" t="s">
        <v>25</v>
      </c>
      <c r="BK49" s="34"/>
      <c r="BL49" s="34"/>
      <c r="BM49" s="34">
        <v>30.9</v>
      </c>
      <c r="BN49" s="34">
        <v>20.7</v>
      </c>
      <c r="BO49" s="34">
        <v>18.899999999999999</v>
      </c>
      <c r="BP49" s="34">
        <v>28.2</v>
      </c>
      <c r="BQ49" s="34">
        <v>17.7</v>
      </c>
      <c r="BR49" s="34">
        <v>13.4</v>
      </c>
      <c r="BS49" s="34">
        <v>6.3</v>
      </c>
      <c r="BT49" s="34">
        <v>6.4</v>
      </c>
      <c r="BU49" s="34">
        <v>5.9</v>
      </c>
      <c r="BV49" s="34">
        <v>6.2</v>
      </c>
      <c r="BW49" s="34">
        <v>5.7</v>
      </c>
      <c r="BX49" s="34">
        <v>4.5</v>
      </c>
      <c r="BY49" s="34">
        <v>22</v>
      </c>
      <c r="BZ49" s="34">
        <v>24.4</v>
      </c>
      <c r="CA49" s="34">
        <v>18.399999999999999</v>
      </c>
      <c r="CB49" s="34">
        <v>22.5</v>
      </c>
      <c r="CC49" s="34">
        <v>20.7</v>
      </c>
      <c r="CD49" s="34">
        <v>20.2</v>
      </c>
      <c r="CE49" s="31" t="s">
        <v>86</v>
      </c>
      <c r="CF49" s="31" t="s">
        <v>86</v>
      </c>
      <c r="CG49" s="34">
        <v>6.1</v>
      </c>
      <c r="CH49" s="34">
        <v>11.9</v>
      </c>
      <c r="CI49" s="31" t="s">
        <v>86</v>
      </c>
      <c r="CJ49" s="34">
        <v>50</v>
      </c>
      <c r="CK49" s="34">
        <v>501.9</v>
      </c>
      <c r="CL49" s="34">
        <v>12.5</v>
      </c>
      <c r="CM49" s="34">
        <v>111.9</v>
      </c>
      <c r="CN49" s="34">
        <v>160.69999999999999</v>
      </c>
      <c r="CO49" s="34">
        <v>244.9</v>
      </c>
      <c r="CP49" s="34">
        <v>13.6</v>
      </c>
      <c r="CQ49" s="31">
        <v>12.4</v>
      </c>
      <c r="CR49" s="34">
        <v>12.7</v>
      </c>
      <c r="CS49" s="34">
        <v>13.3</v>
      </c>
      <c r="CT49" s="34">
        <v>10.8</v>
      </c>
      <c r="CU49" s="34">
        <v>15.2</v>
      </c>
      <c r="CV49" s="34">
        <v>5</v>
      </c>
      <c r="CW49" s="34">
        <v>9.6</v>
      </c>
      <c r="CX49" s="34">
        <v>8.5</v>
      </c>
      <c r="CY49" s="34">
        <v>8.6</v>
      </c>
      <c r="CZ49" s="34">
        <v>49.9</v>
      </c>
      <c r="DA49" s="34">
        <v>7.5</v>
      </c>
      <c r="DB49" s="31" t="s">
        <v>86</v>
      </c>
      <c r="DC49" s="34">
        <v>7.4</v>
      </c>
      <c r="DD49" s="34">
        <v>6.2</v>
      </c>
      <c r="DE49" s="34">
        <v>5.6</v>
      </c>
      <c r="DF49" s="34">
        <v>12.9</v>
      </c>
      <c r="DG49" s="34">
        <v>5.3</v>
      </c>
      <c r="DH49" s="31" t="s">
        <v>86</v>
      </c>
      <c r="DI49" s="34">
        <v>18.5</v>
      </c>
      <c r="DJ49" s="34">
        <v>16.8</v>
      </c>
      <c r="DK49" s="34">
        <v>18.399999999999999</v>
      </c>
      <c r="DL49" s="34">
        <v>20.9</v>
      </c>
      <c r="DM49" s="34">
        <v>18.600000000000001</v>
      </c>
      <c r="DN49" s="31" t="s">
        <v>86</v>
      </c>
      <c r="DO49" s="34">
        <v>37.5</v>
      </c>
      <c r="DP49" s="34">
        <v>20.8</v>
      </c>
      <c r="DQ49" s="34">
        <v>21</v>
      </c>
      <c r="DR49" s="34">
        <v>28</v>
      </c>
      <c r="DS49" s="34">
        <v>22.1</v>
      </c>
      <c r="DT49" s="34">
        <v>24.9</v>
      </c>
      <c r="DU49" s="31" t="s">
        <v>86</v>
      </c>
      <c r="DV49" s="31" t="s">
        <v>86</v>
      </c>
      <c r="DW49" s="31" t="s">
        <v>86</v>
      </c>
      <c r="DX49" s="31" t="s">
        <v>86</v>
      </c>
      <c r="DY49" s="31" t="s">
        <v>86</v>
      </c>
      <c r="DZ49" s="31" t="s">
        <v>86</v>
      </c>
      <c r="EA49" s="34">
        <v>45.5</v>
      </c>
      <c r="EB49" s="34">
        <v>57.6</v>
      </c>
      <c r="EC49" s="34">
        <v>51.6</v>
      </c>
      <c r="ED49" s="34">
        <v>68.5</v>
      </c>
      <c r="EE49" s="34">
        <v>60</v>
      </c>
      <c r="EF49" s="34">
        <v>59.1</v>
      </c>
      <c r="EG49" s="37" t="s">
        <v>83</v>
      </c>
      <c r="EH49" s="37" t="s">
        <v>83</v>
      </c>
      <c r="EI49" s="37" t="s">
        <v>83</v>
      </c>
      <c r="EJ49" s="37">
        <v>24.2</v>
      </c>
      <c r="EK49" s="37">
        <v>12.2</v>
      </c>
      <c r="EL49" s="37">
        <v>15.5</v>
      </c>
      <c r="EM49" s="37" t="s">
        <v>83</v>
      </c>
      <c r="EN49" s="37" t="s">
        <v>83</v>
      </c>
      <c r="EO49" s="37" t="s">
        <v>83</v>
      </c>
      <c r="EP49" s="37">
        <v>96.7</v>
      </c>
      <c r="EQ49" s="37" t="s">
        <v>83</v>
      </c>
      <c r="ER49" s="37" t="s">
        <v>83</v>
      </c>
      <c r="ES49" s="37">
        <v>18.3</v>
      </c>
      <c r="ET49" s="37">
        <v>10.3</v>
      </c>
      <c r="EU49" s="37">
        <v>13.3</v>
      </c>
      <c r="EV49" s="37">
        <v>77.099999999999994</v>
      </c>
      <c r="EW49" s="37">
        <v>11.1</v>
      </c>
      <c r="EX49" s="37">
        <v>63.5</v>
      </c>
      <c r="EY49" s="37">
        <v>13.4</v>
      </c>
      <c r="EZ49" s="37">
        <v>12.3</v>
      </c>
      <c r="FA49" s="37">
        <v>36.700000000000003</v>
      </c>
      <c r="FB49" s="37">
        <v>28.9</v>
      </c>
      <c r="FC49" s="37">
        <v>13.5</v>
      </c>
      <c r="FD49" s="37">
        <v>10</v>
      </c>
      <c r="FE49" s="37" t="s">
        <v>83</v>
      </c>
      <c r="FF49" s="37" t="s">
        <v>83</v>
      </c>
      <c r="FG49" s="37" t="s">
        <v>83</v>
      </c>
      <c r="FH49" s="37" t="s">
        <v>83</v>
      </c>
      <c r="FI49" s="37" t="s">
        <v>83</v>
      </c>
      <c r="FJ49" s="37">
        <v>47</v>
      </c>
      <c r="FK49" s="37" t="s">
        <v>83</v>
      </c>
      <c r="FL49" s="37" t="s">
        <v>83</v>
      </c>
      <c r="FM49" s="37" t="s">
        <v>83</v>
      </c>
      <c r="FN49" s="37" t="s">
        <v>83</v>
      </c>
      <c r="FO49" s="37" t="s">
        <v>83</v>
      </c>
      <c r="FP49" s="37"/>
      <c r="FQ49" s="37" t="s">
        <v>83</v>
      </c>
      <c r="FR49" s="37" t="s">
        <v>83</v>
      </c>
      <c r="FS49" s="37" t="s">
        <v>83</v>
      </c>
      <c r="FT49" s="37" t="s">
        <v>83</v>
      </c>
      <c r="FU49" s="37" t="s">
        <v>83</v>
      </c>
      <c r="FV49" s="37"/>
      <c r="FW49" s="37" t="s">
        <v>83</v>
      </c>
      <c r="FX49" s="37" t="s">
        <v>83</v>
      </c>
      <c r="FY49" s="37" t="s">
        <v>83</v>
      </c>
      <c r="FZ49" s="37" t="s">
        <v>83</v>
      </c>
      <c r="GA49" s="37" t="s">
        <v>83</v>
      </c>
      <c r="GB49" s="37" t="s">
        <v>83</v>
      </c>
      <c r="GC49" s="37" t="s">
        <v>83</v>
      </c>
      <c r="GD49" s="37" t="s">
        <v>83</v>
      </c>
      <c r="GE49" s="37" t="s">
        <v>83</v>
      </c>
      <c r="GF49" s="37" t="s">
        <v>83</v>
      </c>
      <c r="GG49" s="37" t="s">
        <v>83</v>
      </c>
      <c r="GH49" s="37" t="s">
        <v>83</v>
      </c>
      <c r="GI49" s="37">
        <v>12.3</v>
      </c>
      <c r="GJ49" s="37">
        <v>10.1</v>
      </c>
      <c r="GK49" s="37" t="s">
        <v>83</v>
      </c>
      <c r="GL49" s="37" t="s">
        <v>83</v>
      </c>
      <c r="GM49" s="37">
        <v>10.4</v>
      </c>
      <c r="GN49" s="37" t="s">
        <v>83</v>
      </c>
      <c r="GO49" s="37">
        <v>12.9</v>
      </c>
      <c r="GP49" s="37">
        <v>13.2</v>
      </c>
      <c r="GQ49" s="37">
        <v>15.3</v>
      </c>
      <c r="GR49" s="37">
        <v>17.2</v>
      </c>
      <c r="GS49" s="37">
        <v>13.5</v>
      </c>
      <c r="GT49" s="37" t="s">
        <v>83</v>
      </c>
      <c r="GU49" s="31" t="s">
        <v>84</v>
      </c>
      <c r="GV49" s="31" t="s">
        <v>84</v>
      </c>
      <c r="GW49" s="31" t="s">
        <v>84</v>
      </c>
      <c r="GX49" s="31" t="s">
        <v>84</v>
      </c>
      <c r="GY49" s="31" t="s">
        <v>84</v>
      </c>
      <c r="GZ49" s="31" t="s">
        <v>84</v>
      </c>
      <c r="HA49" s="37">
        <v>11.8</v>
      </c>
      <c r="HB49" s="31" t="s">
        <v>84</v>
      </c>
      <c r="HC49" s="31" t="s">
        <v>84</v>
      </c>
      <c r="HD49" s="31" t="s">
        <v>84</v>
      </c>
      <c r="HE49" s="31" t="s">
        <v>84</v>
      </c>
      <c r="HF49" s="31" t="s">
        <v>84</v>
      </c>
      <c r="HG49" s="31" t="s">
        <v>84</v>
      </c>
      <c r="HH49" s="31" t="s">
        <v>84</v>
      </c>
      <c r="HI49" s="31" t="s">
        <v>84</v>
      </c>
      <c r="HJ49" s="31" t="s">
        <v>84</v>
      </c>
      <c r="HK49" s="31" t="s">
        <v>84</v>
      </c>
      <c r="HL49" s="31" t="s">
        <v>84</v>
      </c>
      <c r="HM49" s="31">
        <v>11.6</v>
      </c>
      <c r="HN49" s="31" t="s">
        <v>84</v>
      </c>
      <c r="HO49" s="31" t="s">
        <v>84</v>
      </c>
      <c r="HP49" s="31">
        <v>14.4</v>
      </c>
      <c r="HQ49" s="31" t="s">
        <v>84</v>
      </c>
      <c r="HR49" s="31" t="s">
        <v>84</v>
      </c>
      <c r="HS49" s="31">
        <v>19</v>
      </c>
      <c r="HT49" s="31">
        <v>18.7</v>
      </c>
      <c r="HU49" s="31">
        <v>14.3</v>
      </c>
      <c r="HV49" s="31">
        <v>21.8</v>
      </c>
      <c r="HW49" s="31">
        <v>14.5</v>
      </c>
      <c r="HX49" s="31" t="s">
        <v>84</v>
      </c>
      <c r="HY49" s="31" t="s">
        <v>84</v>
      </c>
      <c r="HZ49" s="31" t="s">
        <v>84</v>
      </c>
      <c r="IA49" s="31" t="s">
        <v>84</v>
      </c>
      <c r="IB49" s="31" t="s">
        <v>84</v>
      </c>
      <c r="IC49" s="31" t="s">
        <v>84</v>
      </c>
      <c r="ID49" s="31" t="s">
        <v>84</v>
      </c>
      <c r="IE49" s="31" t="s">
        <v>84</v>
      </c>
      <c r="IF49" s="31" t="s">
        <v>84</v>
      </c>
      <c r="IG49" s="31" t="s">
        <v>82</v>
      </c>
      <c r="IH49" s="31" t="s">
        <v>82</v>
      </c>
      <c r="II49" s="31" t="s">
        <v>82</v>
      </c>
      <c r="IJ49" s="31" t="s">
        <v>82</v>
      </c>
      <c r="IK49" s="31" t="s">
        <v>84</v>
      </c>
      <c r="IL49" s="31" t="s">
        <v>84</v>
      </c>
      <c r="IM49" s="31">
        <v>38.65</v>
      </c>
      <c r="IN49" s="31" t="s">
        <v>84</v>
      </c>
      <c r="IO49" s="31" t="s">
        <v>84</v>
      </c>
      <c r="IP49" s="31">
        <v>23.837</v>
      </c>
      <c r="IQ49" s="31">
        <v>34.496000000000002</v>
      </c>
      <c r="IR49" s="31">
        <v>73.667000000000002</v>
      </c>
      <c r="IS49" s="31">
        <v>32.395000000000003</v>
      </c>
      <c r="IT49" s="31" t="s">
        <v>84</v>
      </c>
      <c r="IU49" s="31">
        <v>28.776</v>
      </c>
      <c r="IV49" s="31">
        <v>14.343999999999999</v>
      </c>
      <c r="IW49" s="31">
        <v>14.244999999999999</v>
      </c>
      <c r="IX49" s="31">
        <v>11.032999999999999</v>
      </c>
      <c r="IY49" s="31" t="s">
        <v>83</v>
      </c>
      <c r="IZ49" s="31" t="s">
        <v>83</v>
      </c>
      <c r="JA49" s="31" t="s">
        <v>83</v>
      </c>
      <c r="JB49" s="31" t="s">
        <v>83</v>
      </c>
      <c r="JC49" s="31" t="s">
        <v>83</v>
      </c>
      <c r="JD49" s="31" t="s">
        <v>83</v>
      </c>
      <c r="JE49" s="31" t="s">
        <v>83</v>
      </c>
      <c r="JF49" s="31" t="s">
        <v>83</v>
      </c>
      <c r="JG49" s="31" t="s">
        <v>83</v>
      </c>
      <c r="JH49" s="31" t="s">
        <v>83</v>
      </c>
      <c r="JI49" s="31" t="s">
        <v>83</v>
      </c>
      <c r="JJ49" s="31" t="s">
        <v>83</v>
      </c>
      <c r="JK49" s="31" t="s">
        <v>83</v>
      </c>
      <c r="JL49" s="31" t="s">
        <v>83</v>
      </c>
      <c r="JM49" s="31" t="s">
        <v>83</v>
      </c>
      <c r="JN49" s="31" t="s">
        <v>83</v>
      </c>
      <c r="JO49" s="31" t="s">
        <v>83</v>
      </c>
      <c r="JP49" s="31">
        <v>12.484999999999999</v>
      </c>
      <c r="JQ49" s="31" t="s">
        <v>83</v>
      </c>
      <c r="JR49" s="31">
        <v>25.783999999999999</v>
      </c>
      <c r="JS49" s="31">
        <v>14.289</v>
      </c>
      <c r="JT49" s="31" t="s">
        <v>83</v>
      </c>
      <c r="JU49" s="31" t="s">
        <v>83</v>
      </c>
      <c r="JV49" s="31" t="s">
        <v>83</v>
      </c>
      <c r="JW49" s="31" t="s">
        <v>83</v>
      </c>
      <c r="JX49" s="31" t="s">
        <v>83</v>
      </c>
      <c r="JY49" s="31" t="s">
        <v>83</v>
      </c>
      <c r="JZ49" s="31" t="s">
        <v>83</v>
      </c>
      <c r="KA49" s="31" t="s">
        <v>83</v>
      </c>
      <c r="KB49" s="31" t="s">
        <v>83</v>
      </c>
      <c r="KC49" s="31" t="s">
        <v>83</v>
      </c>
      <c r="KD49" s="31" t="s">
        <v>83</v>
      </c>
      <c r="KE49" s="31" t="s">
        <v>83</v>
      </c>
      <c r="KF49" s="31">
        <v>19.701000000000001</v>
      </c>
      <c r="KG49" s="31">
        <v>16.577000000000002</v>
      </c>
      <c r="KH49" s="31">
        <v>28.995999999999999</v>
      </c>
      <c r="KI49" s="31">
        <v>17.390999999999998</v>
      </c>
      <c r="KJ49" s="31" t="s">
        <v>83</v>
      </c>
      <c r="KK49" s="31" t="s">
        <v>83</v>
      </c>
      <c r="KL49" s="31" t="s">
        <v>83</v>
      </c>
      <c r="KM49" s="31" t="s">
        <v>83</v>
      </c>
      <c r="KN49" s="31" t="s">
        <v>83</v>
      </c>
      <c r="KO49" s="31" t="s">
        <v>83</v>
      </c>
    </row>
    <row r="50" spans="1:301" x14ac:dyDescent="0.2">
      <c r="A50" s="36" t="s">
        <v>87</v>
      </c>
      <c r="B50" s="29" t="s">
        <v>75</v>
      </c>
      <c r="C50" s="30" t="s">
        <v>47</v>
      </c>
      <c r="D50" s="31" t="s">
        <v>47</v>
      </c>
      <c r="E50" s="31" t="s">
        <v>47</v>
      </c>
      <c r="F50" s="32" t="s">
        <v>47</v>
      </c>
      <c r="G50" s="33" t="s">
        <v>47</v>
      </c>
      <c r="H50" s="33">
        <v>4.01</v>
      </c>
      <c r="I50" s="31">
        <v>6.33</v>
      </c>
      <c r="J50" s="31" t="s">
        <v>47</v>
      </c>
      <c r="K50" s="31" t="s">
        <v>47</v>
      </c>
      <c r="L50" s="31" t="s">
        <v>47</v>
      </c>
      <c r="M50" s="31" t="s">
        <v>47</v>
      </c>
      <c r="N50" s="31" t="s">
        <v>47</v>
      </c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 t="s">
        <v>47</v>
      </c>
      <c r="AJ50" s="45">
        <v>2.5</v>
      </c>
      <c r="AK50" s="45">
        <v>6.1</v>
      </c>
      <c r="AL50" s="45">
        <v>8.6</v>
      </c>
      <c r="AM50" s="45">
        <v>5.7</v>
      </c>
      <c r="AN50" s="45">
        <v>11</v>
      </c>
      <c r="AO50" s="45">
        <v>13.6</v>
      </c>
      <c r="AP50" s="45">
        <v>19.7</v>
      </c>
      <c r="AQ50" s="45" t="s">
        <v>47</v>
      </c>
      <c r="AR50" s="45" t="s">
        <v>47</v>
      </c>
      <c r="AS50" s="45" t="s">
        <v>47</v>
      </c>
      <c r="AT50" s="45" t="s">
        <v>47</v>
      </c>
      <c r="AU50" s="45" t="s">
        <v>47</v>
      </c>
      <c r="AV50" s="45" t="s">
        <v>47</v>
      </c>
      <c r="AW50" s="45">
        <v>3.5</v>
      </c>
      <c r="AX50" s="45">
        <v>5.0999999999999996</v>
      </c>
      <c r="AY50" s="45" t="s">
        <v>47</v>
      </c>
      <c r="AZ50" s="45" t="s">
        <v>47</v>
      </c>
      <c r="BA50" s="45" t="s">
        <v>47</v>
      </c>
      <c r="BB50" s="45" t="s">
        <v>47</v>
      </c>
      <c r="BC50" s="31">
        <v>41.3</v>
      </c>
      <c r="BD50" s="31">
        <v>27.3</v>
      </c>
      <c r="BE50" s="31">
        <v>14.8</v>
      </c>
      <c r="BF50" s="31">
        <v>17.3</v>
      </c>
      <c r="BG50" s="31" t="s">
        <v>88</v>
      </c>
      <c r="BH50" s="31" t="s">
        <v>88</v>
      </c>
      <c r="BI50" s="31" t="s">
        <v>88</v>
      </c>
      <c r="BJ50" s="31" t="s">
        <v>88</v>
      </c>
      <c r="BK50" s="31"/>
      <c r="BL50" s="31"/>
      <c r="BM50" s="31" t="s">
        <v>89</v>
      </c>
      <c r="BN50" s="31" t="s">
        <v>89</v>
      </c>
      <c r="BO50" s="31" t="s">
        <v>89</v>
      </c>
      <c r="BP50" s="31" t="s">
        <v>89</v>
      </c>
      <c r="BQ50" s="31" t="s">
        <v>89</v>
      </c>
      <c r="BR50" s="31" t="s">
        <v>89</v>
      </c>
      <c r="BS50" s="31" t="s">
        <v>57</v>
      </c>
      <c r="BT50" s="31" t="s">
        <v>57</v>
      </c>
      <c r="BU50" s="31" t="s">
        <v>57</v>
      </c>
      <c r="BV50" s="31" t="s">
        <v>57</v>
      </c>
      <c r="BW50" s="31" t="s">
        <v>57</v>
      </c>
      <c r="BX50" s="31" t="s">
        <v>57</v>
      </c>
      <c r="BY50" s="31" t="s">
        <v>82</v>
      </c>
      <c r="BZ50" s="31" t="s">
        <v>82</v>
      </c>
      <c r="CA50" s="31" t="s">
        <v>82</v>
      </c>
      <c r="CB50" s="31" t="s">
        <v>82</v>
      </c>
      <c r="CC50" s="31" t="s">
        <v>82</v>
      </c>
      <c r="CD50" s="31" t="s">
        <v>82</v>
      </c>
      <c r="CE50" s="31" t="s">
        <v>82</v>
      </c>
      <c r="CF50" s="31" t="s">
        <v>82</v>
      </c>
      <c r="CG50" s="31" t="s">
        <v>82</v>
      </c>
      <c r="CH50" s="31">
        <v>25.3</v>
      </c>
      <c r="CI50" s="31" t="s">
        <v>82</v>
      </c>
      <c r="CJ50" s="31">
        <v>23.3</v>
      </c>
      <c r="CK50" s="31" t="s">
        <v>82</v>
      </c>
      <c r="CL50" s="31" t="s">
        <v>82</v>
      </c>
      <c r="CM50" s="34">
        <v>67.599999999999994</v>
      </c>
      <c r="CN50" s="31" t="s">
        <v>82</v>
      </c>
      <c r="CO50" s="31" t="s">
        <v>82</v>
      </c>
      <c r="CP50" s="31" t="s">
        <v>82</v>
      </c>
      <c r="CQ50" s="31" t="s">
        <v>82</v>
      </c>
      <c r="CR50" s="31" t="s">
        <v>82</v>
      </c>
      <c r="CS50" s="31" t="s">
        <v>82</v>
      </c>
      <c r="CT50" s="31" t="s">
        <v>82</v>
      </c>
      <c r="CU50" s="31" t="s">
        <v>82</v>
      </c>
      <c r="CV50" s="31" t="s">
        <v>82</v>
      </c>
      <c r="CW50" s="31" t="s">
        <v>82</v>
      </c>
      <c r="CX50" s="31" t="s">
        <v>82</v>
      </c>
      <c r="CY50" s="31" t="s">
        <v>82</v>
      </c>
      <c r="CZ50" s="31" t="s">
        <v>82</v>
      </c>
      <c r="DA50" s="31" t="s">
        <v>82</v>
      </c>
      <c r="DB50" s="31" t="s">
        <v>82</v>
      </c>
      <c r="DC50" s="31" t="s">
        <v>82</v>
      </c>
      <c r="DD50" s="31" t="s">
        <v>82</v>
      </c>
      <c r="DE50" s="31" t="s">
        <v>82</v>
      </c>
      <c r="DF50" s="31" t="s">
        <v>82</v>
      </c>
      <c r="DG50" s="31" t="s">
        <v>82</v>
      </c>
      <c r="DH50" s="31" t="s">
        <v>82</v>
      </c>
      <c r="DI50" s="31" t="s">
        <v>82</v>
      </c>
      <c r="DJ50" s="31" t="s">
        <v>82</v>
      </c>
      <c r="DK50" s="31" t="s">
        <v>82</v>
      </c>
      <c r="DL50" s="31" t="s">
        <v>82</v>
      </c>
      <c r="DM50" s="31" t="s">
        <v>82</v>
      </c>
      <c r="DN50" s="31" t="s">
        <v>82</v>
      </c>
      <c r="DO50" s="31" t="s">
        <v>82</v>
      </c>
      <c r="DP50" s="31" t="s">
        <v>82</v>
      </c>
      <c r="DQ50" s="31" t="s">
        <v>82</v>
      </c>
      <c r="DR50" s="31" t="s">
        <v>82</v>
      </c>
      <c r="DS50" s="31" t="s">
        <v>82</v>
      </c>
      <c r="DT50" s="31" t="s">
        <v>82</v>
      </c>
      <c r="DU50" s="31" t="s">
        <v>82</v>
      </c>
      <c r="DV50" s="31" t="s">
        <v>82</v>
      </c>
      <c r="DW50" s="31" t="s">
        <v>82</v>
      </c>
      <c r="DX50" s="31" t="s">
        <v>82</v>
      </c>
      <c r="DY50" s="31" t="s">
        <v>82</v>
      </c>
      <c r="DZ50" s="31" t="s">
        <v>82</v>
      </c>
      <c r="EA50" s="34">
        <v>46.4</v>
      </c>
      <c r="EB50" s="34">
        <v>65.7</v>
      </c>
      <c r="EC50" s="34">
        <v>59.1</v>
      </c>
      <c r="ED50" s="34">
        <v>91.7</v>
      </c>
      <c r="EE50" s="34">
        <v>81.599999999999994</v>
      </c>
      <c r="EF50" s="34">
        <v>96.5</v>
      </c>
      <c r="EG50" s="31" t="s">
        <v>82</v>
      </c>
      <c r="EH50" s="31" t="s">
        <v>82</v>
      </c>
      <c r="EI50" s="31" t="s">
        <v>82</v>
      </c>
      <c r="EJ50" s="31" t="s">
        <v>82</v>
      </c>
      <c r="EK50" s="31" t="s">
        <v>82</v>
      </c>
      <c r="EL50" s="31" t="s">
        <v>82</v>
      </c>
      <c r="EM50" s="31" t="s">
        <v>82</v>
      </c>
      <c r="EN50" s="31" t="s">
        <v>82</v>
      </c>
      <c r="EO50" s="31" t="s">
        <v>82</v>
      </c>
      <c r="EP50" s="31" t="s">
        <v>82</v>
      </c>
      <c r="EQ50" s="31" t="s">
        <v>82</v>
      </c>
      <c r="ER50" s="31" t="s">
        <v>82</v>
      </c>
      <c r="ES50" s="31" t="s">
        <v>82</v>
      </c>
      <c r="ET50" s="31" t="s">
        <v>82</v>
      </c>
      <c r="EU50" s="31" t="s">
        <v>82</v>
      </c>
      <c r="EV50" s="37">
        <v>68.400000000000006</v>
      </c>
      <c r="EW50" s="31" t="s">
        <v>82</v>
      </c>
      <c r="EX50" s="37">
        <v>85.9</v>
      </c>
      <c r="EY50" s="37" t="s">
        <v>82</v>
      </c>
      <c r="EZ50" s="37" t="s">
        <v>82</v>
      </c>
      <c r="FA50" s="31" t="s">
        <v>82</v>
      </c>
      <c r="FB50" s="37">
        <v>28.8</v>
      </c>
      <c r="FC50" s="31" t="s">
        <v>82</v>
      </c>
      <c r="FD50" s="31" t="s">
        <v>82</v>
      </c>
      <c r="FE50" s="37" t="s">
        <v>82</v>
      </c>
      <c r="FF50" s="37" t="s">
        <v>82</v>
      </c>
      <c r="FG50" s="37" t="s">
        <v>82</v>
      </c>
      <c r="FH50" s="37" t="s">
        <v>82</v>
      </c>
      <c r="FI50" s="37" t="s">
        <v>82</v>
      </c>
      <c r="FJ50" s="37" t="s">
        <v>82</v>
      </c>
      <c r="FK50" s="37" t="s">
        <v>82</v>
      </c>
      <c r="FL50" s="37" t="s">
        <v>82</v>
      </c>
      <c r="FM50" s="37" t="s">
        <v>82</v>
      </c>
      <c r="FN50" s="37" t="s">
        <v>82</v>
      </c>
      <c r="FO50" s="37" t="s">
        <v>82</v>
      </c>
      <c r="FP50" s="37"/>
      <c r="FQ50" s="37" t="s">
        <v>82</v>
      </c>
      <c r="FR50" s="37" t="s">
        <v>82</v>
      </c>
      <c r="FS50" s="37">
        <v>21.6</v>
      </c>
      <c r="FT50" s="37" t="s">
        <v>82</v>
      </c>
      <c r="FU50" s="37" t="s">
        <v>82</v>
      </c>
      <c r="FV50" s="37"/>
      <c r="FW50" s="37" t="s">
        <v>82</v>
      </c>
      <c r="FX50" s="37" t="s">
        <v>82</v>
      </c>
      <c r="FY50" s="37" t="s">
        <v>82</v>
      </c>
      <c r="FZ50" s="37" t="s">
        <v>82</v>
      </c>
      <c r="GA50" s="37" t="s">
        <v>82</v>
      </c>
      <c r="GB50" s="37" t="s">
        <v>82</v>
      </c>
      <c r="GC50" s="37" t="s">
        <v>82</v>
      </c>
      <c r="GD50" s="37" t="s">
        <v>82</v>
      </c>
      <c r="GE50" s="37" t="s">
        <v>82</v>
      </c>
      <c r="GF50" s="37" t="s">
        <v>82</v>
      </c>
      <c r="GG50" s="37" t="s">
        <v>82</v>
      </c>
      <c r="GH50" s="37" t="s">
        <v>82</v>
      </c>
      <c r="GI50" s="37" t="s">
        <v>82</v>
      </c>
      <c r="GJ50" s="37" t="s">
        <v>82</v>
      </c>
      <c r="GK50" s="37" t="s">
        <v>82</v>
      </c>
      <c r="GL50" s="37" t="s">
        <v>82</v>
      </c>
      <c r="GM50" s="37" t="s">
        <v>82</v>
      </c>
      <c r="GN50" s="37" t="s">
        <v>82</v>
      </c>
      <c r="GO50" s="37" t="s">
        <v>82</v>
      </c>
      <c r="GP50" s="37" t="s">
        <v>82</v>
      </c>
      <c r="GQ50" s="37" t="s">
        <v>82</v>
      </c>
      <c r="GR50" s="37" t="s">
        <v>82</v>
      </c>
      <c r="GS50" s="37" t="s">
        <v>82</v>
      </c>
      <c r="GT50" s="37" t="s">
        <v>82</v>
      </c>
      <c r="GU50" s="31" t="s">
        <v>82</v>
      </c>
      <c r="GV50" s="31" t="s">
        <v>82</v>
      </c>
      <c r="GW50" s="31" t="s">
        <v>82</v>
      </c>
      <c r="GX50" s="31" t="s">
        <v>82</v>
      </c>
      <c r="GY50" s="31" t="s">
        <v>82</v>
      </c>
      <c r="GZ50" s="31" t="s">
        <v>82</v>
      </c>
      <c r="HA50" s="31" t="s">
        <v>82</v>
      </c>
      <c r="HB50" s="31" t="s">
        <v>82</v>
      </c>
      <c r="HC50" s="31" t="s">
        <v>82</v>
      </c>
      <c r="HD50" s="31" t="s">
        <v>82</v>
      </c>
      <c r="HE50" s="31" t="s">
        <v>82</v>
      </c>
      <c r="HF50" s="31" t="s">
        <v>82</v>
      </c>
      <c r="HG50" s="31" t="s">
        <v>82</v>
      </c>
      <c r="HH50" s="31" t="s">
        <v>82</v>
      </c>
      <c r="HI50" s="31" t="s">
        <v>82</v>
      </c>
      <c r="HJ50" s="31" t="s">
        <v>82</v>
      </c>
      <c r="HK50" s="31" t="s">
        <v>82</v>
      </c>
      <c r="HL50" s="31" t="s">
        <v>82</v>
      </c>
      <c r="HM50" s="31" t="s">
        <v>82</v>
      </c>
      <c r="HN50" s="31" t="s">
        <v>82</v>
      </c>
      <c r="HO50" s="31" t="s">
        <v>82</v>
      </c>
      <c r="HP50" s="31" t="s">
        <v>82</v>
      </c>
      <c r="HQ50" s="31" t="s">
        <v>82</v>
      </c>
      <c r="HR50" s="31" t="s">
        <v>82</v>
      </c>
      <c r="HS50" s="31" t="s">
        <v>82</v>
      </c>
      <c r="HT50" s="31" t="s">
        <v>82</v>
      </c>
      <c r="HU50" s="31">
        <v>20.5</v>
      </c>
      <c r="HV50" s="31" t="s">
        <v>82</v>
      </c>
      <c r="HW50" s="31" t="s">
        <v>82</v>
      </c>
      <c r="HX50" s="31" t="s">
        <v>82</v>
      </c>
      <c r="HY50" s="31" t="s">
        <v>82</v>
      </c>
      <c r="HZ50" s="31" t="s">
        <v>82</v>
      </c>
      <c r="IA50" s="31" t="s">
        <v>82</v>
      </c>
      <c r="IB50" s="31" t="s">
        <v>82</v>
      </c>
      <c r="IC50" s="31" t="s">
        <v>82</v>
      </c>
      <c r="ID50" s="31" t="s">
        <v>82</v>
      </c>
      <c r="IE50" s="31" t="s">
        <v>82</v>
      </c>
      <c r="IF50" s="31" t="s">
        <v>82</v>
      </c>
      <c r="IG50" s="31" t="s">
        <v>84</v>
      </c>
      <c r="IH50" s="31" t="s">
        <v>84</v>
      </c>
      <c r="II50" s="31" t="s">
        <v>84</v>
      </c>
      <c r="IJ50" s="31" t="s">
        <v>84</v>
      </c>
      <c r="IK50" s="31" t="s">
        <v>82</v>
      </c>
      <c r="IL50" s="31" t="s">
        <v>82</v>
      </c>
      <c r="IM50" s="31">
        <v>21.91</v>
      </c>
      <c r="IN50" s="31" t="s">
        <v>82</v>
      </c>
      <c r="IO50" s="31" t="s">
        <v>82</v>
      </c>
      <c r="IP50" s="31" t="s">
        <v>82</v>
      </c>
      <c r="IQ50" s="31" t="s">
        <v>82</v>
      </c>
      <c r="IR50" s="31" t="s">
        <v>82</v>
      </c>
      <c r="IS50" s="31">
        <v>21.472000000000001</v>
      </c>
      <c r="IT50" s="31" t="s">
        <v>82</v>
      </c>
      <c r="IU50" s="31" t="s">
        <v>82</v>
      </c>
      <c r="IV50" s="31" t="s">
        <v>82</v>
      </c>
      <c r="IW50" s="31" t="s">
        <v>82</v>
      </c>
      <c r="IX50" s="31" t="s">
        <v>82</v>
      </c>
      <c r="IY50" s="31" t="s">
        <v>82</v>
      </c>
      <c r="IZ50" s="31" t="s">
        <v>82</v>
      </c>
      <c r="JA50" s="31" t="s">
        <v>82</v>
      </c>
      <c r="JB50" s="31" t="s">
        <v>82</v>
      </c>
      <c r="JC50" s="31" t="s">
        <v>82</v>
      </c>
      <c r="JD50" s="31" t="s">
        <v>82</v>
      </c>
      <c r="JE50" s="31" t="s">
        <v>82</v>
      </c>
      <c r="JF50" s="31" t="s">
        <v>82</v>
      </c>
      <c r="JG50" s="31" t="s">
        <v>82</v>
      </c>
      <c r="JH50" s="31" t="s">
        <v>82</v>
      </c>
      <c r="JI50" s="31" t="s">
        <v>82</v>
      </c>
      <c r="JJ50" s="31" t="s">
        <v>82</v>
      </c>
      <c r="JK50" s="31" t="s">
        <v>82</v>
      </c>
      <c r="JL50" s="31" t="s">
        <v>82</v>
      </c>
      <c r="JM50" s="31" t="s">
        <v>82</v>
      </c>
      <c r="JN50" s="31" t="s">
        <v>82</v>
      </c>
      <c r="JO50" s="31" t="s">
        <v>82</v>
      </c>
      <c r="JP50" s="31" t="s">
        <v>82</v>
      </c>
      <c r="JQ50" s="31" t="s">
        <v>82</v>
      </c>
      <c r="JR50" s="31">
        <v>40.381</v>
      </c>
      <c r="JS50" s="31" t="s">
        <v>82</v>
      </c>
      <c r="JT50" s="31" t="s">
        <v>82</v>
      </c>
      <c r="JU50" s="31" t="s">
        <v>82</v>
      </c>
      <c r="JV50" s="31" t="s">
        <v>82</v>
      </c>
      <c r="JW50" s="31" t="s">
        <v>82</v>
      </c>
      <c r="JX50" s="31" t="s">
        <v>82</v>
      </c>
      <c r="JY50" s="31" t="s">
        <v>82</v>
      </c>
      <c r="JZ50" s="31" t="s">
        <v>82</v>
      </c>
      <c r="KA50" s="31" t="s">
        <v>82</v>
      </c>
      <c r="KB50" s="31" t="s">
        <v>82</v>
      </c>
      <c r="KC50" s="31" t="s">
        <v>82</v>
      </c>
      <c r="KD50" s="31" t="s">
        <v>82</v>
      </c>
      <c r="KE50" s="31" t="s">
        <v>82</v>
      </c>
      <c r="KF50" s="31" t="s">
        <v>82</v>
      </c>
      <c r="KG50" s="31" t="s">
        <v>82</v>
      </c>
      <c r="KH50" s="31" t="s">
        <v>82</v>
      </c>
      <c r="KI50" s="31" t="s">
        <v>82</v>
      </c>
      <c r="KJ50" s="31" t="s">
        <v>82</v>
      </c>
      <c r="KK50" s="31" t="s">
        <v>82</v>
      </c>
      <c r="KL50" s="31">
        <v>22.53</v>
      </c>
      <c r="KM50" s="31" t="s">
        <v>82</v>
      </c>
      <c r="KN50" s="31" t="s">
        <v>82</v>
      </c>
      <c r="KO50" s="31" t="s">
        <v>82</v>
      </c>
    </row>
    <row r="51" spans="1:301" x14ac:dyDescent="0.2">
      <c r="A51" s="59" t="s">
        <v>90</v>
      </c>
      <c r="B51" s="60" t="s">
        <v>22</v>
      </c>
      <c r="C51" s="38">
        <f>1883/1000</f>
        <v>1.883</v>
      </c>
      <c r="D51" s="34">
        <f>5179/1000</f>
        <v>5.1790000000000003</v>
      </c>
      <c r="E51" s="34">
        <f>6043/1000</f>
        <v>6.0430000000000001</v>
      </c>
      <c r="F51" s="39">
        <f>3159/1000</f>
        <v>3.1589999999999998</v>
      </c>
      <c r="G51" s="40">
        <f>1093/1000</f>
        <v>1.093</v>
      </c>
      <c r="H51" s="40">
        <f>1258/1000</f>
        <v>1.258</v>
      </c>
      <c r="I51" s="34">
        <f>1106/1000</f>
        <v>1.1060000000000001</v>
      </c>
      <c r="J51" s="34">
        <f>1581/1000</f>
        <v>1.581</v>
      </c>
      <c r="K51" s="34">
        <f>614/1000</f>
        <v>0.61399999999999999</v>
      </c>
      <c r="L51" s="34">
        <f>3/1000</f>
        <v>3.0000000000000001E-3</v>
      </c>
      <c r="M51" s="34">
        <f>1068/1000</f>
        <v>1.0680000000000001</v>
      </c>
      <c r="N51" s="34">
        <f>5103/1000</f>
        <v>5.1029999999999998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>
        <f>238.9/1000</f>
        <v>0.2389</v>
      </c>
      <c r="AZ51" s="34">
        <f>298.4/1000</f>
        <v>0.2984</v>
      </c>
      <c r="BA51" s="34">
        <f>454.4/1000</f>
        <v>0.45439999999999997</v>
      </c>
      <c r="BB51" s="34">
        <f>1552/1000</f>
        <v>1.552</v>
      </c>
      <c r="BC51" s="34"/>
      <c r="BD51" s="34"/>
      <c r="BE51" s="34"/>
      <c r="BF51" s="34"/>
      <c r="BG51" s="34">
        <f>55.3/1000</f>
        <v>5.5299999999999995E-2</v>
      </c>
      <c r="BH51" s="34">
        <f>41.6/1000</f>
        <v>4.1599999999999998E-2</v>
      </c>
      <c r="BI51" s="34">
        <f>22.5/1000</f>
        <v>2.2499999999999999E-2</v>
      </c>
      <c r="BJ51" s="34">
        <f>14.9/1000</f>
        <v>1.49E-2</v>
      </c>
      <c r="BK51" s="34"/>
      <c r="BL51" s="34"/>
      <c r="BM51" s="34">
        <f>3432/1000</f>
        <v>3.4319999999999999</v>
      </c>
      <c r="BN51" s="34">
        <f>3100/1000</f>
        <v>3.1</v>
      </c>
      <c r="BO51" s="34">
        <f>4195/1000</f>
        <v>4.1950000000000003</v>
      </c>
      <c r="BP51" s="34">
        <f>9803/1000</f>
        <v>9.8030000000000008</v>
      </c>
      <c r="BQ51" s="34">
        <f>5002/1000</f>
        <v>5.0019999999999998</v>
      </c>
      <c r="BR51" s="34">
        <f>2106/1000</f>
        <v>2.1059999999999999</v>
      </c>
      <c r="BS51" s="34">
        <f>285.9/1000</f>
        <v>0.28589999999999999</v>
      </c>
      <c r="BT51" s="34">
        <f>305.6/1000</f>
        <v>0.30560000000000004</v>
      </c>
      <c r="BU51" s="34">
        <f>307/1000</f>
        <v>0.307</v>
      </c>
      <c r="BV51" s="34">
        <f>260.1/1000</f>
        <v>0.2601</v>
      </c>
      <c r="BW51" s="34">
        <f>288/1000</f>
        <v>0.28799999999999998</v>
      </c>
      <c r="BX51" s="34">
        <f>77.8/1000</f>
        <v>7.7799999999999994E-2</v>
      </c>
      <c r="BY51" s="34">
        <f>12890/1000</f>
        <v>12.89</v>
      </c>
      <c r="BZ51" s="34">
        <f>9922/1000</f>
        <v>9.9220000000000006</v>
      </c>
      <c r="CA51" s="34">
        <f>11720/1000</f>
        <v>11.72</v>
      </c>
      <c r="CB51" s="34">
        <f>13190/1000</f>
        <v>13.19</v>
      </c>
      <c r="CC51" s="34">
        <f>13500/1000</f>
        <v>13.5</v>
      </c>
      <c r="CD51" s="34">
        <f>726.5/1000</f>
        <v>0.72650000000000003</v>
      </c>
      <c r="CE51" s="34">
        <f>5927/1000</f>
        <v>5.9269999999999996</v>
      </c>
      <c r="CF51" s="34">
        <f>8325/1000</f>
        <v>8.3249999999999993</v>
      </c>
      <c r="CG51" s="34">
        <f>14580/1000</f>
        <v>14.58</v>
      </c>
      <c r="CH51" s="34">
        <f>20030/1000</f>
        <v>20.03</v>
      </c>
      <c r="CI51" s="34">
        <f>8992/1000</f>
        <v>8.9920000000000009</v>
      </c>
      <c r="CJ51" s="34">
        <f>13210/1000</f>
        <v>13.21</v>
      </c>
      <c r="CK51" s="34">
        <f>1934/1000</f>
        <v>1.9339999999999999</v>
      </c>
      <c r="CL51" s="34">
        <f>3618/1000</f>
        <v>3.6179999999999999</v>
      </c>
      <c r="CM51" s="34">
        <f>78620/1000</f>
        <v>78.62</v>
      </c>
      <c r="CN51" s="34">
        <f>8047/1000</f>
        <v>8.0470000000000006</v>
      </c>
      <c r="CO51" s="34">
        <f>4576/1000</f>
        <v>4.5759999999999996</v>
      </c>
      <c r="CP51" s="34">
        <f>161.8/1000</f>
        <v>0.1618</v>
      </c>
      <c r="CQ51" s="34">
        <f>6255.7/1000</f>
        <v>6.2557</v>
      </c>
      <c r="CR51" s="34">
        <f>5831.1/1000</f>
        <v>5.8311000000000002</v>
      </c>
      <c r="CS51" s="34">
        <f>7367.8/1000</f>
        <v>7.3677999999999999</v>
      </c>
      <c r="CT51" s="34">
        <f>5085.3/1000</f>
        <v>5.0853000000000002</v>
      </c>
      <c r="CU51" s="34">
        <f>5956.5/1000</f>
        <v>5.9565000000000001</v>
      </c>
      <c r="CV51" s="34">
        <f>260/1000</f>
        <v>0.26</v>
      </c>
      <c r="CW51" s="34">
        <f>66.6/1000</f>
        <v>6.6599999999999993E-2</v>
      </c>
      <c r="CX51" s="34">
        <f>74.8/1000</f>
        <v>7.4799999999999991E-2</v>
      </c>
      <c r="CY51" s="34">
        <f>105.4/1000</f>
        <v>0.10540000000000001</v>
      </c>
      <c r="CZ51" s="34">
        <f>54.8/1000</f>
        <v>5.4799999999999995E-2</v>
      </c>
      <c r="DA51" s="34">
        <f>100.4/1000</f>
        <v>0.1004</v>
      </c>
      <c r="DB51" s="34">
        <f>322.2/1000</f>
        <v>0.32219999999999999</v>
      </c>
      <c r="DC51" s="34">
        <f>406/1000</f>
        <v>0.40600000000000003</v>
      </c>
      <c r="DD51" s="34">
        <f>337.4/1000</f>
        <v>0.33739999999999998</v>
      </c>
      <c r="DE51" s="34">
        <f>368.9/1000</f>
        <v>0.36889999999999995</v>
      </c>
      <c r="DF51" s="34">
        <f>608.3/1000</f>
        <v>0.60829999999999995</v>
      </c>
      <c r="DG51" s="34">
        <f>413.4/1000</f>
        <v>0.41339999999999999</v>
      </c>
      <c r="DH51" s="34">
        <f>198/1000</f>
        <v>0.19800000000000001</v>
      </c>
      <c r="DI51" s="34">
        <f>10321.3/1000</f>
        <v>10.321299999999999</v>
      </c>
      <c r="DJ51" s="34">
        <f>9462.2/1000</f>
        <v>9.4622000000000011</v>
      </c>
      <c r="DK51" s="34">
        <f>8890.2/1000</f>
        <v>8.8902000000000001</v>
      </c>
      <c r="DL51" s="34">
        <f>11957/1000</f>
        <v>11.957000000000001</v>
      </c>
      <c r="DM51" s="34">
        <f>10533.6/1000</f>
        <v>10.5336</v>
      </c>
      <c r="DN51" s="34">
        <f>159/1000</f>
        <v>0.159</v>
      </c>
      <c r="DO51" s="34">
        <f>214.8/1000</f>
        <v>0.21480000000000002</v>
      </c>
      <c r="DP51" s="34">
        <f>213.7/1000</f>
        <v>0.2137</v>
      </c>
      <c r="DQ51" s="34">
        <f>274.9/1000</f>
        <v>0.27489999999999998</v>
      </c>
      <c r="DR51" s="34">
        <f>2372.7/1000</f>
        <v>2.3727</v>
      </c>
      <c r="DS51" s="34">
        <f>229.5/1000</f>
        <v>0.22950000000000001</v>
      </c>
      <c r="DT51" s="34">
        <f>100.9/1000</f>
        <v>0.1009</v>
      </c>
      <c r="DU51" s="34">
        <f>129/1000</f>
        <v>0.129</v>
      </c>
      <c r="DV51" s="34">
        <f>12.3/1000</f>
        <v>1.23E-2</v>
      </c>
      <c r="DW51" s="34">
        <f>69/1000</f>
        <v>6.9000000000000006E-2</v>
      </c>
      <c r="DX51" s="34">
        <f>90.1/1000</f>
        <v>9.01E-2</v>
      </c>
      <c r="DY51" s="34">
        <f>242.7/1000</f>
        <v>0.2427</v>
      </c>
      <c r="DZ51" s="34">
        <f>26.2/1000</f>
        <v>2.6199999999999998E-2</v>
      </c>
      <c r="EA51" s="34">
        <f>28281/10000</f>
        <v>2.8281000000000001</v>
      </c>
      <c r="EB51" s="34">
        <f>42691/1000</f>
        <v>42.691000000000003</v>
      </c>
      <c r="EC51" s="34">
        <f>35576/1000</f>
        <v>35.576000000000001</v>
      </c>
      <c r="ED51" s="34">
        <f>56342/1000</f>
        <v>56.341999999999999</v>
      </c>
      <c r="EE51" s="34">
        <f>50171/1000</f>
        <v>50.170999999999999</v>
      </c>
      <c r="EF51" s="34">
        <f>47751/1000</f>
        <v>47.750999999999998</v>
      </c>
      <c r="EG51" s="37">
        <f>1364/1000</f>
        <v>1.3640000000000001</v>
      </c>
      <c r="EH51" s="37">
        <f>1292.5/1000</f>
        <v>1.2925</v>
      </c>
      <c r="EI51" s="37">
        <f>1430/1000</f>
        <v>1.43</v>
      </c>
      <c r="EJ51" s="37">
        <f>4106.3/1000</f>
        <v>4.1063000000000001</v>
      </c>
      <c r="EK51" s="37">
        <f>2236.3/1000</f>
        <v>2.2363000000000004</v>
      </c>
      <c r="EL51" s="37">
        <f>1894.2/1000</f>
        <v>1.8942000000000001</v>
      </c>
      <c r="EM51" s="37">
        <f>216/1000</f>
        <v>0.216</v>
      </c>
      <c r="EN51" s="37">
        <f>206.4/1000</f>
        <v>0.2064</v>
      </c>
      <c r="EO51" s="37">
        <f>186.3/1000</f>
        <v>0.18630000000000002</v>
      </c>
      <c r="EP51" s="37">
        <f>305.4/1000</f>
        <v>0.3054</v>
      </c>
      <c r="EQ51" s="37">
        <f>697.3/1000</f>
        <v>0.69729999999999992</v>
      </c>
      <c r="ER51" s="37">
        <f>130.9/1000</f>
        <v>0.13090000000000002</v>
      </c>
      <c r="ES51" s="37">
        <f>2698.3/1000</f>
        <v>2.6983000000000001</v>
      </c>
      <c r="ET51" s="37">
        <f>2653.2/1000</f>
        <v>2.6532</v>
      </c>
      <c r="EU51" s="37">
        <f>3498/1000</f>
        <v>3.4980000000000002</v>
      </c>
      <c r="EV51" s="37">
        <f>51557/1000</f>
        <v>51.557000000000002</v>
      </c>
      <c r="EW51" s="37">
        <f>5128.2/1000</f>
        <v>5.1281999999999996</v>
      </c>
      <c r="EX51" s="37">
        <f>44550/1000</f>
        <v>44.55</v>
      </c>
      <c r="EY51" s="37">
        <f>4648.6/1000</f>
        <v>4.6486000000000001</v>
      </c>
      <c r="EZ51" s="37">
        <f>4742.1/1000</f>
        <v>4.7421000000000006</v>
      </c>
      <c r="FA51" s="37">
        <f>9909.9/1000</f>
        <v>9.9099000000000004</v>
      </c>
      <c r="FB51" s="37">
        <f>21043/1000</f>
        <v>21.042999999999999</v>
      </c>
      <c r="FC51" s="37">
        <f>7759.4/1000</f>
        <v>7.7593999999999994</v>
      </c>
      <c r="FD51" s="37">
        <f>5088.6/1000</f>
        <v>5.0886000000000005</v>
      </c>
      <c r="FE51" s="37">
        <f>1785.3/1000</f>
        <v>1.7852999999999999</v>
      </c>
      <c r="FF51" s="37">
        <f>1973.4/1000</f>
        <v>1.9734</v>
      </c>
      <c r="FG51" s="37">
        <f>1903/1000</f>
        <v>1.903</v>
      </c>
      <c r="FH51" s="37">
        <f>1311.2/1000</f>
        <v>1.3112000000000001</v>
      </c>
      <c r="FI51" s="37">
        <f>2039.4/1000</f>
        <v>2.0394000000000001</v>
      </c>
      <c r="FJ51" s="37">
        <v>0.84899999999999998</v>
      </c>
      <c r="FK51" s="37">
        <f>113.1/1000</f>
        <v>0.11309999999999999</v>
      </c>
      <c r="FL51" s="37">
        <f>224.3/1000</f>
        <v>0.2243</v>
      </c>
      <c r="FM51" s="37">
        <f>243.1/1000</f>
        <v>0.24309999999999998</v>
      </c>
      <c r="FN51" s="37">
        <f>197.5/1000</f>
        <v>0.19750000000000001</v>
      </c>
      <c r="FO51" s="37">
        <f>219.6/1000</f>
        <v>0.21959999999999999</v>
      </c>
      <c r="FP51" s="37"/>
      <c r="FQ51" s="37">
        <f>2425.5/1000</f>
        <v>2.4255</v>
      </c>
      <c r="FR51" s="37">
        <f>2332/1000</f>
        <v>2.3319999999999999</v>
      </c>
      <c r="FS51" s="37">
        <f>2449.7/1000</f>
        <v>2.4497</v>
      </c>
      <c r="FT51" s="37">
        <f>2489.3/1000</f>
        <v>2.4893000000000001</v>
      </c>
      <c r="FU51" s="37">
        <f>2368.3/1000</f>
        <v>2.3683000000000001</v>
      </c>
      <c r="FV51" s="37"/>
      <c r="FW51" s="37">
        <f>1624.7/1000</f>
        <v>1.6247</v>
      </c>
      <c r="FX51" s="37">
        <f>1526.8/1000</f>
        <v>1.5267999999999999</v>
      </c>
      <c r="FY51" s="37">
        <f>1488.3/1000</f>
        <v>1.4883</v>
      </c>
      <c r="FZ51" s="37">
        <f>2335.3/1000</f>
        <v>2.3353000000000002</v>
      </c>
      <c r="GA51" s="37">
        <f>1623.6/1000</f>
        <v>1.6235999999999999</v>
      </c>
      <c r="GB51" s="37">
        <f>211.3/1000</f>
        <v>0.21130000000000002</v>
      </c>
      <c r="GC51" s="37">
        <f>401.7/1000</f>
        <v>0.4017</v>
      </c>
      <c r="GD51" s="37">
        <f>337.2/1000</f>
        <v>0.3372</v>
      </c>
      <c r="GE51" s="37">
        <f>318.7/1000</f>
        <v>0.31869999999999998</v>
      </c>
      <c r="GF51" s="37">
        <f>407.2/1000</f>
        <v>0.40720000000000001</v>
      </c>
      <c r="GG51" s="37">
        <f>403.8/1000</f>
        <v>0.40379999999999999</v>
      </c>
      <c r="GH51" s="37">
        <f>80.1/1000</f>
        <v>8.0099999999999991E-2</v>
      </c>
      <c r="GI51" s="37">
        <f>1586.2/1000</f>
        <v>1.5862000000000001</v>
      </c>
      <c r="GJ51" s="37">
        <f>1284.8/1000</f>
        <v>1.2847999999999999</v>
      </c>
      <c r="GK51" s="37">
        <f>1181.4/1000</f>
        <v>1.1814</v>
      </c>
      <c r="GL51" s="37">
        <f>880.1/1000</f>
        <v>0.88009999999999999</v>
      </c>
      <c r="GM51" s="37">
        <f>1471.8/1000</f>
        <v>1.4718</v>
      </c>
      <c r="GN51" s="37">
        <f>393.4/1000</f>
        <v>0.39339999999999997</v>
      </c>
      <c r="GO51" s="37">
        <v>6.6769999999999996</v>
      </c>
      <c r="GP51" s="37">
        <f>8123.5/1000</f>
        <v>8.1234999999999999</v>
      </c>
      <c r="GQ51" s="37">
        <v>10.813000000000001</v>
      </c>
      <c r="GR51" s="37">
        <v>11.308</v>
      </c>
      <c r="GS51" s="37">
        <f>8675.7/1000</f>
        <v>8.6757000000000009</v>
      </c>
      <c r="GT51" s="37">
        <f>403.3/1000</f>
        <v>0.40329999999999999</v>
      </c>
      <c r="GU51" s="37">
        <f>1862.3/1000</f>
        <v>1.8622999999999998</v>
      </c>
      <c r="GV51" s="37">
        <f>1912.9/1000</f>
        <v>1.9129</v>
      </c>
      <c r="GW51" s="37">
        <f>1668.7/1000</f>
        <v>1.6687000000000001</v>
      </c>
      <c r="GX51" s="37">
        <f>2527.8/1000</f>
        <v>2.5278</v>
      </c>
      <c r="GY51" s="37">
        <f>253.8/1000</f>
        <v>0.25380000000000003</v>
      </c>
      <c r="GZ51" s="37">
        <f>611.5/1000</f>
        <v>0.61150000000000004</v>
      </c>
      <c r="HA51" s="37">
        <f>346.2/1000</f>
        <v>0.34620000000000001</v>
      </c>
      <c r="HB51" s="37">
        <f>327.8/1000</f>
        <v>0.32780000000000004</v>
      </c>
      <c r="HC51" s="37">
        <f>280.4/1000</f>
        <v>0.28039999999999998</v>
      </c>
      <c r="HD51" s="37">
        <f>190.7/1000</f>
        <v>0.19069999999999998</v>
      </c>
      <c r="HE51" s="37">
        <f>162.8/1000</f>
        <v>0.1628</v>
      </c>
      <c r="HF51" s="37">
        <f>332.6/1000</f>
        <v>0.33260000000000001</v>
      </c>
      <c r="HG51" s="31">
        <f>305.1/1000</f>
        <v>0.30510000000000004</v>
      </c>
      <c r="HH51" s="31">
        <f>184.5/1000</f>
        <v>0.1845</v>
      </c>
      <c r="HI51" s="31">
        <f>175.8/1000</f>
        <v>0.17580000000000001</v>
      </c>
      <c r="HJ51" s="31">
        <f>306.1/1000</f>
        <v>0.30610000000000004</v>
      </c>
      <c r="HK51" s="31">
        <f>265.2/1000</f>
        <v>0.26519999999999999</v>
      </c>
      <c r="HL51" s="31">
        <f>191.8/1000</f>
        <v>0.1918</v>
      </c>
      <c r="HM51" s="31">
        <f>1437.7/1000</f>
        <v>1.4377</v>
      </c>
      <c r="HN51" s="31">
        <f>1289.2/1000</f>
        <v>1.2892000000000001</v>
      </c>
      <c r="HO51" s="31">
        <f>1439.9/1000</f>
        <v>1.4399000000000002</v>
      </c>
      <c r="HP51" s="31">
        <f>1555.4/1000</f>
        <v>1.5554000000000001</v>
      </c>
      <c r="HQ51" s="31">
        <f>1436.6/1000</f>
        <v>1.4365999999999999</v>
      </c>
      <c r="HR51" s="31">
        <f>482.6/1000</f>
        <v>0.48260000000000003</v>
      </c>
      <c r="HS51" s="31">
        <f>8657/1000</f>
        <v>8.657</v>
      </c>
      <c r="HT51" s="31">
        <f>8366.6/1000</f>
        <v>8.3666</v>
      </c>
      <c r="HU51" s="31">
        <f>8396.3/1000</f>
        <v>8.3963000000000001</v>
      </c>
      <c r="HV51" s="31">
        <f>13079/1000</f>
        <v>13.079000000000001</v>
      </c>
      <c r="HW51" s="31">
        <f>9010.1/1000</f>
        <v>9.0100999999999996</v>
      </c>
      <c r="HX51" s="31">
        <f>1155/1000</f>
        <v>1.155</v>
      </c>
      <c r="HY51" s="31">
        <f>341.7/1000</f>
        <v>0.3417</v>
      </c>
      <c r="HZ51" s="31">
        <f>296/1000</f>
        <v>0.29599999999999999</v>
      </c>
      <c r="IA51" s="31">
        <f>70.6/1000</f>
        <v>7.0599999999999996E-2</v>
      </c>
      <c r="IB51" s="31">
        <f>81.4/1000</f>
        <v>8.14E-2</v>
      </c>
      <c r="IC51" s="31">
        <f>93.4/1000</f>
        <v>9.3400000000000011E-2</v>
      </c>
      <c r="ID51" s="31">
        <f>101/1000</f>
        <v>0.10100000000000001</v>
      </c>
      <c r="IE51" s="31">
        <f>596.8/1000</f>
        <v>0.5968</v>
      </c>
      <c r="IF51" s="31">
        <f>847.8/1000</f>
        <v>0.8478</v>
      </c>
      <c r="IG51" s="31">
        <f>510.2/1000</f>
        <v>0.51019999999999999</v>
      </c>
      <c r="IH51" s="31">
        <f>721.7/1000</f>
        <v>0.72170000000000001</v>
      </c>
      <c r="II51" s="31">
        <f>761.1/1000</f>
        <v>0.7611</v>
      </c>
      <c r="IJ51" s="31">
        <f>66.3/1000</f>
        <v>6.6299999999999998E-2</v>
      </c>
      <c r="IK51" s="31">
        <f>275.99/1000</f>
        <v>0.27599000000000001</v>
      </c>
      <c r="IL51" s="31">
        <f>321.2/1000</f>
        <v>0.32119999999999999</v>
      </c>
      <c r="IM51" s="31">
        <f>842.49/1000</f>
        <v>0.84248999999999996</v>
      </c>
      <c r="IN51" s="31">
        <f>199.1/1000</f>
        <v>0.1991</v>
      </c>
      <c r="IO51" s="31">
        <f>122.65/1000</f>
        <v>0.12265000000000001</v>
      </c>
      <c r="IP51" s="31">
        <f>13777.5/1000</f>
        <v>13.7775</v>
      </c>
      <c r="IQ51" s="31">
        <f>14283.5/1000</f>
        <v>14.2835</v>
      </c>
      <c r="IR51" s="31">
        <f>12881/1000</f>
        <v>12.881</v>
      </c>
      <c r="IS51" s="31">
        <f>13893/1000</f>
        <v>13.893000000000001</v>
      </c>
      <c r="IT51" s="31">
        <f>204.82/1000</f>
        <v>0.20482</v>
      </c>
      <c r="IU51" s="31">
        <f>14470.5/1000</f>
        <v>14.470499999999999</v>
      </c>
      <c r="IV51" s="31">
        <f>231.55/1000</f>
        <v>0.23155000000000001</v>
      </c>
      <c r="IW51" s="31">
        <f>236.83/1000</f>
        <v>0.23683000000000001</v>
      </c>
      <c r="IX51" s="31">
        <f>325.44/1000</f>
        <v>0.32544000000000001</v>
      </c>
      <c r="IY51" s="31">
        <f>133.65/1000</f>
        <v>0.13365000000000002</v>
      </c>
      <c r="IZ51" s="31">
        <f>184.8/1000</f>
        <v>0.18480000000000002</v>
      </c>
      <c r="JA51" s="31">
        <f>1618.1/1000</f>
        <v>1.6180999999999999</v>
      </c>
      <c r="JB51" s="31">
        <f>2477.2/1000</f>
        <v>2.4771999999999998</v>
      </c>
      <c r="JC51" s="31">
        <f>2568.5/1000</f>
        <v>2.5684999999999998</v>
      </c>
      <c r="JD51" s="31">
        <f>2662/1000</f>
        <v>2.6619999999999999</v>
      </c>
      <c r="JE51" s="31">
        <f>4021.6/1000</f>
        <v>4.0216000000000003</v>
      </c>
      <c r="JF51" s="31">
        <f>2587.2/1000</f>
        <v>2.5871999999999997</v>
      </c>
      <c r="JG51" s="31">
        <f>351.89/1000</f>
        <v>0.35188999999999998</v>
      </c>
      <c r="JH51" s="34">
        <f>914.65/1000</f>
        <v>0.91464999999999996</v>
      </c>
      <c r="JI51" s="34">
        <f>1012/1000</f>
        <v>1.012</v>
      </c>
      <c r="JJ51" s="34">
        <f>851.18/1000</f>
        <v>0.85117999999999994</v>
      </c>
      <c r="JK51" s="34">
        <f>1421.2/1000</f>
        <v>1.4212</v>
      </c>
      <c r="JL51" s="34">
        <f>922.57/1000</f>
        <v>0.92257</v>
      </c>
      <c r="JM51" s="34">
        <f>154.11/1000</f>
        <v>0.15411000000000002</v>
      </c>
      <c r="JN51" s="34">
        <f>1478.4/1000</f>
        <v>1.4784000000000002</v>
      </c>
      <c r="JO51" s="34">
        <f>1392.6/1000</f>
        <v>1.3925999999999998</v>
      </c>
      <c r="JP51" s="34">
        <f>5714.5/1000</f>
        <v>5.7145000000000001</v>
      </c>
      <c r="JQ51" s="34">
        <f>4019.4/1000</f>
        <v>4.0194000000000001</v>
      </c>
      <c r="JR51" s="34">
        <f>16524.2/1000</f>
        <v>16.5242</v>
      </c>
      <c r="JS51" s="34">
        <f>216.7/1000</f>
        <v>0.21669999999999998</v>
      </c>
      <c r="JT51" s="34">
        <f>914.65/1000</f>
        <v>0.91464999999999996</v>
      </c>
      <c r="JU51" s="34">
        <f>1012/1000</f>
        <v>1.012</v>
      </c>
      <c r="JV51" s="34">
        <f>851.18/1000</f>
        <v>0.85117999999999994</v>
      </c>
      <c r="JW51" s="34">
        <f>1421.2/1000</f>
        <v>1.4212</v>
      </c>
      <c r="JX51" s="34">
        <f>922.57/1000</f>
        <v>0.92257</v>
      </c>
      <c r="JY51" s="34">
        <f>154.11/1000</f>
        <v>0.15411000000000002</v>
      </c>
      <c r="JZ51" s="34">
        <f>223.52/1000</f>
        <v>0.22352</v>
      </c>
      <c r="KA51" s="34">
        <f>247.94/1000</f>
        <v>0.24793999999999999</v>
      </c>
      <c r="KB51" s="34">
        <f>188.1/1000</f>
        <v>0.18809999999999999</v>
      </c>
      <c r="KC51" s="34">
        <f>297.44/1000</f>
        <v>0.29743999999999998</v>
      </c>
      <c r="KD51" s="34">
        <f>234.41/1000</f>
        <v>0.23441000000000001</v>
      </c>
      <c r="KE51" s="34">
        <f>992.86/1000</f>
        <v>0.99285999999999996</v>
      </c>
      <c r="KF51" s="34">
        <f>97.185/1000</f>
        <v>9.7185000000000007E-2</v>
      </c>
      <c r="KG51" s="34">
        <f>109.593/1000</f>
        <v>0.10959300000000001</v>
      </c>
      <c r="KH51" s="34">
        <f>145.2/1000</f>
        <v>0.1452</v>
      </c>
      <c r="KI51" s="34">
        <f>115.17/1000</f>
        <v>0.11517000000000001</v>
      </c>
      <c r="KJ51" s="34">
        <f>127.49/1000</f>
        <v>0.12748999999999999</v>
      </c>
      <c r="KK51" s="34">
        <f>236.06/1000</f>
        <v>0.23605999999999999</v>
      </c>
      <c r="KL51" s="34">
        <f>150.59/1000</f>
        <v>0.15059</v>
      </c>
      <c r="KM51" s="34">
        <f>516.56/1000</f>
        <v>0.51655999999999991</v>
      </c>
      <c r="KN51" s="34">
        <f>429.99/1000</f>
        <v>0.42998999999999998</v>
      </c>
      <c r="KO51" s="34">
        <f>1149.5/1000</f>
        <v>1.1495</v>
      </c>
    </row>
    <row r="52" spans="1:301" x14ac:dyDescent="0.2">
      <c r="A52" s="59" t="s">
        <v>91</v>
      </c>
      <c r="B52" s="60" t="s">
        <v>22</v>
      </c>
      <c r="C52" s="38">
        <f>52.85/1000</f>
        <v>5.2850000000000001E-2</v>
      </c>
      <c r="D52" s="34">
        <f>164.1/1000</f>
        <v>0.1641</v>
      </c>
      <c r="E52" s="34">
        <f>204.7/1000</f>
        <v>0.20469999999999999</v>
      </c>
      <c r="F52" s="39">
        <f>97.61/1000</f>
        <v>9.7610000000000002E-2</v>
      </c>
      <c r="G52" s="40">
        <f>36.75/1000</f>
        <v>3.6749999999999998E-2</v>
      </c>
      <c r="H52" s="40">
        <f>77.01/1000</f>
        <v>7.7010000000000009E-2</v>
      </c>
      <c r="I52" s="34">
        <f>63.62/1000</f>
        <v>6.3619999999999996E-2</v>
      </c>
      <c r="J52" s="34">
        <f>39.41/1000</f>
        <v>3.9409999999999994E-2</v>
      </c>
      <c r="K52" s="34">
        <f>47.47/1000</f>
        <v>4.7469999999999998E-2</v>
      </c>
      <c r="L52" s="34">
        <f>1/1000</f>
        <v>1E-3</v>
      </c>
      <c r="M52" s="34">
        <f>87.25/1000</f>
        <v>8.7249999999999994E-2</v>
      </c>
      <c r="N52" s="34">
        <f>119.5/1000</f>
        <v>0.1195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>
        <f>6.9/1000</f>
        <v>6.9000000000000008E-3</v>
      </c>
      <c r="AJ52" s="34">
        <f>373.6/1000</f>
        <v>0.37360000000000004</v>
      </c>
      <c r="AK52" s="34">
        <f>16.9/1000</f>
        <v>1.6899999999999998E-2</v>
      </c>
      <c r="AL52" s="34">
        <f>13.5/1000</f>
        <v>1.35E-2</v>
      </c>
      <c r="AM52" s="34">
        <f>71.5/1000</f>
        <v>7.1499999999999994E-2</v>
      </c>
      <c r="AN52" s="34">
        <f>115.4/1000</f>
        <v>0.1154</v>
      </c>
      <c r="AO52" s="34">
        <f>91.7/1000</f>
        <v>9.1700000000000004E-2</v>
      </c>
      <c r="AP52" s="34">
        <f>70.6/1000</f>
        <v>7.0599999999999996E-2</v>
      </c>
      <c r="AQ52" s="34">
        <f>59.7/1000</f>
        <v>5.9700000000000003E-2</v>
      </c>
      <c r="AR52" s="34">
        <f>158.9/1000</f>
        <v>0.15890000000000001</v>
      </c>
      <c r="AS52" s="34">
        <f>81.3/1000</f>
        <v>8.1299999999999997E-2</v>
      </c>
      <c r="AT52" s="34">
        <f>41.4/1000</f>
        <v>4.1399999999999999E-2</v>
      </c>
      <c r="AU52" s="34">
        <f>34.4/1000</f>
        <v>3.44E-2</v>
      </c>
      <c r="AV52" s="34">
        <f>204.4/1000</f>
        <v>0.2044</v>
      </c>
      <c r="AW52" s="34">
        <f>59.4/1000</f>
        <v>5.9400000000000001E-2</v>
      </c>
      <c r="AX52" s="34">
        <f>21.2/1000</f>
        <v>2.12E-2</v>
      </c>
      <c r="AY52" s="34">
        <f>37.9/1000</f>
        <v>3.7899999999999996E-2</v>
      </c>
      <c r="AZ52" s="34">
        <f>55.9/1000</f>
        <v>5.5899999999999998E-2</v>
      </c>
      <c r="BA52" s="34">
        <f>53.8/1000</f>
        <v>5.3800000000000001E-2</v>
      </c>
      <c r="BB52" s="34">
        <f>58.2/1000</f>
        <v>5.8200000000000002E-2</v>
      </c>
      <c r="BC52" s="34">
        <f>175.3/1000</f>
        <v>0.17530000000000001</v>
      </c>
      <c r="BD52" s="34">
        <f>178.8/1000</f>
        <v>0.17880000000000001</v>
      </c>
      <c r="BE52" s="34">
        <f>200/1000</f>
        <v>0.2</v>
      </c>
      <c r="BF52" s="34">
        <f>206.6/1000</f>
        <v>0.20660000000000001</v>
      </c>
      <c r="BG52" s="34">
        <f>15.3/1000</f>
        <v>1.5300000000000001E-2</v>
      </c>
      <c r="BH52" s="34">
        <f>3/1000</f>
        <v>3.0000000000000001E-3</v>
      </c>
      <c r="BI52" s="34">
        <f>4/1000</f>
        <v>4.0000000000000001E-3</v>
      </c>
      <c r="BJ52" s="34">
        <f>1.1/1000</f>
        <v>1.1000000000000001E-3</v>
      </c>
      <c r="BK52" s="34"/>
      <c r="BL52" s="34"/>
      <c r="BM52" s="34">
        <f>60.1/1000</f>
        <v>6.0100000000000001E-2</v>
      </c>
      <c r="BN52" s="34">
        <f>65.6/1000</f>
        <v>6.5599999999999992E-2</v>
      </c>
      <c r="BO52" s="34">
        <f>69.8/1000</f>
        <v>6.9800000000000001E-2</v>
      </c>
      <c r="BP52" s="34">
        <f>166.2/1000</f>
        <v>0.16619999999999999</v>
      </c>
      <c r="BQ52" s="34">
        <f>66.5/1000</f>
        <v>6.6500000000000004E-2</v>
      </c>
      <c r="BR52" s="34">
        <f>35/1000</f>
        <v>3.5000000000000003E-2</v>
      </c>
      <c r="BS52" s="34">
        <f>20.9/1000</f>
        <v>2.0899999999999998E-2</v>
      </c>
      <c r="BT52" s="34">
        <f>52/1000</f>
        <v>5.1999999999999998E-2</v>
      </c>
      <c r="BU52" s="34">
        <f>44.6/1000</f>
        <v>4.4600000000000001E-2</v>
      </c>
      <c r="BV52" s="34">
        <f>34.5/1000</f>
        <v>3.4500000000000003E-2</v>
      </c>
      <c r="BW52" s="34">
        <f>46.4/1000</f>
        <v>4.6399999999999997E-2</v>
      </c>
      <c r="BX52" s="34">
        <f>9.7/1000</f>
        <v>9.6999999999999986E-3</v>
      </c>
      <c r="BY52" s="34">
        <f>121.7/1000</f>
        <v>0.1217</v>
      </c>
      <c r="BZ52" s="34">
        <f>113.3/1000</f>
        <v>0.1133</v>
      </c>
      <c r="CA52" s="34">
        <f>116.6/1000</f>
        <v>0.1166</v>
      </c>
      <c r="CB52" s="34">
        <f>155.7/1000</f>
        <v>0.15569999999999998</v>
      </c>
      <c r="CC52" s="34">
        <f>146.5/1000</f>
        <v>0.14649999999999999</v>
      </c>
      <c r="CD52" s="34">
        <f>13.2/1000</f>
        <v>1.32E-2</v>
      </c>
      <c r="CE52" s="34"/>
      <c r="CF52" s="34"/>
      <c r="CG52" s="34"/>
      <c r="CH52" s="34"/>
      <c r="CI52" s="34"/>
      <c r="CJ52" s="34"/>
      <c r="CK52" s="34">
        <f>31.4/1000</f>
        <v>3.1399999999999997E-2</v>
      </c>
      <c r="CL52" s="34">
        <f>114/1000</f>
        <v>0.114</v>
      </c>
      <c r="CM52" s="34">
        <f>2218/1000</f>
        <v>2.218</v>
      </c>
      <c r="CN52" s="34">
        <f>159.2/1000</f>
        <v>0.15919999999999998</v>
      </c>
      <c r="CO52" s="34">
        <f>132.3/1000</f>
        <v>0.1323</v>
      </c>
      <c r="CP52" s="31">
        <f>9.5/1000</f>
        <v>9.4999999999999998E-3</v>
      </c>
      <c r="CQ52" s="34"/>
      <c r="CR52" s="34"/>
      <c r="CS52" s="34"/>
      <c r="CT52" s="34"/>
      <c r="CU52" s="34"/>
      <c r="CV52" s="34"/>
      <c r="CW52" s="34">
        <f>37.1/1000</f>
        <v>3.7100000000000001E-2</v>
      </c>
      <c r="CX52" s="34">
        <f>83.4/1000</f>
        <v>8.3400000000000002E-2</v>
      </c>
      <c r="CY52" s="45">
        <f>33/1000</f>
        <v>3.3000000000000002E-2</v>
      </c>
      <c r="CZ52" s="34">
        <f>7.5/1000</f>
        <v>7.4999999999999997E-3</v>
      </c>
      <c r="DA52" s="34">
        <f>80.5/1000</f>
        <v>8.0500000000000002E-2</v>
      </c>
      <c r="DB52" s="34">
        <f>39.9/1000</f>
        <v>3.9899999999999998E-2</v>
      </c>
      <c r="DC52" s="34"/>
      <c r="DD52" s="34"/>
      <c r="DE52" s="34"/>
      <c r="DF52" s="34"/>
      <c r="DG52" s="34"/>
      <c r="DH52" s="34"/>
      <c r="DI52" s="34">
        <f>204.8/1000</f>
        <v>0.20480000000000001</v>
      </c>
      <c r="DJ52" s="34">
        <f>200.1/1000</f>
        <v>0.2001</v>
      </c>
      <c r="DK52" s="34">
        <f>183.5/1000</f>
        <v>0.1835</v>
      </c>
      <c r="DL52" s="34">
        <f>204.4/1000</f>
        <v>0.2044</v>
      </c>
      <c r="DM52" s="34">
        <f>214.9/1000</f>
        <v>0.21490000000000001</v>
      </c>
      <c r="DN52" s="34">
        <f>12.1/1000</f>
        <v>1.21E-2</v>
      </c>
      <c r="DO52" s="34"/>
      <c r="DP52" s="34"/>
      <c r="DQ52" s="34"/>
      <c r="DR52" s="34"/>
      <c r="DS52" s="34"/>
      <c r="DT52" s="34"/>
      <c r="DU52" s="34">
        <f>27.1/1000</f>
        <v>2.7100000000000003E-2</v>
      </c>
      <c r="DV52" s="34">
        <f>56/1000</f>
        <v>5.6000000000000001E-2</v>
      </c>
      <c r="DW52" s="34">
        <f>10.3/1000</f>
        <v>1.03E-2</v>
      </c>
      <c r="DX52" s="34">
        <f>8.3/1000</f>
        <v>8.3000000000000001E-3</v>
      </c>
      <c r="DY52" s="34">
        <f>87.2/1000</f>
        <v>8.72E-2</v>
      </c>
      <c r="DZ52" s="34">
        <f>25.1/1000</f>
        <v>2.5100000000000001E-2</v>
      </c>
      <c r="EA52" s="34"/>
      <c r="EB52" s="34"/>
      <c r="EC52" s="34"/>
      <c r="ED52" s="34"/>
      <c r="EE52" s="34"/>
      <c r="EF52" s="34"/>
      <c r="EG52" s="37">
        <f>47.1/1000</f>
        <v>4.7100000000000003E-2</v>
      </c>
      <c r="EH52" s="37">
        <f>73.6/1000</f>
        <v>7.3599999999999999E-2</v>
      </c>
      <c r="EI52" s="37">
        <f>58.4/1000</f>
        <v>5.8400000000000001E-2</v>
      </c>
      <c r="EJ52" s="37">
        <f>156.5/1000</f>
        <v>0.1565</v>
      </c>
      <c r="EK52" s="37">
        <f>78.3/1000</f>
        <v>7.8299999999999995E-2</v>
      </c>
      <c r="EL52" s="37">
        <f>28.8/1000</f>
        <v>2.8799999999999999E-2</v>
      </c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>
        <f>83.8/1000</f>
        <v>8.3799999999999999E-2</v>
      </c>
      <c r="EZ52" s="37">
        <f>91.4/1000</f>
        <v>9.1400000000000009E-2</v>
      </c>
      <c r="FA52" s="37">
        <f>152.7/1000</f>
        <v>0.1527</v>
      </c>
      <c r="FB52" s="37">
        <f>305.3/1000</f>
        <v>0.30530000000000002</v>
      </c>
      <c r="FC52" s="37">
        <f>102.1/1000</f>
        <v>0.1021</v>
      </c>
      <c r="FD52" s="37">
        <f>55.2/1000</f>
        <v>5.5200000000000006E-2</v>
      </c>
      <c r="FE52" s="37"/>
      <c r="FF52" s="37"/>
      <c r="FG52" s="37"/>
      <c r="FH52" s="37"/>
      <c r="FI52" s="37"/>
      <c r="FJ52" s="37"/>
      <c r="FK52" s="37">
        <f>28.8/1000</f>
        <v>2.8799999999999999E-2</v>
      </c>
      <c r="FL52" s="37">
        <f>73.5/1000</f>
        <v>7.3499999999999996E-2</v>
      </c>
      <c r="FM52" s="37">
        <f>49.9/1000</f>
        <v>4.99E-2</v>
      </c>
      <c r="FN52" s="37">
        <f>44.1/1000</f>
        <v>4.41E-2</v>
      </c>
      <c r="FO52" s="37">
        <f>84.7/1000</f>
        <v>8.4699999999999998E-2</v>
      </c>
      <c r="FP52" s="37"/>
      <c r="FQ52" s="37"/>
      <c r="FR52" s="37"/>
      <c r="FS52" s="37"/>
      <c r="FT52" s="37"/>
      <c r="FU52" s="37"/>
      <c r="FV52" s="37"/>
      <c r="FW52" s="37">
        <f>51.2/1000</f>
        <v>5.1200000000000002E-2</v>
      </c>
      <c r="FX52" s="37">
        <f>52.8/1000</f>
        <v>5.28E-2</v>
      </c>
      <c r="FY52" s="37">
        <f>44.4/1000</f>
        <v>4.4400000000000002E-2</v>
      </c>
      <c r="FZ52" s="37">
        <f>75/1000</f>
        <v>7.4999999999999997E-2</v>
      </c>
      <c r="GA52" s="37">
        <f>49.8/1000</f>
        <v>4.9799999999999997E-2</v>
      </c>
      <c r="GB52" s="37">
        <f>10.5/1000</f>
        <v>1.0500000000000001E-2</v>
      </c>
      <c r="GC52" s="37">
        <f>21.6/1000</f>
        <v>2.1600000000000001E-2</v>
      </c>
      <c r="GD52" s="37">
        <f>29.9/1000</f>
        <v>2.9899999999999999E-2</v>
      </c>
      <c r="GE52" s="37">
        <f>22.7/1000</f>
        <v>2.2699999999999998E-2</v>
      </c>
      <c r="GF52" s="37">
        <f>32.1/1000</f>
        <v>3.2100000000000004E-2</v>
      </c>
      <c r="GG52" s="37">
        <f>35.1/1000</f>
        <v>3.5099999999999999E-2</v>
      </c>
      <c r="GH52" s="37">
        <f>27.9/1000</f>
        <v>2.7899999999999998E-2</v>
      </c>
      <c r="GI52" s="37">
        <f>53.2/1000</f>
        <v>5.3200000000000004E-2</v>
      </c>
      <c r="GJ52" s="37">
        <f>92.6/1000</f>
        <v>9.2599999999999988E-2</v>
      </c>
      <c r="GK52" s="37">
        <f>73/1000</f>
        <v>7.2999999999999995E-2</v>
      </c>
      <c r="GL52" s="37">
        <f>54.45/1000</f>
        <v>5.4450000000000005E-2</v>
      </c>
      <c r="GM52" s="37">
        <f>92.6/1000</f>
        <v>9.2599999999999988E-2</v>
      </c>
      <c r="GN52" s="37">
        <f>53.7/1000</f>
        <v>5.3700000000000005E-2</v>
      </c>
      <c r="GO52" s="37">
        <f>353.3/1000</f>
        <v>0.3533</v>
      </c>
      <c r="GP52" s="37">
        <f>342.3/1000</f>
        <v>0.34229999999999999</v>
      </c>
      <c r="GQ52" s="37">
        <f>352.7/1000</f>
        <v>0.35270000000000001</v>
      </c>
      <c r="GR52" s="37">
        <f>436.5/1000</f>
        <v>0.4365</v>
      </c>
      <c r="GS52" s="37">
        <f>342.1/1000</f>
        <v>0.34210000000000002</v>
      </c>
      <c r="GT52" s="37">
        <f>7.4/1000</f>
        <v>7.4000000000000003E-3</v>
      </c>
      <c r="GU52" s="37">
        <f>82/1000</f>
        <v>8.2000000000000003E-2</v>
      </c>
      <c r="GV52" s="37">
        <f>105.9/1000</f>
        <v>0.10590000000000001</v>
      </c>
      <c r="GW52" s="37">
        <f>94.9/1000</f>
        <v>9.4900000000000012E-2</v>
      </c>
      <c r="GX52" s="37">
        <f>105.2/1000</f>
        <v>0.1052</v>
      </c>
      <c r="GY52" s="37">
        <f>108.3/1000</f>
        <v>0.10829999999999999</v>
      </c>
      <c r="GZ52" s="37">
        <f>43.3/1000</f>
        <v>4.3299999999999998E-2</v>
      </c>
      <c r="HA52" s="37">
        <f>26.2/1000</f>
        <v>2.6199999999999998E-2</v>
      </c>
      <c r="HB52" s="37">
        <f>46.6/1000</f>
        <v>4.6600000000000003E-2</v>
      </c>
      <c r="HC52" s="37">
        <f>35.8/1000</f>
        <v>3.5799999999999998E-2</v>
      </c>
      <c r="HD52" s="37">
        <f>53.9/1000</f>
        <v>5.3899999999999997E-2</v>
      </c>
      <c r="HE52" s="37">
        <f>12/1000</f>
        <v>1.2E-2</v>
      </c>
      <c r="HF52" s="37">
        <f>45.5/1000</f>
        <v>4.5499999999999999E-2</v>
      </c>
      <c r="HG52" s="31">
        <f>32.8/1000</f>
        <v>3.2799999999999996E-2</v>
      </c>
      <c r="HH52" s="31">
        <f>100.9/1000</f>
        <v>0.1009</v>
      </c>
      <c r="HI52" s="31">
        <f>38.5/1000</f>
        <v>3.85E-2</v>
      </c>
      <c r="HJ52" s="31">
        <f>24/1000</f>
        <v>2.4E-2</v>
      </c>
      <c r="HK52" s="31">
        <f>86.4/1000</f>
        <v>8.6400000000000005E-2</v>
      </c>
      <c r="HL52" s="31">
        <f>67.2/1000</f>
        <v>6.720000000000001E-2</v>
      </c>
      <c r="HM52" s="31">
        <f>78.8/1000</f>
        <v>7.8799999999999995E-2</v>
      </c>
      <c r="HN52" s="31">
        <f>114.4/1000</f>
        <v>0.1144</v>
      </c>
      <c r="HO52" s="31">
        <f>146.2/1000</f>
        <v>0.1462</v>
      </c>
      <c r="HP52" s="31">
        <f>81.6/1000</f>
        <v>8.1599999999999992E-2</v>
      </c>
      <c r="HQ52" s="31">
        <f>98.8/1000</f>
        <v>9.8799999999999999E-2</v>
      </c>
      <c r="HR52" s="31">
        <f>19.7/1000</f>
        <v>1.9699999999999999E-2</v>
      </c>
      <c r="HS52" s="31">
        <f>258.7/1000</f>
        <v>0.25869999999999999</v>
      </c>
      <c r="HT52" s="31">
        <f>263.2/1000</f>
        <v>0.26319999999999999</v>
      </c>
      <c r="HU52" s="31">
        <f>244.2/1000</f>
        <v>0.2442</v>
      </c>
      <c r="HV52" s="31">
        <f>306.6/1000</f>
        <v>0.30660000000000004</v>
      </c>
      <c r="HW52" s="31">
        <f>246.2/1000</f>
        <v>0.2462</v>
      </c>
      <c r="HX52" s="31">
        <f>16.3/1000</f>
        <v>1.6300000000000002E-2</v>
      </c>
      <c r="HY52" s="31">
        <f>37.8/1000</f>
        <v>3.78E-2</v>
      </c>
      <c r="HZ52" s="31">
        <f>36.6/1000</f>
        <v>3.6600000000000001E-2</v>
      </c>
      <c r="IA52" s="31">
        <f>21.6/1000</f>
        <v>2.1600000000000001E-2</v>
      </c>
      <c r="IB52" s="31">
        <f>25.3/1000</f>
        <v>2.53E-2</v>
      </c>
      <c r="IC52" s="31">
        <f>32/1000</f>
        <v>3.2000000000000001E-2</v>
      </c>
      <c r="ID52" s="31">
        <f>17.7/1000</f>
        <v>1.77E-2</v>
      </c>
      <c r="IE52" s="31">
        <f>93.8/1000</f>
        <v>9.3799999999999994E-2</v>
      </c>
      <c r="IF52" s="31">
        <f>234.4/1000</f>
        <v>0.2344</v>
      </c>
      <c r="IG52" s="31">
        <f>86.7/1000</f>
        <v>8.6699999999999999E-2</v>
      </c>
      <c r="IH52" s="31">
        <f>89.7/1000</f>
        <v>8.9700000000000002E-2</v>
      </c>
      <c r="II52" s="31">
        <f>175.6/1000</f>
        <v>0.17560000000000001</v>
      </c>
      <c r="IJ52" s="31">
        <f>73.8/100</f>
        <v>0.73799999999999999</v>
      </c>
      <c r="IK52" s="31">
        <f>67.87/1000</f>
        <v>6.787E-2</v>
      </c>
      <c r="IL52" s="31">
        <f>109.69/1000</f>
        <v>0.10969</v>
      </c>
      <c r="IM52" s="31">
        <f>62.33/1000</f>
        <v>6.2329999999999997E-2</v>
      </c>
      <c r="IN52" s="31">
        <f>62.94/1000</f>
        <v>6.2939999999999996E-2</v>
      </c>
      <c r="IO52" s="31">
        <f>20.5/1000</f>
        <v>2.0500000000000001E-2</v>
      </c>
      <c r="IP52" s="31">
        <f>225.17/1000</f>
        <v>0.22516999999999998</v>
      </c>
      <c r="IQ52" s="31">
        <f>260.7/1000</f>
        <v>0.26069999999999999</v>
      </c>
      <c r="IR52" s="31">
        <f>222.53/1000</f>
        <v>0.22253000000000001</v>
      </c>
      <c r="IS52" s="31">
        <f>256.63/1000</f>
        <v>0.25662999999999997</v>
      </c>
      <c r="IT52" s="31">
        <f>209/1000</f>
        <v>0.20899999999999999</v>
      </c>
      <c r="IU52" s="31">
        <f>263.01/1000</f>
        <v>0.26300999999999997</v>
      </c>
      <c r="IV52" s="31">
        <f>18.106/1000</f>
        <v>1.8106000000000001E-2</v>
      </c>
      <c r="IW52" s="31">
        <f>31.229/1000</f>
        <v>3.1229E-2</v>
      </c>
      <c r="IX52" s="31">
        <f>43.065/1000</f>
        <v>4.3064999999999999E-2</v>
      </c>
      <c r="IY52" s="31">
        <f>21.109/1000</f>
        <v>2.1109000000000003E-2</v>
      </c>
      <c r="IZ52" s="31">
        <f>16.28/1000</f>
        <v>1.6280000000000003E-2</v>
      </c>
      <c r="JA52" s="31">
        <f>47.201/1000</f>
        <v>4.7201E-2</v>
      </c>
      <c r="JB52" s="31">
        <f>51.864/1000</f>
        <v>5.1864E-2</v>
      </c>
      <c r="JC52" s="31">
        <f>73.436/1000</f>
        <v>7.3436000000000001E-2</v>
      </c>
      <c r="JD52" s="31">
        <f>71.401/1000</f>
        <v>7.1400999999999992E-2</v>
      </c>
      <c r="JE52" s="31">
        <f>121.66/1000</f>
        <v>0.12165999999999999</v>
      </c>
      <c r="JF52" s="31">
        <f>72.974/1000</f>
        <v>7.2973999999999997E-2</v>
      </c>
      <c r="JG52" s="31">
        <f>9.994/1000</f>
        <v>9.9939999999999994E-3</v>
      </c>
      <c r="JH52" s="34">
        <f>50.798/1000</f>
        <v>5.0798000000000003E-2</v>
      </c>
      <c r="JI52" s="34">
        <f>75.801/1000</f>
        <v>7.5801000000000007E-2</v>
      </c>
      <c r="JJ52" s="34">
        <f>59.95/1000</f>
        <v>5.9950000000000003E-2</v>
      </c>
      <c r="JK52" s="34">
        <f>70.543/1000</f>
        <v>7.0543000000000008E-2</v>
      </c>
      <c r="JL52" s="34">
        <f>71.544/1000</f>
        <v>7.1543999999999996E-2</v>
      </c>
      <c r="JM52" s="34">
        <f>10.04/1000</f>
        <v>1.0039999999999999E-2</v>
      </c>
      <c r="JN52" s="34">
        <f>60.082/1000</f>
        <v>6.0082000000000003E-2</v>
      </c>
      <c r="JO52" s="34">
        <f>81.796/1000</f>
        <v>8.1796000000000008E-2</v>
      </c>
      <c r="JP52" s="34">
        <f>94.776/1000</f>
        <v>9.4775999999999999E-2</v>
      </c>
      <c r="JQ52" s="34">
        <f>105.754/1000</f>
        <v>0.105754</v>
      </c>
      <c r="JR52" s="34">
        <f>132.66/1000</f>
        <v>0.13266</v>
      </c>
      <c r="JS52" s="34">
        <f>57.178/1000</f>
        <v>5.7178E-2</v>
      </c>
      <c r="JT52" s="34">
        <f>50.798/1000</f>
        <v>5.0798000000000003E-2</v>
      </c>
      <c r="JU52" s="34">
        <f>78.801/1000</f>
        <v>7.8800999999999996E-2</v>
      </c>
      <c r="JV52" s="34">
        <f>59.95/1000</f>
        <v>5.9950000000000003E-2</v>
      </c>
      <c r="JW52" s="34">
        <f>70.543/1000</f>
        <v>7.0543000000000008E-2</v>
      </c>
      <c r="JX52" s="34">
        <f>71.544/1000</f>
        <v>7.1543999999999996E-2</v>
      </c>
      <c r="JY52" s="34">
        <f>10.04/1000</f>
        <v>1.0039999999999999E-2</v>
      </c>
      <c r="JZ52" s="34">
        <f>32.15/1000</f>
        <v>3.2149999999999998E-2</v>
      </c>
      <c r="KA52" s="34">
        <f>62.59/1000</f>
        <v>6.2590000000000007E-2</v>
      </c>
      <c r="KB52" s="34">
        <f>24.93/1000</f>
        <v>2.4930000000000001E-2</v>
      </c>
      <c r="KC52" s="34">
        <f>51.13/1000</f>
        <v>5.1130000000000002E-2</v>
      </c>
      <c r="KD52" s="34">
        <f>60.59/1000</f>
        <v>6.0590000000000005E-2</v>
      </c>
      <c r="KE52" s="34">
        <f>55.18/1000</f>
        <v>5.518E-2</v>
      </c>
      <c r="KF52" s="34">
        <f>27.511/1000</f>
        <v>2.7511000000000001E-2</v>
      </c>
      <c r="KG52" s="34">
        <f>71.5/1000</f>
        <v>7.1499999999999994E-2</v>
      </c>
      <c r="KH52" s="34">
        <f>24.959/1000</f>
        <v>2.4958999999999999E-2</v>
      </c>
      <c r="KI52" s="34">
        <f>53.614/1000</f>
        <v>5.3613999999999995E-2</v>
      </c>
      <c r="KJ52" s="34">
        <f>38.42/1000</f>
        <v>3.8420000000000003E-2</v>
      </c>
      <c r="KK52" s="34">
        <f>159.72/1000</f>
        <v>0.15972</v>
      </c>
      <c r="KL52" s="34">
        <f>20.13/1000</f>
        <v>2.0129999999999999E-2</v>
      </c>
      <c r="KM52" s="34">
        <f>54.97/1000</f>
        <v>5.4969999999999998E-2</v>
      </c>
      <c r="KN52" s="34">
        <f>162.47/1000</f>
        <v>0.16247</v>
      </c>
      <c r="KO52" s="34">
        <f>95.96/1000</f>
        <v>9.595999999999999E-2</v>
      </c>
    </row>
    <row r="53" spans="1:301" x14ac:dyDescent="0.2">
      <c r="A53" s="28" t="s">
        <v>92</v>
      </c>
      <c r="B53" s="29" t="s">
        <v>75</v>
      </c>
      <c r="C53" s="38"/>
      <c r="D53" s="34"/>
      <c r="E53" s="34"/>
      <c r="F53" s="39"/>
      <c r="G53" s="40"/>
      <c r="H53" s="40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4"/>
      <c r="JI53" s="34"/>
      <c r="JJ53" s="34"/>
      <c r="JK53" s="34"/>
      <c r="JL53" s="34"/>
      <c r="JM53" s="34"/>
      <c r="JN53" s="34"/>
      <c r="JO53" s="34"/>
      <c r="JP53" s="34"/>
      <c r="JQ53" s="34"/>
      <c r="JR53" s="34"/>
      <c r="JS53" s="34"/>
      <c r="JT53" s="34"/>
      <c r="JU53" s="34"/>
      <c r="JV53" s="34"/>
      <c r="JW53" s="34"/>
      <c r="JX53" s="34"/>
      <c r="JY53" s="34"/>
      <c r="JZ53" s="34"/>
      <c r="KA53" s="34"/>
      <c r="KB53" s="34"/>
      <c r="KC53" s="34"/>
      <c r="KD53" s="34"/>
      <c r="KE53" s="34"/>
      <c r="KF53" s="34"/>
      <c r="KG53" s="34"/>
      <c r="KH53" s="34"/>
      <c r="KI53" s="34"/>
      <c r="KJ53" s="34"/>
      <c r="KK53" s="34"/>
      <c r="KL53" s="34"/>
      <c r="KM53" s="34"/>
      <c r="KN53" s="34"/>
      <c r="KO53" s="34"/>
    </row>
    <row r="54" spans="1:301" x14ac:dyDescent="0.2">
      <c r="A54" s="36" t="s">
        <v>93</v>
      </c>
      <c r="B54" s="29" t="s">
        <v>75</v>
      </c>
      <c r="C54" s="30" t="s">
        <v>86</v>
      </c>
      <c r="D54" s="31" t="s">
        <v>86</v>
      </c>
      <c r="E54" s="31" t="s">
        <v>86</v>
      </c>
      <c r="F54" s="32" t="s">
        <v>86</v>
      </c>
      <c r="G54" s="33">
        <v>5.2</v>
      </c>
      <c r="H54" s="33">
        <v>15.34</v>
      </c>
      <c r="I54" s="31">
        <v>29.4</v>
      </c>
      <c r="J54" s="31">
        <v>26.95</v>
      </c>
      <c r="K54" s="34">
        <v>27.4</v>
      </c>
      <c r="L54" s="34">
        <v>9.01</v>
      </c>
      <c r="M54" s="34">
        <v>19.28</v>
      </c>
      <c r="N54" s="34">
        <v>27.21</v>
      </c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>
        <v>16.600000000000001</v>
      </c>
      <c r="AZ54" s="34">
        <v>18.8</v>
      </c>
      <c r="BA54" s="34">
        <v>25.1</v>
      </c>
      <c r="BB54" s="34">
        <v>24.1</v>
      </c>
      <c r="BC54" s="34"/>
      <c r="BD54" s="34"/>
      <c r="BE54" s="34"/>
      <c r="BF54" s="34"/>
      <c r="BG54" s="34">
        <v>8</v>
      </c>
      <c r="BH54" s="34">
        <v>6.1</v>
      </c>
      <c r="BI54" s="34">
        <v>7.2</v>
      </c>
      <c r="BJ54" s="34">
        <v>8.9</v>
      </c>
      <c r="BK54" s="34"/>
      <c r="BL54" s="34"/>
      <c r="BM54" s="34">
        <v>34.799999999999997</v>
      </c>
      <c r="BN54" s="34">
        <v>15.4</v>
      </c>
      <c r="BO54" s="34">
        <v>29.4</v>
      </c>
      <c r="BP54" s="34">
        <v>33.5</v>
      </c>
      <c r="BQ54" s="34">
        <v>25.7</v>
      </c>
      <c r="BR54" s="34">
        <v>27.7</v>
      </c>
      <c r="BS54" s="31" t="s">
        <v>94</v>
      </c>
      <c r="BT54" s="31" t="s">
        <v>94</v>
      </c>
      <c r="BU54" s="31" t="s">
        <v>94</v>
      </c>
      <c r="BV54" s="31" t="s">
        <v>94</v>
      </c>
      <c r="BW54" s="31" t="s">
        <v>94</v>
      </c>
      <c r="BX54" s="31" t="s">
        <v>94</v>
      </c>
      <c r="BY54" s="37" t="s">
        <v>89</v>
      </c>
      <c r="BZ54" s="37" t="s">
        <v>89</v>
      </c>
      <c r="CA54" s="37" t="s">
        <v>89</v>
      </c>
      <c r="CB54" s="37" t="s">
        <v>89</v>
      </c>
      <c r="CC54" s="34">
        <v>14.9</v>
      </c>
      <c r="CD54" s="34">
        <v>117.2</v>
      </c>
      <c r="CE54" s="37" t="s">
        <v>89</v>
      </c>
      <c r="CF54" s="37" t="s">
        <v>89</v>
      </c>
      <c r="CG54" s="37" t="s">
        <v>89</v>
      </c>
      <c r="CH54" s="37" t="s">
        <v>89</v>
      </c>
      <c r="CI54" s="37" t="s">
        <v>89</v>
      </c>
      <c r="CJ54" s="37" t="s">
        <v>89</v>
      </c>
      <c r="CK54" s="37" t="s">
        <v>89</v>
      </c>
      <c r="CL54" s="37" t="s">
        <v>89</v>
      </c>
      <c r="CM54" s="34">
        <v>86.6</v>
      </c>
      <c r="CN54" s="37" t="s">
        <v>89</v>
      </c>
      <c r="CO54" s="37" t="s">
        <v>89</v>
      </c>
      <c r="CP54" s="37" t="s">
        <v>89</v>
      </c>
      <c r="CQ54" s="37" t="s">
        <v>89</v>
      </c>
      <c r="CR54" s="37" t="s">
        <v>89</v>
      </c>
      <c r="CS54" s="37" t="s">
        <v>89</v>
      </c>
      <c r="CT54" s="37" t="s">
        <v>89</v>
      </c>
      <c r="CU54" s="37" t="s">
        <v>89</v>
      </c>
      <c r="CV54" s="37" t="s">
        <v>89</v>
      </c>
      <c r="CW54" s="37" t="s">
        <v>89</v>
      </c>
      <c r="CX54" s="37" t="s">
        <v>89</v>
      </c>
      <c r="CY54" s="37" t="s">
        <v>89</v>
      </c>
      <c r="CZ54" s="37" t="s">
        <v>89</v>
      </c>
      <c r="DA54" s="37" t="s">
        <v>89</v>
      </c>
      <c r="DB54" s="37" t="s">
        <v>89</v>
      </c>
      <c r="DC54" s="37" t="s">
        <v>89</v>
      </c>
      <c r="DD54" s="37" t="s">
        <v>89</v>
      </c>
      <c r="DE54" s="37" t="s">
        <v>89</v>
      </c>
      <c r="DF54" s="37" t="s">
        <v>89</v>
      </c>
      <c r="DG54" s="37" t="s">
        <v>89</v>
      </c>
      <c r="DH54" s="37" t="s">
        <v>89</v>
      </c>
      <c r="DI54" s="37" t="s">
        <v>89</v>
      </c>
      <c r="DJ54" s="37" t="s">
        <v>89</v>
      </c>
      <c r="DK54" s="37" t="s">
        <v>89</v>
      </c>
      <c r="DL54" s="37" t="s">
        <v>89</v>
      </c>
      <c r="DM54" s="37" t="s">
        <v>89</v>
      </c>
      <c r="DN54" s="37" t="s">
        <v>89</v>
      </c>
      <c r="DO54" s="37" t="s">
        <v>89</v>
      </c>
      <c r="DP54" s="37" t="s">
        <v>89</v>
      </c>
      <c r="DQ54" s="37" t="s">
        <v>89</v>
      </c>
      <c r="DR54" s="37" t="s">
        <v>89</v>
      </c>
      <c r="DS54" s="37" t="s">
        <v>89</v>
      </c>
      <c r="DT54" s="37" t="s">
        <v>89</v>
      </c>
      <c r="DU54" s="37" t="s">
        <v>89</v>
      </c>
      <c r="DV54" s="37" t="s">
        <v>89</v>
      </c>
      <c r="DW54" s="37" t="s">
        <v>89</v>
      </c>
      <c r="DX54" s="37" t="s">
        <v>89</v>
      </c>
      <c r="DY54" s="37" t="s">
        <v>89</v>
      </c>
      <c r="DZ54" s="37" t="s">
        <v>89</v>
      </c>
      <c r="EA54" s="37" t="s">
        <v>89</v>
      </c>
      <c r="EB54" s="37" t="s">
        <v>89</v>
      </c>
      <c r="EC54" s="37" t="s">
        <v>89</v>
      </c>
      <c r="ED54" s="37">
        <v>59.7</v>
      </c>
      <c r="EE54" s="34">
        <v>52.7</v>
      </c>
      <c r="EF54" s="34">
        <v>55.2</v>
      </c>
      <c r="EG54" s="37" t="s">
        <v>89</v>
      </c>
      <c r="EH54" s="37" t="s">
        <v>89</v>
      </c>
      <c r="EI54" s="37" t="s">
        <v>89</v>
      </c>
      <c r="EJ54" s="37" t="s">
        <v>89</v>
      </c>
      <c r="EK54" s="37" t="s">
        <v>89</v>
      </c>
      <c r="EL54" s="37" t="s">
        <v>89</v>
      </c>
      <c r="EM54" s="37" t="s">
        <v>89</v>
      </c>
      <c r="EN54" s="37" t="s">
        <v>89</v>
      </c>
      <c r="EO54" s="37" t="s">
        <v>89</v>
      </c>
      <c r="EP54" s="37" t="s">
        <v>89</v>
      </c>
      <c r="EQ54" s="37" t="s">
        <v>89</v>
      </c>
      <c r="ER54" s="37" t="s">
        <v>89</v>
      </c>
      <c r="ES54" s="37" t="s">
        <v>89</v>
      </c>
      <c r="ET54" s="37" t="s">
        <v>89</v>
      </c>
      <c r="EU54" s="37" t="s">
        <v>89</v>
      </c>
      <c r="EV54" s="37">
        <v>62.7</v>
      </c>
      <c r="EW54" s="37" t="s">
        <v>89</v>
      </c>
      <c r="EX54" s="37">
        <v>54.5</v>
      </c>
      <c r="EY54" s="37" t="s">
        <v>89</v>
      </c>
      <c r="EZ54" s="37" t="s">
        <v>89</v>
      </c>
      <c r="FA54" s="37" t="s">
        <v>89</v>
      </c>
      <c r="FB54" s="37" t="s">
        <v>89</v>
      </c>
      <c r="FC54" s="37" t="s">
        <v>89</v>
      </c>
      <c r="FD54" s="37" t="s">
        <v>89</v>
      </c>
      <c r="FE54" s="37" t="s">
        <v>89</v>
      </c>
      <c r="FF54" s="37" t="s">
        <v>89</v>
      </c>
      <c r="FG54" s="37" t="s">
        <v>89</v>
      </c>
      <c r="FH54" s="37" t="s">
        <v>89</v>
      </c>
      <c r="FI54" s="37" t="s">
        <v>89</v>
      </c>
      <c r="FJ54" s="37" t="s">
        <v>89</v>
      </c>
      <c r="FK54" s="37" t="s">
        <v>89</v>
      </c>
      <c r="FL54" s="37" t="s">
        <v>89</v>
      </c>
      <c r="FM54" s="37" t="s">
        <v>89</v>
      </c>
      <c r="FN54" s="37" t="s">
        <v>89</v>
      </c>
      <c r="FO54" s="37" t="s">
        <v>89</v>
      </c>
      <c r="FP54" s="37"/>
      <c r="FQ54" s="37" t="s">
        <v>89</v>
      </c>
      <c r="FR54" s="37" t="s">
        <v>89</v>
      </c>
      <c r="FS54" s="37" t="s">
        <v>89</v>
      </c>
      <c r="FT54" s="37" t="s">
        <v>89</v>
      </c>
      <c r="FU54" s="37" t="s">
        <v>89</v>
      </c>
      <c r="FV54" s="37"/>
      <c r="FW54" s="37" t="s">
        <v>89</v>
      </c>
      <c r="FX54" s="37" t="s">
        <v>89</v>
      </c>
      <c r="FY54" s="37" t="s">
        <v>89</v>
      </c>
      <c r="FZ54" s="37" t="s">
        <v>89</v>
      </c>
      <c r="GA54" s="37" t="s">
        <v>89</v>
      </c>
      <c r="GB54" s="37" t="s">
        <v>89</v>
      </c>
      <c r="GC54" s="37" t="s">
        <v>89</v>
      </c>
      <c r="GD54" s="37" t="s">
        <v>89</v>
      </c>
      <c r="GE54" s="37" t="s">
        <v>89</v>
      </c>
      <c r="GF54" s="37" t="s">
        <v>89</v>
      </c>
      <c r="GG54" s="37" t="s">
        <v>89</v>
      </c>
      <c r="GH54" s="37" t="s">
        <v>89</v>
      </c>
      <c r="GI54" s="37" t="s">
        <v>89</v>
      </c>
      <c r="GJ54" s="37" t="s">
        <v>89</v>
      </c>
      <c r="GK54" s="37" t="s">
        <v>89</v>
      </c>
      <c r="GL54" s="37" t="s">
        <v>89</v>
      </c>
      <c r="GM54" s="37" t="s">
        <v>89</v>
      </c>
      <c r="GN54" s="37" t="s">
        <v>89</v>
      </c>
      <c r="GO54" s="37" t="s">
        <v>89</v>
      </c>
      <c r="GP54" s="37" t="s">
        <v>89</v>
      </c>
      <c r="GQ54" s="37" t="s">
        <v>89</v>
      </c>
      <c r="GR54" s="37" t="s">
        <v>89</v>
      </c>
      <c r="GS54" s="37" t="s">
        <v>89</v>
      </c>
      <c r="GT54" s="37" t="s">
        <v>89</v>
      </c>
      <c r="GU54" s="31" t="s">
        <v>89</v>
      </c>
      <c r="GV54" s="31" t="s">
        <v>89</v>
      </c>
      <c r="GW54" s="31" t="s">
        <v>89</v>
      </c>
      <c r="GX54" s="31" t="s">
        <v>89</v>
      </c>
      <c r="GY54" s="31" t="s">
        <v>89</v>
      </c>
      <c r="GZ54" s="31" t="s">
        <v>89</v>
      </c>
      <c r="HA54" s="31" t="s">
        <v>89</v>
      </c>
      <c r="HB54" s="31" t="s">
        <v>89</v>
      </c>
      <c r="HC54" s="31" t="s">
        <v>89</v>
      </c>
      <c r="HD54" s="31" t="s">
        <v>89</v>
      </c>
      <c r="HE54" s="31" t="s">
        <v>89</v>
      </c>
      <c r="HF54" s="31" t="s">
        <v>89</v>
      </c>
      <c r="HG54" s="31" t="s">
        <v>89</v>
      </c>
      <c r="HH54" s="31" t="s">
        <v>89</v>
      </c>
      <c r="HI54" s="31" t="s">
        <v>89</v>
      </c>
      <c r="HJ54" s="31" t="s">
        <v>89</v>
      </c>
      <c r="HK54" s="31" t="s">
        <v>89</v>
      </c>
      <c r="HL54" s="31" t="s">
        <v>89</v>
      </c>
      <c r="HM54" s="31" t="s">
        <v>89</v>
      </c>
      <c r="HN54" s="31" t="s">
        <v>89</v>
      </c>
      <c r="HO54" s="31" t="s">
        <v>89</v>
      </c>
      <c r="HP54" s="31" t="s">
        <v>89</v>
      </c>
      <c r="HQ54" s="31" t="s">
        <v>89</v>
      </c>
      <c r="HR54" s="31" t="s">
        <v>89</v>
      </c>
      <c r="HS54" s="31" t="s">
        <v>89</v>
      </c>
      <c r="HT54" s="31" t="s">
        <v>89</v>
      </c>
      <c r="HU54" s="31" t="s">
        <v>89</v>
      </c>
      <c r="HV54" s="31" t="s">
        <v>89</v>
      </c>
      <c r="HW54" s="31" t="s">
        <v>89</v>
      </c>
      <c r="HX54" s="31" t="s">
        <v>89</v>
      </c>
      <c r="HY54" s="31" t="s">
        <v>89</v>
      </c>
      <c r="HZ54" s="31" t="s">
        <v>89</v>
      </c>
      <c r="IA54" s="31" t="s">
        <v>89</v>
      </c>
      <c r="IB54" s="31" t="s">
        <v>89</v>
      </c>
      <c r="IC54" s="31" t="s">
        <v>89</v>
      </c>
      <c r="ID54" s="31" t="s">
        <v>89</v>
      </c>
      <c r="IE54" s="31" t="s">
        <v>89</v>
      </c>
      <c r="IF54" s="31" t="s">
        <v>89</v>
      </c>
      <c r="IG54" s="31" t="s">
        <v>89</v>
      </c>
      <c r="IH54" s="31" t="s">
        <v>89</v>
      </c>
      <c r="II54" s="31" t="s">
        <v>89</v>
      </c>
      <c r="IJ54" s="31" t="s">
        <v>89</v>
      </c>
      <c r="IK54" s="31" t="s">
        <v>89</v>
      </c>
      <c r="IL54" s="31" t="s">
        <v>89</v>
      </c>
      <c r="IM54" s="31" t="s">
        <v>89</v>
      </c>
      <c r="IN54" s="31" t="s">
        <v>89</v>
      </c>
      <c r="IO54" s="31" t="s">
        <v>89</v>
      </c>
      <c r="IP54" s="31" t="s">
        <v>89</v>
      </c>
      <c r="IQ54" s="31" t="s">
        <v>89</v>
      </c>
      <c r="IR54" s="31" t="s">
        <v>89</v>
      </c>
      <c r="IS54" s="31" t="s">
        <v>89</v>
      </c>
      <c r="IT54" s="31" t="s">
        <v>89</v>
      </c>
      <c r="IU54" s="31" t="s">
        <v>89</v>
      </c>
      <c r="IV54" s="31" t="s">
        <v>89</v>
      </c>
      <c r="IW54" s="31" t="s">
        <v>89</v>
      </c>
      <c r="IX54" s="31" t="s">
        <v>89</v>
      </c>
      <c r="IY54" s="31" t="s">
        <v>89</v>
      </c>
      <c r="IZ54" s="31" t="s">
        <v>89</v>
      </c>
      <c r="JA54" s="31" t="s">
        <v>89</v>
      </c>
      <c r="JB54" s="31" t="s">
        <v>89</v>
      </c>
      <c r="JC54" s="31" t="s">
        <v>89</v>
      </c>
      <c r="JD54" s="31" t="s">
        <v>89</v>
      </c>
      <c r="JE54" s="31" t="s">
        <v>89</v>
      </c>
      <c r="JF54" s="31" t="s">
        <v>89</v>
      </c>
      <c r="JG54" s="31" t="s">
        <v>89</v>
      </c>
      <c r="JH54" s="31" t="s">
        <v>89</v>
      </c>
      <c r="JI54" s="31" t="s">
        <v>89</v>
      </c>
      <c r="JJ54" s="31" t="s">
        <v>89</v>
      </c>
      <c r="JK54" s="31" t="s">
        <v>89</v>
      </c>
      <c r="JL54" s="31" t="s">
        <v>89</v>
      </c>
      <c r="JM54" s="31" t="s">
        <v>89</v>
      </c>
      <c r="JN54" s="31" t="s">
        <v>89</v>
      </c>
      <c r="JO54" s="31" t="s">
        <v>89</v>
      </c>
      <c r="JP54" s="31" t="s">
        <v>89</v>
      </c>
      <c r="JQ54" s="31" t="s">
        <v>89</v>
      </c>
      <c r="JR54" s="31" t="s">
        <v>89</v>
      </c>
      <c r="JS54" s="31" t="s">
        <v>89</v>
      </c>
      <c r="JT54" s="31" t="s">
        <v>89</v>
      </c>
      <c r="JU54" s="31" t="s">
        <v>89</v>
      </c>
      <c r="JV54" s="31" t="s">
        <v>89</v>
      </c>
      <c r="JW54" s="31" t="s">
        <v>89</v>
      </c>
      <c r="JX54" s="31" t="s">
        <v>89</v>
      </c>
      <c r="JY54" s="31" t="s">
        <v>89</v>
      </c>
      <c r="JZ54" s="31" t="s">
        <v>89</v>
      </c>
      <c r="KA54" s="31" t="s">
        <v>89</v>
      </c>
      <c r="KB54" s="31" t="s">
        <v>89</v>
      </c>
      <c r="KC54" s="31" t="s">
        <v>89</v>
      </c>
      <c r="KD54" s="31" t="s">
        <v>89</v>
      </c>
      <c r="KE54" s="31" t="s">
        <v>89</v>
      </c>
      <c r="KF54" s="31" t="s">
        <v>89</v>
      </c>
      <c r="KG54" s="31" t="s">
        <v>89</v>
      </c>
      <c r="KH54" s="31" t="s">
        <v>89</v>
      </c>
      <c r="KI54" s="31" t="s">
        <v>89</v>
      </c>
      <c r="KJ54" s="31" t="s">
        <v>89</v>
      </c>
      <c r="KK54" s="31" t="s">
        <v>89</v>
      </c>
      <c r="KL54" s="31" t="s">
        <v>89</v>
      </c>
      <c r="KM54" s="31" t="s">
        <v>89</v>
      </c>
      <c r="KN54" s="31" t="s">
        <v>89</v>
      </c>
      <c r="KO54" s="31" t="s">
        <v>89</v>
      </c>
    </row>
    <row r="55" spans="1:301" x14ac:dyDescent="0.2">
      <c r="A55" s="36" t="s">
        <v>95</v>
      </c>
      <c r="B55" s="29" t="s">
        <v>75</v>
      </c>
      <c r="C55" s="30" t="s">
        <v>83</v>
      </c>
      <c r="D55" s="31" t="s">
        <v>83</v>
      </c>
      <c r="E55" s="31" t="s">
        <v>83</v>
      </c>
      <c r="F55" s="32" t="s">
        <v>83</v>
      </c>
      <c r="G55" s="33" t="s">
        <v>83</v>
      </c>
      <c r="H55" s="33" t="s">
        <v>83</v>
      </c>
      <c r="I55" s="31" t="s">
        <v>83</v>
      </c>
      <c r="J55" s="31" t="s">
        <v>83</v>
      </c>
      <c r="K55" s="45">
        <v>14.73</v>
      </c>
      <c r="L55" s="45">
        <v>37.5</v>
      </c>
      <c r="M55" s="45">
        <v>10</v>
      </c>
      <c r="N55" s="45">
        <v>15.67</v>
      </c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>
        <v>25.4</v>
      </c>
      <c r="AJ55" s="45">
        <v>38</v>
      </c>
      <c r="AK55" s="45">
        <v>343.2</v>
      </c>
      <c r="AL55" s="45">
        <v>257.39999999999998</v>
      </c>
      <c r="AM55" s="45" t="s">
        <v>83</v>
      </c>
      <c r="AN55" s="45" t="s">
        <v>83</v>
      </c>
      <c r="AO55" s="45" t="s">
        <v>83</v>
      </c>
      <c r="AP55" s="45" t="s">
        <v>83</v>
      </c>
      <c r="AQ55" s="45" t="s">
        <v>83</v>
      </c>
      <c r="AR55" s="45" t="s">
        <v>83</v>
      </c>
      <c r="AS55" s="45" t="s">
        <v>83</v>
      </c>
      <c r="AT55" s="45" t="s">
        <v>83</v>
      </c>
      <c r="AU55" s="45" t="s">
        <v>83</v>
      </c>
      <c r="AV55" s="45" t="s">
        <v>83</v>
      </c>
      <c r="AW55" s="45" t="s">
        <v>83</v>
      </c>
      <c r="AX55" s="45" t="s">
        <v>83</v>
      </c>
      <c r="AY55" s="45" t="s">
        <v>83</v>
      </c>
      <c r="AZ55" s="45" t="s">
        <v>83</v>
      </c>
      <c r="BA55" s="34">
        <v>119.5</v>
      </c>
      <c r="BB55" s="34">
        <v>70.5</v>
      </c>
      <c r="BC55" s="34" t="s">
        <v>83</v>
      </c>
      <c r="BD55" s="34" t="s">
        <v>83</v>
      </c>
      <c r="BE55" s="34">
        <v>29.3</v>
      </c>
      <c r="BF55" s="45" t="s">
        <v>83</v>
      </c>
      <c r="BG55" s="31">
        <v>15.7</v>
      </c>
      <c r="BH55" s="31" t="s">
        <v>83</v>
      </c>
      <c r="BI55" s="31">
        <v>21.4</v>
      </c>
      <c r="BJ55" s="31">
        <v>38.9</v>
      </c>
      <c r="BK55" s="31"/>
      <c r="BL55" s="31"/>
      <c r="BM55" s="31" t="s">
        <v>96</v>
      </c>
      <c r="BN55" s="31" t="s">
        <v>96</v>
      </c>
      <c r="BO55" s="31" t="s">
        <v>96</v>
      </c>
      <c r="BP55" s="31" t="s">
        <v>96</v>
      </c>
      <c r="BQ55" s="31" t="s">
        <v>96</v>
      </c>
      <c r="BR55" s="31" t="s">
        <v>96</v>
      </c>
      <c r="BS55" s="31" t="s">
        <v>96</v>
      </c>
      <c r="BT55" s="31" t="s">
        <v>96</v>
      </c>
      <c r="BU55" s="31" t="s">
        <v>96</v>
      </c>
      <c r="BV55" s="31" t="s">
        <v>96</v>
      </c>
      <c r="BW55" s="31" t="s">
        <v>96</v>
      </c>
      <c r="BX55" s="31" t="s">
        <v>96</v>
      </c>
      <c r="BY55" s="31" t="s">
        <v>96</v>
      </c>
      <c r="BZ55" s="31" t="s">
        <v>96</v>
      </c>
      <c r="CA55" s="31" t="s">
        <v>96</v>
      </c>
      <c r="CB55" s="31" t="s">
        <v>96</v>
      </c>
      <c r="CC55" s="31" t="s">
        <v>96</v>
      </c>
      <c r="CD55" s="31" t="s">
        <v>96</v>
      </c>
      <c r="CE55" s="31" t="s">
        <v>96</v>
      </c>
      <c r="CF55" s="31" t="s">
        <v>96</v>
      </c>
      <c r="CG55" s="31" t="s">
        <v>96</v>
      </c>
      <c r="CH55" s="31" t="s">
        <v>96</v>
      </c>
      <c r="CI55" s="31" t="s">
        <v>96</v>
      </c>
      <c r="CJ55" s="31" t="s">
        <v>96</v>
      </c>
      <c r="CK55" s="31" t="s">
        <v>96</v>
      </c>
      <c r="CL55" s="31" t="s">
        <v>96</v>
      </c>
      <c r="CM55" s="31" t="s">
        <v>96</v>
      </c>
      <c r="CN55" s="31" t="s">
        <v>96</v>
      </c>
      <c r="CO55" s="31" t="s">
        <v>96</v>
      </c>
      <c r="CP55" s="31" t="s">
        <v>96</v>
      </c>
      <c r="CQ55" s="31" t="s">
        <v>96</v>
      </c>
      <c r="CR55" s="31" t="s">
        <v>96</v>
      </c>
      <c r="CS55" s="31" t="s">
        <v>96</v>
      </c>
      <c r="CT55" s="31" t="s">
        <v>96</v>
      </c>
      <c r="CU55" s="31" t="s">
        <v>96</v>
      </c>
      <c r="CV55" s="31" t="s">
        <v>96</v>
      </c>
      <c r="CW55" s="31" t="s">
        <v>96</v>
      </c>
      <c r="CX55" s="31" t="s">
        <v>96</v>
      </c>
      <c r="CY55" s="31" t="s">
        <v>96</v>
      </c>
      <c r="CZ55" s="31" t="s">
        <v>96</v>
      </c>
      <c r="DA55" s="31" t="s">
        <v>96</v>
      </c>
      <c r="DB55" s="31" t="s">
        <v>96</v>
      </c>
      <c r="DC55" s="31" t="s">
        <v>96</v>
      </c>
      <c r="DD55" s="31" t="s">
        <v>96</v>
      </c>
      <c r="DE55" s="31" t="s">
        <v>96</v>
      </c>
      <c r="DF55" s="31" t="s">
        <v>96</v>
      </c>
      <c r="DG55" s="31" t="s">
        <v>96</v>
      </c>
      <c r="DH55" s="31" t="s">
        <v>96</v>
      </c>
      <c r="DI55" s="31" t="s">
        <v>96</v>
      </c>
      <c r="DJ55" s="31" t="s">
        <v>96</v>
      </c>
      <c r="DK55" s="31" t="s">
        <v>96</v>
      </c>
      <c r="DL55" s="31" t="s">
        <v>96</v>
      </c>
      <c r="DM55" s="31" t="s">
        <v>96</v>
      </c>
      <c r="DN55" s="31" t="s">
        <v>96</v>
      </c>
      <c r="DO55" s="37" t="s">
        <v>89</v>
      </c>
      <c r="DP55" s="37" t="s">
        <v>89</v>
      </c>
      <c r="DQ55" s="37" t="s">
        <v>89</v>
      </c>
      <c r="DR55" s="37" t="s">
        <v>89</v>
      </c>
      <c r="DS55" s="37" t="s">
        <v>89</v>
      </c>
      <c r="DT55" s="37" t="s">
        <v>89</v>
      </c>
      <c r="DU55" s="37" t="s">
        <v>89</v>
      </c>
      <c r="DV55" s="37" t="s">
        <v>89</v>
      </c>
      <c r="DW55" s="37" t="s">
        <v>89</v>
      </c>
      <c r="DX55" s="37" t="s">
        <v>89</v>
      </c>
      <c r="DY55" s="37" t="s">
        <v>89</v>
      </c>
      <c r="DZ55" s="37" t="s">
        <v>89</v>
      </c>
      <c r="EA55" s="37" t="s">
        <v>89</v>
      </c>
      <c r="EB55" s="37" t="s">
        <v>89</v>
      </c>
      <c r="EC55" s="37" t="s">
        <v>89</v>
      </c>
      <c r="ED55" s="37" t="s">
        <v>89</v>
      </c>
      <c r="EE55" s="37" t="s">
        <v>89</v>
      </c>
      <c r="EF55" s="37" t="s">
        <v>89</v>
      </c>
      <c r="EG55" s="37" t="s">
        <v>89</v>
      </c>
      <c r="EH55" s="37" t="s">
        <v>89</v>
      </c>
      <c r="EI55" s="37" t="s">
        <v>89</v>
      </c>
      <c r="EJ55" s="37" t="s">
        <v>89</v>
      </c>
      <c r="EK55" s="37" t="s">
        <v>89</v>
      </c>
      <c r="EL55" s="37" t="s">
        <v>89</v>
      </c>
      <c r="EM55" s="37" t="s">
        <v>89</v>
      </c>
      <c r="EN55" s="37" t="s">
        <v>89</v>
      </c>
      <c r="EO55" s="37" t="s">
        <v>89</v>
      </c>
      <c r="EP55" s="37" t="s">
        <v>89</v>
      </c>
      <c r="EQ55" s="37" t="s">
        <v>89</v>
      </c>
      <c r="ER55" s="37" t="s">
        <v>89</v>
      </c>
      <c r="ES55" s="37" t="s">
        <v>89</v>
      </c>
      <c r="ET55" s="37" t="s">
        <v>89</v>
      </c>
      <c r="EU55" s="37" t="s">
        <v>89</v>
      </c>
      <c r="EV55" s="37" t="s">
        <v>89</v>
      </c>
      <c r="EW55" s="37" t="s">
        <v>89</v>
      </c>
      <c r="EX55" s="37" t="s">
        <v>89</v>
      </c>
      <c r="EY55" s="37" t="s">
        <v>89</v>
      </c>
      <c r="EZ55" s="37" t="s">
        <v>89</v>
      </c>
      <c r="FA55" s="37" t="s">
        <v>89</v>
      </c>
      <c r="FB55" s="37" t="s">
        <v>89</v>
      </c>
      <c r="FC55" s="37" t="s">
        <v>89</v>
      </c>
      <c r="FD55" s="37" t="s">
        <v>89</v>
      </c>
      <c r="FE55" s="37" t="s">
        <v>89</v>
      </c>
      <c r="FF55" s="37" t="s">
        <v>89</v>
      </c>
      <c r="FG55" s="37" t="s">
        <v>89</v>
      </c>
      <c r="FH55" s="37" t="s">
        <v>89</v>
      </c>
      <c r="FI55" s="37" t="s">
        <v>89</v>
      </c>
      <c r="FJ55" s="37" t="s">
        <v>89</v>
      </c>
      <c r="FK55" s="37" t="s">
        <v>89</v>
      </c>
      <c r="FL55" s="37" t="s">
        <v>89</v>
      </c>
      <c r="FM55" s="37" t="s">
        <v>89</v>
      </c>
      <c r="FN55" s="37" t="s">
        <v>89</v>
      </c>
      <c r="FO55" s="37" t="s">
        <v>89</v>
      </c>
      <c r="FP55" s="37"/>
      <c r="FQ55" s="37" t="s">
        <v>89</v>
      </c>
      <c r="FR55" s="37" t="s">
        <v>89</v>
      </c>
      <c r="FS55" s="37" t="s">
        <v>89</v>
      </c>
      <c r="FT55" s="37" t="s">
        <v>89</v>
      </c>
      <c r="FU55" s="37" t="s">
        <v>89</v>
      </c>
      <c r="FV55" s="37"/>
      <c r="FW55" s="37" t="s">
        <v>89</v>
      </c>
      <c r="FX55" s="37" t="s">
        <v>89</v>
      </c>
      <c r="FY55" s="37" t="s">
        <v>89</v>
      </c>
      <c r="FZ55" s="37" t="s">
        <v>89</v>
      </c>
      <c r="GA55" s="37" t="s">
        <v>89</v>
      </c>
      <c r="GB55" s="37" t="s">
        <v>89</v>
      </c>
      <c r="GC55" s="37" t="s">
        <v>89</v>
      </c>
      <c r="GD55" s="37" t="s">
        <v>89</v>
      </c>
      <c r="GE55" s="37" t="s">
        <v>89</v>
      </c>
      <c r="GF55" s="37" t="s">
        <v>89</v>
      </c>
      <c r="GG55" s="37" t="s">
        <v>89</v>
      </c>
      <c r="GH55" s="37" t="s">
        <v>89</v>
      </c>
      <c r="GI55" s="37" t="s">
        <v>89</v>
      </c>
      <c r="GJ55" s="37" t="s">
        <v>89</v>
      </c>
      <c r="GK55" s="37" t="s">
        <v>89</v>
      </c>
      <c r="GL55" s="37" t="s">
        <v>89</v>
      </c>
      <c r="GM55" s="37" t="s">
        <v>89</v>
      </c>
      <c r="GN55" s="37" t="s">
        <v>89</v>
      </c>
      <c r="GO55" s="37" t="s">
        <v>89</v>
      </c>
      <c r="GP55" s="37" t="s">
        <v>89</v>
      </c>
      <c r="GQ55" s="37" t="s">
        <v>89</v>
      </c>
      <c r="GR55" s="37" t="s">
        <v>89</v>
      </c>
      <c r="GS55" s="37" t="s">
        <v>89</v>
      </c>
      <c r="GT55" s="37" t="s">
        <v>89</v>
      </c>
      <c r="GU55" s="31" t="s">
        <v>89</v>
      </c>
      <c r="GV55" s="31" t="s">
        <v>89</v>
      </c>
      <c r="GW55" s="31" t="s">
        <v>89</v>
      </c>
      <c r="GX55" s="31" t="s">
        <v>89</v>
      </c>
      <c r="GY55" s="31" t="s">
        <v>89</v>
      </c>
      <c r="GZ55" s="31" t="s">
        <v>89</v>
      </c>
      <c r="HA55" s="31" t="s">
        <v>89</v>
      </c>
      <c r="HB55" s="31" t="s">
        <v>89</v>
      </c>
      <c r="HC55" s="31" t="s">
        <v>89</v>
      </c>
      <c r="HD55" s="31" t="s">
        <v>89</v>
      </c>
      <c r="HE55" s="31" t="s">
        <v>89</v>
      </c>
      <c r="HF55" s="31" t="s">
        <v>89</v>
      </c>
      <c r="HG55" s="31" t="s">
        <v>89</v>
      </c>
      <c r="HH55" s="31" t="s">
        <v>89</v>
      </c>
      <c r="HI55" s="31" t="s">
        <v>89</v>
      </c>
      <c r="HJ55" s="31" t="s">
        <v>89</v>
      </c>
      <c r="HK55" s="31" t="s">
        <v>89</v>
      </c>
      <c r="HL55" s="31" t="s">
        <v>89</v>
      </c>
      <c r="HM55" s="31" t="s">
        <v>89</v>
      </c>
      <c r="HN55" s="31" t="s">
        <v>89</v>
      </c>
      <c r="HO55" s="31" t="s">
        <v>89</v>
      </c>
      <c r="HP55" s="31" t="s">
        <v>89</v>
      </c>
      <c r="HQ55" s="31" t="s">
        <v>89</v>
      </c>
      <c r="HR55" s="31" t="s">
        <v>89</v>
      </c>
      <c r="HS55" s="31" t="s">
        <v>89</v>
      </c>
      <c r="HT55" s="31" t="s">
        <v>89</v>
      </c>
      <c r="HU55" s="31" t="s">
        <v>89</v>
      </c>
      <c r="HV55" s="31" t="s">
        <v>89</v>
      </c>
      <c r="HW55" s="31" t="s">
        <v>89</v>
      </c>
      <c r="HX55" s="31" t="s">
        <v>89</v>
      </c>
      <c r="HY55" s="31" t="s">
        <v>89</v>
      </c>
      <c r="HZ55" s="31" t="s">
        <v>89</v>
      </c>
      <c r="IA55" s="31" t="s">
        <v>89</v>
      </c>
      <c r="IB55" s="31" t="s">
        <v>89</v>
      </c>
      <c r="IC55" s="31" t="s">
        <v>89</v>
      </c>
      <c r="ID55" s="31" t="s">
        <v>89</v>
      </c>
      <c r="IE55" s="31" t="s">
        <v>89</v>
      </c>
      <c r="IF55" s="31" t="s">
        <v>89</v>
      </c>
      <c r="IG55" s="31" t="s">
        <v>89</v>
      </c>
      <c r="IH55" s="31" t="s">
        <v>89</v>
      </c>
      <c r="II55" s="31" t="s">
        <v>89</v>
      </c>
      <c r="IJ55" s="31" t="s">
        <v>89</v>
      </c>
      <c r="IK55" s="31" t="s">
        <v>89</v>
      </c>
      <c r="IL55" s="31" t="s">
        <v>89</v>
      </c>
      <c r="IM55" s="31" t="s">
        <v>89</v>
      </c>
      <c r="IN55" s="31" t="s">
        <v>89</v>
      </c>
      <c r="IO55" s="31" t="s">
        <v>89</v>
      </c>
      <c r="IP55" s="31" t="s">
        <v>89</v>
      </c>
      <c r="IQ55" s="31" t="s">
        <v>89</v>
      </c>
      <c r="IR55" s="31" t="s">
        <v>89</v>
      </c>
      <c r="IS55" s="31" t="s">
        <v>89</v>
      </c>
      <c r="IT55" s="31" t="s">
        <v>89</v>
      </c>
      <c r="IU55" s="31" t="s">
        <v>89</v>
      </c>
      <c r="IV55" s="31" t="s">
        <v>89</v>
      </c>
      <c r="IW55" s="31" t="s">
        <v>89</v>
      </c>
      <c r="IX55" s="31" t="s">
        <v>89</v>
      </c>
      <c r="IY55" s="31" t="s">
        <v>89</v>
      </c>
      <c r="IZ55" s="31" t="s">
        <v>89</v>
      </c>
      <c r="JA55" s="31" t="s">
        <v>89</v>
      </c>
      <c r="JB55" s="31" t="s">
        <v>89</v>
      </c>
      <c r="JC55" s="31" t="s">
        <v>89</v>
      </c>
      <c r="JD55" s="31" t="s">
        <v>89</v>
      </c>
      <c r="JE55" s="31" t="s">
        <v>89</v>
      </c>
      <c r="JF55" s="31" t="s">
        <v>89</v>
      </c>
      <c r="JG55" s="31" t="s">
        <v>89</v>
      </c>
      <c r="JH55" s="31" t="s">
        <v>89</v>
      </c>
      <c r="JI55" s="31" t="s">
        <v>89</v>
      </c>
      <c r="JJ55" s="31" t="s">
        <v>89</v>
      </c>
      <c r="JK55" s="31" t="s">
        <v>89</v>
      </c>
      <c r="JL55" s="31" t="s">
        <v>89</v>
      </c>
      <c r="JM55" s="31" t="s">
        <v>89</v>
      </c>
      <c r="JN55" s="31" t="s">
        <v>89</v>
      </c>
      <c r="JO55" s="31" t="s">
        <v>89</v>
      </c>
      <c r="JP55" s="31" t="s">
        <v>89</v>
      </c>
      <c r="JQ55" s="31" t="s">
        <v>89</v>
      </c>
      <c r="JR55" s="31" t="s">
        <v>89</v>
      </c>
      <c r="JS55" s="31" t="s">
        <v>89</v>
      </c>
      <c r="JT55" s="31" t="s">
        <v>89</v>
      </c>
      <c r="JU55" s="31" t="s">
        <v>89</v>
      </c>
      <c r="JV55" s="31" t="s">
        <v>89</v>
      </c>
      <c r="JW55" s="31" t="s">
        <v>89</v>
      </c>
      <c r="JX55" s="31" t="s">
        <v>89</v>
      </c>
      <c r="JY55" s="31" t="s">
        <v>89</v>
      </c>
      <c r="JZ55" s="31" t="s">
        <v>89</v>
      </c>
      <c r="KA55" s="31" t="s">
        <v>89</v>
      </c>
      <c r="KB55" s="31" t="s">
        <v>89</v>
      </c>
      <c r="KC55" s="31" t="s">
        <v>89</v>
      </c>
      <c r="KD55" s="31" t="s">
        <v>89</v>
      </c>
      <c r="KE55" s="31" t="s">
        <v>89</v>
      </c>
      <c r="KF55" s="31" t="s">
        <v>89</v>
      </c>
      <c r="KG55" s="31" t="s">
        <v>89</v>
      </c>
      <c r="KH55" s="31" t="s">
        <v>89</v>
      </c>
      <c r="KI55" s="31" t="s">
        <v>89</v>
      </c>
      <c r="KJ55" s="31" t="s">
        <v>89</v>
      </c>
      <c r="KK55" s="31" t="s">
        <v>89</v>
      </c>
      <c r="KL55" s="31" t="s">
        <v>89</v>
      </c>
      <c r="KM55" s="31" t="s">
        <v>89</v>
      </c>
      <c r="KN55" s="31" t="s">
        <v>89</v>
      </c>
      <c r="KO55" s="31" t="s">
        <v>89</v>
      </c>
    </row>
    <row r="56" spans="1:301" x14ac:dyDescent="0.2">
      <c r="A56" s="28" t="s">
        <v>97</v>
      </c>
      <c r="B56" s="29" t="s">
        <v>22</v>
      </c>
      <c r="C56" s="38">
        <v>2.93</v>
      </c>
      <c r="D56" s="34">
        <v>3.57</v>
      </c>
      <c r="E56" s="34">
        <v>3.99</v>
      </c>
      <c r="F56" s="39">
        <v>3.24</v>
      </c>
      <c r="G56" s="40">
        <f>3168/1000</f>
        <v>3.1680000000000001</v>
      </c>
      <c r="H56" s="40">
        <f>3171/1000</f>
        <v>3.1709999999999998</v>
      </c>
      <c r="I56" s="34">
        <f>3220/1000</f>
        <v>3.22</v>
      </c>
      <c r="J56" s="34">
        <f>3271/1000</f>
        <v>3.2709999999999999</v>
      </c>
      <c r="K56" s="34">
        <v>3.71</v>
      </c>
      <c r="L56" s="34">
        <v>3.42</v>
      </c>
      <c r="M56" s="34">
        <v>3.33</v>
      </c>
      <c r="N56" s="34">
        <v>3.21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4"/>
      <c r="JI56" s="34"/>
      <c r="JJ56" s="34"/>
      <c r="JK56" s="34"/>
      <c r="JL56" s="34"/>
      <c r="JM56" s="34"/>
      <c r="JN56" s="34"/>
      <c r="JO56" s="34"/>
      <c r="JP56" s="34"/>
      <c r="JQ56" s="34"/>
      <c r="JR56" s="34"/>
      <c r="JS56" s="34"/>
      <c r="JT56" s="34"/>
      <c r="JU56" s="34"/>
      <c r="JV56" s="34"/>
      <c r="JW56" s="34"/>
      <c r="JX56" s="34"/>
      <c r="JY56" s="34"/>
      <c r="JZ56" s="34"/>
      <c r="KA56" s="34"/>
      <c r="KB56" s="34"/>
      <c r="KC56" s="34"/>
      <c r="KD56" s="34"/>
      <c r="KE56" s="34"/>
      <c r="KF56" s="34"/>
      <c r="KG56" s="34"/>
      <c r="KH56" s="34"/>
      <c r="KI56" s="34"/>
      <c r="KJ56" s="34"/>
      <c r="KK56" s="34"/>
      <c r="KL56" s="34"/>
      <c r="KM56" s="34"/>
      <c r="KN56" s="34"/>
      <c r="KO56" s="34"/>
    </row>
    <row r="57" spans="1:301" x14ac:dyDescent="0.2">
      <c r="A57" s="28" t="s">
        <v>98</v>
      </c>
      <c r="B57" s="29" t="s">
        <v>22</v>
      </c>
      <c r="C57" s="38">
        <v>32.86</v>
      </c>
      <c r="D57" s="34">
        <v>30.05</v>
      </c>
      <c r="E57" s="34">
        <v>31.63</v>
      </c>
      <c r="F57" s="39">
        <v>33.96</v>
      </c>
      <c r="G57" s="40">
        <v>28.62</v>
      </c>
      <c r="H57" s="40">
        <v>26.92</v>
      </c>
      <c r="I57" s="34">
        <v>26.92</v>
      </c>
      <c r="J57" s="34">
        <v>27.44</v>
      </c>
      <c r="K57" s="34">
        <v>41.78</v>
      </c>
      <c r="L57" s="34">
        <v>38.979999999999997</v>
      </c>
      <c r="M57" s="34">
        <v>36.89</v>
      </c>
      <c r="N57" s="34">
        <v>35.61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4"/>
      <c r="JI57" s="34"/>
      <c r="JJ57" s="34"/>
      <c r="JK57" s="34"/>
      <c r="JL57" s="34"/>
      <c r="JM57" s="34"/>
      <c r="JN57" s="34"/>
      <c r="JO57" s="34"/>
      <c r="JP57" s="34"/>
      <c r="JQ57" s="34"/>
      <c r="JR57" s="34"/>
      <c r="JS57" s="34"/>
      <c r="JT57" s="34"/>
      <c r="JU57" s="34"/>
      <c r="JV57" s="34"/>
      <c r="JW57" s="34"/>
      <c r="JX57" s="34"/>
      <c r="JY57" s="34"/>
      <c r="JZ57" s="34"/>
      <c r="KA57" s="34"/>
      <c r="KB57" s="34"/>
      <c r="KC57" s="34"/>
      <c r="KD57" s="34"/>
      <c r="KE57" s="34"/>
      <c r="KF57" s="34"/>
      <c r="KG57" s="34"/>
      <c r="KH57" s="34"/>
      <c r="KI57" s="34"/>
      <c r="KJ57" s="34"/>
      <c r="KK57" s="34"/>
      <c r="KL57" s="34"/>
      <c r="KM57" s="34"/>
      <c r="KN57" s="34"/>
      <c r="KO57" s="34"/>
    </row>
    <row r="58" spans="1:301" x14ac:dyDescent="0.2">
      <c r="A58" s="59" t="s">
        <v>99</v>
      </c>
      <c r="B58" s="60" t="s">
        <v>22</v>
      </c>
      <c r="C58" s="38">
        <f>135.3/1000</f>
        <v>0.1353</v>
      </c>
      <c r="D58" s="34">
        <f>90.56/1000</f>
        <v>9.0560000000000002E-2</v>
      </c>
      <c r="E58" s="34">
        <f>99.99/1000</f>
        <v>9.9989999999999996E-2</v>
      </c>
      <c r="F58" s="39">
        <f>96.98/1000</f>
        <v>9.6980000000000011E-2</v>
      </c>
      <c r="G58" s="40">
        <f>117.2/1000</f>
        <v>0.1172</v>
      </c>
      <c r="H58" s="40">
        <f>136/1000</f>
        <v>0.13600000000000001</v>
      </c>
      <c r="I58" s="34">
        <f>75.49/1000</f>
        <v>7.5490000000000002E-2</v>
      </c>
      <c r="J58" s="34">
        <f>87.45/1000</f>
        <v>8.745E-2</v>
      </c>
      <c r="K58" s="34">
        <f>40.74/1000</f>
        <v>4.0740000000000005E-2</v>
      </c>
      <c r="L58" s="34">
        <f>3.79/1000</f>
        <v>3.79E-3</v>
      </c>
      <c r="M58" s="34">
        <f>18.69/1000</f>
        <v>1.8690000000000002E-2</v>
      </c>
      <c r="N58" s="34">
        <f>30.26/1000</f>
        <v>3.0260000000000002E-2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>
        <f>21/1000</f>
        <v>2.1000000000000001E-2</v>
      </c>
      <c r="AZ58" s="34">
        <f>105.7/1000</f>
        <v>0.1057</v>
      </c>
      <c r="BA58" s="34">
        <f>15.8/1000</f>
        <v>1.5800000000000002E-2</v>
      </c>
      <c r="BB58" s="34">
        <f>31.5/1000</f>
        <v>3.15E-2</v>
      </c>
      <c r="BC58" s="34"/>
      <c r="BD58" s="34"/>
      <c r="BE58" s="34"/>
      <c r="BF58" s="34"/>
      <c r="BG58" s="34">
        <f>0.8/1000</f>
        <v>8.0000000000000004E-4</v>
      </c>
      <c r="BH58" s="34">
        <f>0.8/1000</f>
        <v>8.0000000000000004E-4</v>
      </c>
      <c r="BI58" s="34">
        <f>0.8/1000</f>
        <v>8.0000000000000004E-4</v>
      </c>
      <c r="BJ58" s="34">
        <f>0.8/1000</f>
        <v>8.0000000000000004E-4</v>
      </c>
      <c r="BK58" s="34"/>
      <c r="BL58" s="34"/>
      <c r="BM58" s="34">
        <f>53/1000</f>
        <v>5.2999999999999999E-2</v>
      </c>
      <c r="BN58" s="34">
        <f>55.2/1000</f>
        <v>5.5200000000000006E-2</v>
      </c>
      <c r="BO58" s="34">
        <f>1249/1000</f>
        <v>1.2490000000000001</v>
      </c>
      <c r="BP58" s="34">
        <f>63.3/1000</f>
        <v>6.3299999999999995E-2</v>
      </c>
      <c r="BQ58" s="34">
        <f>31.9/1000</f>
        <v>3.1899999999999998E-2</v>
      </c>
      <c r="BR58" s="34">
        <f>23.9/1000</f>
        <v>2.3899999999999998E-2</v>
      </c>
      <c r="BS58" s="34">
        <f>4.1/1000</f>
        <v>4.0999999999999995E-3</v>
      </c>
      <c r="BT58" s="34">
        <f>38.5/1000</f>
        <v>3.85E-2</v>
      </c>
      <c r="BU58" s="34">
        <f>124.6/1000</f>
        <v>0.12459999999999999</v>
      </c>
      <c r="BV58" s="34">
        <f>94.7/1000</f>
        <v>9.4700000000000006E-2</v>
      </c>
      <c r="BW58" s="34">
        <f>50.4/1000</f>
        <v>5.04E-2</v>
      </c>
      <c r="BX58" s="34">
        <f>56.1/1000</f>
        <v>5.6100000000000004E-2</v>
      </c>
      <c r="BY58" s="34">
        <f>54.7/1000</f>
        <v>5.4700000000000006E-2</v>
      </c>
      <c r="BZ58" s="34">
        <f>52.9/1000</f>
        <v>5.2899999999999996E-2</v>
      </c>
      <c r="CA58" s="34">
        <f>35/1000</f>
        <v>3.5000000000000003E-2</v>
      </c>
      <c r="CB58" s="34">
        <f>46.9/1000</f>
        <v>4.6899999999999997E-2</v>
      </c>
      <c r="CC58" s="34">
        <f>45.1/1000</f>
        <v>4.5100000000000001E-2</v>
      </c>
      <c r="CD58" s="34">
        <f>256.2/1000</f>
        <v>0.25619999999999998</v>
      </c>
      <c r="CE58" s="34">
        <f>15.8/1000</f>
        <v>1.5800000000000002E-2</v>
      </c>
      <c r="CF58" s="34">
        <f>38.2/1000</f>
        <v>3.8200000000000005E-2</v>
      </c>
      <c r="CG58" s="34">
        <f>37.7/1000</f>
        <v>3.7700000000000004E-2</v>
      </c>
      <c r="CH58" s="34">
        <f>78.4/1000</f>
        <v>7.8400000000000011E-2</v>
      </c>
      <c r="CI58" s="34">
        <f>22.6/1000</f>
        <v>2.2600000000000002E-2</v>
      </c>
      <c r="CJ58" s="34">
        <f>34.3/1000</f>
        <v>3.4299999999999997E-2</v>
      </c>
      <c r="CK58" s="34">
        <f>58.3/1000</f>
        <v>5.8299999999999998E-2</v>
      </c>
      <c r="CL58" s="34">
        <f>33.6/1000</f>
        <v>3.3600000000000005E-2</v>
      </c>
      <c r="CM58" s="34">
        <f>292.5/1000</f>
        <v>0.29249999999999998</v>
      </c>
      <c r="CN58" s="34">
        <f>43.8/1000</f>
        <v>4.3799999999999999E-2</v>
      </c>
      <c r="CO58" s="34">
        <f>79.6/1000</f>
        <v>7.959999999999999E-2</v>
      </c>
      <c r="CP58" s="34">
        <f>15.9/1000</f>
        <v>1.5900000000000001E-2</v>
      </c>
      <c r="CQ58" s="34">
        <f>27.1/1000</f>
        <v>2.7100000000000003E-2</v>
      </c>
      <c r="CR58" s="34">
        <f>31.8/1000</f>
        <v>3.1800000000000002E-2</v>
      </c>
      <c r="CS58" s="34">
        <f>44.8/1000</f>
        <v>4.48E-2</v>
      </c>
      <c r="CT58" s="34">
        <f>54.1/1000</f>
        <v>5.4100000000000002E-2</v>
      </c>
      <c r="CU58" s="34">
        <f>36.7/1000</f>
        <v>3.6700000000000003E-2</v>
      </c>
      <c r="CV58" s="34">
        <f>122.5/1000</f>
        <v>0.1225</v>
      </c>
      <c r="CW58" s="34">
        <f>12.5/1000</f>
        <v>1.2500000000000001E-2</v>
      </c>
      <c r="CX58" s="34">
        <f>15.8/1000</f>
        <v>1.5800000000000002E-2</v>
      </c>
      <c r="CY58" s="34">
        <f>15.5/1000</f>
        <v>1.55E-2</v>
      </c>
      <c r="CZ58" s="34">
        <f>15.8/1000</f>
        <v>1.5800000000000002E-2</v>
      </c>
      <c r="DA58" s="34">
        <f>14.5/1000</f>
        <v>1.4500000000000001E-2</v>
      </c>
      <c r="DB58" s="34">
        <f>19.4/1000</f>
        <v>1.9399999999999997E-2</v>
      </c>
      <c r="DC58" s="34">
        <f>25.7/1000</f>
        <v>2.5700000000000001E-2</v>
      </c>
      <c r="DD58" s="34">
        <f>12/1000</f>
        <v>1.2E-2</v>
      </c>
      <c r="DE58" s="34">
        <f>30.8/1000</f>
        <v>3.0800000000000001E-2</v>
      </c>
      <c r="DF58" s="34">
        <f>37/1000</f>
        <v>3.6999999999999998E-2</v>
      </c>
      <c r="DG58" s="34">
        <f>16.9/1000</f>
        <v>1.6899999999999998E-2</v>
      </c>
      <c r="DH58" s="31" t="s">
        <v>83</v>
      </c>
      <c r="DI58" s="34">
        <f>38.1/1000</f>
        <v>3.8100000000000002E-2</v>
      </c>
      <c r="DJ58" s="34">
        <f>35.5/1000</f>
        <v>3.5499999999999997E-2</v>
      </c>
      <c r="DK58" s="34">
        <f>37.7/1000</f>
        <v>3.7700000000000004E-2</v>
      </c>
      <c r="DL58" s="34">
        <f>67.8/1000</f>
        <v>6.7799999999999999E-2</v>
      </c>
      <c r="DM58" s="34">
        <f>59.6/1000</f>
        <v>5.96E-2</v>
      </c>
      <c r="DN58" s="31" t="s">
        <v>83</v>
      </c>
      <c r="DO58" s="34">
        <f>26.3/1000</f>
        <v>2.63E-2</v>
      </c>
      <c r="DP58" s="34">
        <f>21.3/1000</f>
        <v>2.1299999999999999E-2</v>
      </c>
      <c r="DQ58" s="34">
        <f>94.5/1000</f>
        <v>9.4500000000000001E-2</v>
      </c>
      <c r="DR58" s="34">
        <f>63.9/1000</f>
        <v>6.3899999999999998E-2</v>
      </c>
      <c r="DS58" s="34">
        <f>29.6/1000</f>
        <v>2.9600000000000001E-2</v>
      </c>
      <c r="DT58" s="34">
        <f>13/1000</f>
        <v>1.2999999999999999E-2</v>
      </c>
      <c r="DU58" s="34">
        <f>19.5/1000</f>
        <v>1.95E-2</v>
      </c>
      <c r="DV58" s="31" t="s">
        <v>83</v>
      </c>
      <c r="DW58" s="31" t="s">
        <v>83</v>
      </c>
      <c r="DX58" s="31" t="s">
        <v>83</v>
      </c>
      <c r="DY58" s="31" t="s">
        <v>83</v>
      </c>
      <c r="DZ58" s="31" t="s">
        <v>83</v>
      </c>
      <c r="EA58" s="34">
        <f>147.2/1000</f>
        <v>0.1472</v>
      </c>
      <c r="EB58" s="34">
        <f>154.1/1000</f>
        <v>0.15409999999999999</v>
      </c>
      <c r="EC58" s="34">
        <f>194.3/1000</f>
        <v>0.1943</v>
      </c>
      <c r="ED58" s="34">
        <f>202.6/1000</f>
        <v>0.2026</v>
      </c>
      <c r="EE58" s="34">
        <f>185.9/1000</f>
        <v>0.18590000000000001</v>
      </c>
      <c r="EF58" s="34">
        <f>151.4/1000</f>
        <v>0.15140000000000001</v>
      </c>
      <c r="EG58" s="37">
        <f>31.6/1000</f>
        <v>3.1600000000000003E-2</v>
      </c>
      <c r="EH58" s="37">
        <f>131.8/1000</f>
        <v>0.1318</v>
      </c>
      <c r="EI58" s="37">
        <f>83.5/1000</f>
        <v>8.3500000000000005E-2</v>
      </c>
      <c r="EJ58" s="37">
        <f>80.4/1000</f>
        <v>8.0399999999999999E-2</v>
      </c>
      <c r="EK58" s="37">
        <f>62.8/1000</f>
        <v>6.2799999999999995E-2</v>
      </c>
      <c r="EL58" s="37">
        <f>54.7/1000</f>
        <v>5.4700000000000006E-2</v>
      </c>
      <c r="EM58" s="37">
        <f>59.5/1000</f>
        <v>5.9499999999999997E-2</v>
      </c>
      <c r="EN58" s="37">
        <f>75.1/1000</f>
        <v>7.51E-2</v>
      </c>
      <c r="EO58" s="37" t="s">
        <v>89</v>
      </c>
      <c r="EP58" s="37" t="s">
        <v>89</v>
      </c>
      <c r="EQ58" s="37" t="s">
        <v>89</v>
      </c>
      <c r="ER58" s="37" t="s">
        <v>89</v>
      </c>
      <c r="ES58" s="37">
        <f>267.6/1000</f>
        <v>0.2676</v>
      </c>
      <c r="ET58" s="37">
        <f>50.4/1000</f>
        <v>5.04E-2</v>
      </c>
      <c r="EU58" s="37">
        <f>147.7/1000</f>
        <v>0.1477</v>
      </c>
      <c r="EV58" s="37">
        <f>202.2/1000</f>
        <v>0.20219999999999999</v>
      </c>
      <c r="EW58" s="37">
        <f>31.1/1000</f>
        <v>3.1100000000000003E-2</v>
      </c>
      <c r="EX58" s="37">
        <f>126.4/1000</f>
        <v>0.12640000000000001</v>
      </c>
      <c r="EY58" s="37">
        <f>38.6/1000</f>
        <v>3.8600000000000002E-2</v>
      </c>
      <c r="EZ58" s="37">
        <f>37.1/1000</f>
        <v>3.7100000000000001E-2</v>
      </c>
      <c r="FA58" s="37">
        <f>45.4/1000</f>
        <v>4.5399999999999996E-2</v>
      </c>
      <c r="FB58" s="37">
        <f>74/1000</f>
        <v>7.3999999999999996E-2</v>
      </c>
      <c r="FC58" s="37">
        <f>45.5/1000</f>
        <v>4.5499999999999999E-2</v>
      </c>
      <c r="FD58" s="37">
        <f>59.4/1000</f>
        <v>5.9400000000000001E-2</v>
      </c>
      <c r="FE58" s="37" t="s">
        <v>82</v>
      </c>
      <c r="FF58" s="37" t="s">
        <v>82</v>
      </c>
      <c r="FG58" s="37" t="s">
        <v>82</v>
      </c>
      <c r="FH58" s="37" t="s">
        <v>82</v>
      </c>
      <c r="FI58" s="37">
        <f>20.5/1000</f>
        <v>2.0500000000000001E-2</v>
      </c>
      <c r="FJ58" s="37">
        <f>213.2/1000</f>
        <v>0.2132</v>
      </c>
      <c r="FK58" s="37" t="s">
        <v>82</v>
      </c>
      <c r="FL58" s="37" t="s">
        <v>82</v>
      </c>
      <c r="FM58" s="37">
        <f>78.4/1000</f>
        <v>7.8400000000000011E-2</v>
      </c>
      <c r="FN58" s="37">
        <f>23.9/1000</f>
        <v>2.3899999999999998E-2</v>
      </c>
      <c r="FO58" s="37" t="s">
        <v>82</v>
      </c>
      <c r="FP58" s="37"/>
      <c r="FQ58" s="37">
        <f>29.3/1000</f>
        <v>2.93E-2</v>
      </c>
      <c r="FR58" s="37">
        <f>42.5/1000</f>
        <v>4.2500000000000003E-2</v>
      </c>
      <c r="FS58" s="37">
        <f>26.1/1000</f>
        <v>2.6100000000000002E-2</v>
      </c>
      <c r="FT58" s="37">
        <f>26.8/1000</f>
        <v>2.6800000000000001E-2</v>
      </c>
      <c r="FU58" s="37">
        <f>23.6/1000</f>
        <v>2.3600000000000003E-2</v>
      </c>
      <c r="FV58" s="37"/>
      <c r="FW58" s="37" t="s">
        <v>82</v>
      </c>
      <c r="FX58" s="37" t="s">
        <v>82</v>
      </c>
      <c r="FY58" s="37" t="s">
        <v>82</v>
      </c>
      <c r="FZ58" s="37">
        <f>22.2/1000</f>
        <v>2.2200000000000001E-2</v>
      </c>
      <c r="GA58" s="37">
        <f>21/1000</f>
        <v>2.1000000000000001E-2</v>
      </c>
      <c r="GB58" s="37">
        <f>38.7/1000</f>
        <v>3.8700000000000005E-2</v>
      </c>
      <c r="GC58" s="37" t="s">
        <v>82</v>
      </c>
      <c r="GD58" s="37">
        <f>32.8/1000</f>
        <v>3.2799999999999996E-2</v>
      </c>
      <c r="GE58" s="37">
        <f>32.8/1000</f>
        <v>3.2799999999999996E-2</v>
      </c>
      <c r="GF58" s="37">
        <f>46.2/1000</f>
        <v>4.6200000000000005E-2</v>
      </c>
      <c r="GG58" s="37">
        <f>30.2/1000</f>
        <v>3.0199999999999998E-2</v>
      </c>
      <c r="GH58" s="37">
        <f>20.1/1000</f>
        <v>2.01E-2</v>
      </c>
      <c r="GI58" s="37">
        <f>22.2/1000</f>
        <v>2.2200000000000001E-2</v>
      </c>
      <c r="GJ58" s="37" t="s">
        <v>82</v>
      </c>
      <c r="GK58" s="37" t="s">
        <v>82</v>
      </c>
      <c r="GL58" s="37" t="s">
        <v>82</v>
      </c>
      <c r="GM58" s="37" t="s">
        <v>82</v>
      </c>
      <c r="GN58" s="31">
        <f>26/1000</f>
        <v>2.5999999999999999E-2</v>
      </c>
      <c r="GO58" s="37">
        <f>28.2/1000</f>
        <v>2.8199999999999999E-2</v>
      </c>
      <c r="GP58" s="37">
        <v>2.7E-2</v>
      </c>
      <c r="GQ58" s="37">
        <f>40.2/1000</f>
        <v>4.02E-2</v>
      </c>
      <c r="GR58" s="37">
        <f>57.8/1000</f>
        <v>5.7799999999999997E-2</v>
      </c>
      <c r="GS58" s="37">
        <f>33.8/1000</f>
        <v>3.3799999999999997E-2</v>
      </c>
      <c r="GT58" s="37" t="s">
        <v>82</v>
      </c>
      <c r="GU58" s="37">
        <f>41.07/1000</f>
        <v>4.1070000000000002E-2</v>
      </c>
      <c r="GV58" s="31" t="s">
        <v>82</v>
      </c>
      <c r="GW58" s="31" t="s">
        <v>82</v>
      </c>
      <c r="GX58" s="37">
        <f>20.1/1000</f>
        <v>2.01E-2</v>
      </c>
      <c r="GY58" s="37">
        <f>25.5/1000</f>
        <v>2.5499999999999998E-2</v>
      </c>
      <c r="GZ58" s="31" t="s">
        <v>82</v>
      </c>
      <c r="HA58" s="37">
        <f>26.2/1000</f>
        <v>2.6199999999999998E-2</v>
      </c>
      <c r="HB58" s="37">
        <f>26.3/1000</f>
        <v>2.63E-2</v>
      </c>
      <c r="HC58" s="37">
        <f>39.8/1000</f>
        <v>3.9799999999999995E-2</v>
      </c>
      <c r="HD58" s="37">
        <f>38.6/1000</f>
        <v>3.8600000000000002E-2</v>
      </c>
      <c r="HE58" s="31" t="s">
        <v>82</v>
      </c>
      <c r="HF58" s="37">
        <f>27.4/1000</f>
        <v>2.7399999999999997E-2</v>
      </c>
      <c r="HG58" s="31">
        <f>290.1/1000</f>
        <v>0.29010000000000002</v>
      </c>
      <c r="HH58" s="31">
        <f>40.9/1000</f>
        <v>4.0899999999999999E-2</v>
      </c>
      <c r="HI58" s="31">
        <f>83.8/1000</f>
        <v>8.3799999999999999E-2</v>
      </c>
      <c r="HJ58" s="31">
        <f>66.4/1000</f>
        <v>6.6400000000000001E-2</v>
      </c>
      <c r="HK58" s="71">
        <f>23/1000</f>
        <v>2.3E-2</v>
      </c>
      <c r="HL58" s="71">
        <f>28.7/1000</f>
        <v>2.87E-2</v>
      </c>
      <c r="HM58" s="31">
        <f>90.3/1000</f>
        <v>9.0299999999999991E-2</v>
      </c>
      <c r="HN58" s="31">
        <f>78.8/1000</f>
        <v>7.8799999999999995E-2</v>
      </c>
      <c r="HO58" s="31">
        <f>37.6/1000</f>
        <v>3.7600000000000001E-2</v>
      </c>
      <c r="HP58" s="31">
        <f>76.2/1000</f>
        <v>7.6200000000000004E-2</v>
      </c>
      <c r="HQ58" s="31">
        <f>105.5/1000</f>
        <v>0.1055</v>
      </c>
      <c r="HR58" s="31">
        <f>69.9/1000</f>
        <v>6.9900000000000004E-2</v>
      </c>
      <c r="HS58" s="31">
        <f>80.3/1000</f>
        <v>8.0299999999999996E-2</v>
      </c>
      <c r="HT58" s="31">
        <f>51.9/1000</f>
        <v>5.1900000000000002E-2</v>
      </c>
      <c r="HU58" s="31">
        <f>51.2/1000</f>
        <v>5.1200000000000002E-2</v>
      </c>
      <c r="HV58" s="31">
        <f>81.2/1000</f>
        <v>8.1200000000000008E-2</v>
      </c>
      <c r="HW58" s="31">
        <f>47/1000</f>
        <v>4.7E-2</v>
      </c>
      <c r="HX58" s="31">
        <f>42.5/1000</f>
        <v>4.2500000000000003E-2</v>
      </c>
      <c r="HY58" s="31" t="s">
        <v>82</v>
      </c>
      <c r="HZ58" s="31" t="s">
        <v>82</v>
      </c>
      <c r="IA58" s="31" t="s">
        <v>82</v>
      </c>
      <c r="IB58" s="31">
        <f>24.1/1000</f>
        <v>2.41E-2</v>
      </c>
      <c r="IC58" s="31" t="s">
        <v>82</v>
      </c>
      <c r="ID58" s="31" t="s">
        <v>82</v>
      </c>
      <c r="IE58" s="31" t="s">
        <v>82</v>
      </c>
      <c r="IF58" s="31">
        <f>22/1000</f>
        <v>2.1999999999999999E-2</v>
      </c>
      <c r="IG58" s="31" t="s">
        <v>82</v>
      </c>
      <c r="IH58" s="31" t="s">
        <v>82</v>
      </c>
      <c r="II58" s="31" t="s">
        <v>82</v>
      </c>
      <c r="IJ58" s="31" t="s">
        <v>82</v>
      </c>
      <c r="IK58" s="31">
        <f>27.94/1000</f>
        <v>2.794E-2</v>
      </c>
      <c r="IL58" s="31">
        <f>55.54/1000</f>
        <v>5.5539999999999999E-2</v>
      </c>
      <c r="IM58" s="31">
        <f>37.22/1000</f>
        <v>3.7219999999999996E-2</v>
      </c>
      <c r="IN58" s="31" t="s">
        <v>82</v>
      </c>
      <c r="IO58" s="31">
        <f>24.39/1000</f>
        <v>2.4390000000000002E-2</v>
      </c>
      <c r="IP58" s="31">
        <f>46.01/1000</f>
        <v>4.6009999999999995E-2</v>
      </c>
      <c r="IQ58" s="31">
        <f>45.4/1000</f>
        <v>4.5399999999999996E-2</v>
      </c>
      <c r="IR58" s="31">
        <f>136.4/1000</f>
        <v>0.13639999999999999</v>
      </c>
      <c r="IS58" s="31">
        <f>109.08/1000</f>
        <v>0.10908</v>
      </c>
      <c r="IT58" s="31">
        <f>42.47/1000</f>
        <v>4.2470000000000001E-2</v>
      </c>
      <c r="IU58" s="31">
        <f>76.34/1000</f>
        <v>7.6340000000000005E-2</v>
      </c>
      <c r="IV58" s="31">
        <f>31.614/1000</f>
        <v>3.1614000000000003E-2</v>
      </c>
      <c r="IW58" s="31">
        <f>67.617/1000</f>
        <v>6.761700000000001E-2</v>
      </c>
      <c r="IX58" s="31">
        <f>22.605/1000</f>
        <v>2.2605E-2</v>
      </c>
      <c r="IY58" s="31">
        <f>20.182/1000</f>
        <v>2.0181999999999999E-2</v>
      </c>
      <c r="IZ58" s="31" t="s">
        <v>82</v>
      </c>
      <c r="JA58" s="31">
        <f>21.406/1000</f>
        <v>2.1405999999999998E-2</v>
      </c>
      <c r="JB58" s="31">
        <f>95.513/1000</f>
        <v>9.5513000000000001E-2</v>
      </c>
      <c r="JC58" s="31">
        <f>44.594/1000</f>
        <v>4.4594000000000002E-2</v>
      </c>
      <c r="JD58" s="31">
        <f>46.629/1000</f>
        <v>4.6628999999999997E-2</v>
      </c>
      <c r="JE58" s="31">
        <f>103.147/1000</f>
        <v>0.103147</v>
      </c>
      <c r="JF58" s="31">
        <f>52.8/1000</f>
        <v>5.28E-2</v>
      </c>
      <c r="JG58" s="31">
        <f>48.081/1000</f>
        <v>4.8081000000000006E-2</v>
      </c>
      <c r="JH58" s="34">
        <f>195.25/1000</f>
        <v>0.19525000000000001</v>
      </c>
      <c r="JI58" s="34">
        <f>85.14/1000</f>
        <v>8.5140000000000007E-2</v>
      </c>
      <c r="JJ58" s="34">
        <f>64.735/1000</f>
        <v>6.4735000000000001E-2</v>
      </c>
      <c r="JK58" s="34">
        <f>46.365/1000</f>
        <v>4.6365000000000003E-2</v>
      </c>
      <c r="JL58" s="34">
        <f>34.958/1000</f>
        <v>3.4957999999999996E-2</v>
      </c>
      <c r="JM58" s="34">
        <f>20/1000</f>
        <v>0.02</v>
      </c>
      <c r="JN58" s="34">
        <f>20/1000</f>
        <v>0.02</v>
      </c>
      <c r="JO58" s="34">
        <f>20/1000</f>
        <v>0.02</v>
      </c>
      <c r="JP58" s="34">
        <f>20/1000</f>
        <v>0.02</v>
      </c>
      <c r="JQ58" s="34">
        <f>20/1000</f>
        <v>0.02</v>
      </c>
      <c r="JR58" s="34">
        <f>85.008/1000</f>
        <v>8.5008E-2</v>
      </c>
      <c r="JS58" s="34">
        <f>65.032/1000</f>
        <v>6.5031999999999993E-2</v>
      </c>
      <c r="JT58" s="34">
        <f>195.25/1000</f>
        <v>0.19525000000000001</v>
      </c>
      <c r="JU58" s="34">
        <f>85.14/1000</f>
        <v>8.5140000000000007E-2</v>
      </c>
      <c r="JV58" s="34">
        <f>64.735/1000</f>
        <v>6.4735000000000001E-2</v>
      </c>
      <c r="JW58" s="34">
        <f>46.365/1000</f>
        <v>4.6365000000000003E-2</v>
      </c>
      <c r="JX58" s="34">
        <f>34.958/1000</f>
        <v>3.4957999999999996E-2</v>
      </c>
      <c r="JY58" s="31" t="s">
        <v>82</v>
      </c>
      <c r="JZ58" s="31">
        <f>57.57/1000</f>
        <v>5.7570000000000003E-2</v>
      </c>
      <c r="KA58" s="31">
        <f>70.191/1000</f>
        <v>7.0191000000000003E-2</v>
      </c>
      <c r="KB58" s="31">
        <f>39.908/1000</f>
        <v>3.9907999999999999E-2</v>
      </c>
      <c r="KC58" s="31">
        <f>48.77/1000</f>
        <v>4.8770000000000001E-2</v>
      </c>
      <c r="KD58" s="31">
        <f>30.07/1000</f>
        <v>3.007E-2</v>
      </c>
      <c r="KE58" s="31">
        <f>51.41/1000</f>
        <v>5.1409999999999997E-2</v>
      </c>
      <c r="KF58" s="31">
        <f>51.007/1000</f>
        <v>5.1006999999999997E-2</v>
      </c>
      <c r="KG58" s="31">
        <f>39.259/1000</f>
        <v>3.9259000000000002E-2</v>
      </c>
      <c r="KH58" s="31">
        <f>101.398/1000</f>
        <v>0.101398</v>
      </c>
      <c r="KI58" s="31">
        <f>59.95/1000</f>
        <v>5.9950000000000003E-2</v>
      </c>
      <c r="KJ58" s="31">
        <f>28.54/1000</f>
        <v>2.8539999999999999E-2</v>
      </c>
      <c r="KK58" s="31">
        <f>30.558/1000</f>
        <v>3.0557999999999998E-2</v>
      </c>
      <c r="KL58" s="31">
        <f>26.33/1000</f>
        <v>2.6329999999999999E-2</v>
      </c>
      <c r="KM58" s="31">
        <f>24.53/1000</f>
        <v>2.453E-2</v>
      </c>
      <c r="KN58" s="68" t="s">
        <v>82</v>
      </c>
      <c r="KO58" s="31">
        <f>36.88/1000</f>
        <v>3.6880000000000003E-2</v>
      </c>
    </row>
    <row r="59" spans="1:301" ht="15" thickBot="1" x14ac:dyDescent="0.3">
      <c r="A59" s="73" t="s">
        <v>100</v>
      </c>
      <c r="B59" s="73"/>
      <c r="C59" s="101">
        <f t="shared" ref="C59:BN59" si="0">+C21/C22</f>
        <v>5.7578323454699411E-2</v>
      </c>
      <c r="D59" s="102">
        <f t="shared" si="0"/>
        <v>7.6857386848847133E-3</v>
      </c>
      <c r="E59" s="102">
        <f t="shared" si="0"/>
        <v>2.4390243902439025E-2</v>
      </c>
      <c r="F59" s="103">
        <f t="shared" si="0"/>
        <v>7.3697585768742052E-2</v>
      </c>
      <c r="G59" s="67">
        <f t="shared" si="0"/>
        <v>4.5161290322580643E-2</v>
      </c>
      <c r="H59" s="67">
        <f t="shared" si="0"/>
        <v>3.1814273430782455E-2</v>
      </c>
      <c r="I59" s="68">
        <f t="shared" si="0"/>
        <v>3.8183694530443756E-2</v>
      </c>
      <c r="J59" s="68">
        <f t="shared" si="0"/>
        <v>2.201524132091448E-2</v>
      </c>
      <c r="K59" s="68">
        <f t="shared" si="0"/>
        <v>7.4639525021204411E-2</v>
      </c>
      <c r="L59" s="68">
        <f t="shared" si="0"/>
        <v>9.1649694501018328E-2</v>
      </c>
      <c r="M59" s="68">
        <f t="shared" si="0"/>
        <v>0.37244897959183676</v>
      </c>
      <c r="N59" s="68">
        <f t="shared" si="0"/>
        <v>0.23664122137404581</v>
      </c>
      <c r="O59" s="68">
        <f t="shared" si="0"/>
        <v>0</v>
      </c>
      <c r="P59" s="68">
        <f t="shared" si="0"/>
        <v>0</v>
      </c>
      <c r="Q59" s="68">
        <f t="shared" si="0"/>
        <v>0</v>
      </c>
      <c r="R59" s="68">
        <f t="shared" si="0"/>
        <v>0</v>
      </c>
      <c r="S59" s="68" t="e">
        <f t="shared" si="0"/>
        <v>#DIV/0!</v>
      </c>
      <c r="T59" s="68" t="e">
        <f t="shared" si="0"/>
        <v>#DIV/0!</v>
      </c>
      <c r="U59" s="68" t="e">
        <f t="shared" si="0"/>
        <v>#DIV/0!</v>
      </c>
      <c r="V59" s="68" t="e">
        <f t="shared" si="0"/>
        <v>#DIV/0!</v>
      </c>
      <c r="W59" s="68" t="e">
        <f t="shared" si="0"/>
        <v>#DIV/0!</v>
      </c>
      <c r="X59" s="68" t="e">
        <f t="shared" si="0"/>
        <v>#DIV/0!</v>
      </c>
      <c r="Y59" s="68" t="e">
        <f t="shared" si="0"/>
        <v>#DIV/0!</v>
      </c>
      <c r="Z59" s="68" t="e">
        <f t="shared" si="0"/>
        <v>#DIV/0!</v>
      </c>
      <c r="AA59" s="68" t="e">
        <f t="shared" si="0"/>
        <v>#DIV/0!</v>
      </c>
      <c r="AB59" s="68" t="e">
        <f t="shared" si="0"/>
        <v>#DIV/0!</v>
      </c>
      <c r="AC59" s="68" t="e">
        <f t="shared" si="0"/>
        <v>#DIV/0!</v>
      </c>
      <c r="AD59" s="68" t="e">
        <f t="shared" si="0"/>
        <v>#DIV/0!</v>
      </c>
      <c r="AE59" s="68" t="e">
        <f t="shared" si="0"/>
        <v>#DIV/0!</v>
      </c>
      <c r="AF59" s="68" t="e">
        <f t="shared" si="0"/>
        <v>#DIV/0!</v>
      </c>
      <c r="AG59" s="68" t="e">
        <f t="shared" si="0"/>
        <v>#DIV/0!</v>
      </c>
      <c r="AH59" s="68" t="e">
        <f t="shared" si="0"/>
        <v>#DIV/0!</v>
      </c>
      <c r="AI59" s="68">
        <f t="shared" si="0"/>
        <v>5.9071729957805907E-2</v>
      </c>
      <c r="AJ59" s="68">
        <f t="shared" si="0"/>
        <v>4.5871559633027519E-2</v>
      </c>
      <c r="AK59" s="68">
        <f t="shared" si="0"/>
        <v>5.4151624548736461E-2</v>
      </c>
      <c r="AL59" s="68">
        <f t="shared" si="0"/>
        <v>5.0505050505050504E-2</v>
      </c>
      <c r="AM59" s="68">
        <f t="shared" si="0"/>
        <v>0.1864406779661017</v>
      </c>
      <c r="AN59" s="68">
        <f t="shared" si="0"/>
        <v>0.15254237288135591</v>
      </c>
      <c r="AO59" s="68">
        <f t="shared" si="0"/>
        <v>0.24324324324324323</v>
      </c>
      <c r="AP59" s="68">
        <f t="shared" si="0"/>
        <v>0.10810810810810811</v>
      </c>
      <c r="AQ59" s="68">
        <f t="shared" si="0"/>
        <v>0.05</v>
      </c>
      <c r="AR59" s="68">
        <f t="shared" si="0"/>
        <v>7.1428571428571425E-2</v>
      </c>
      <c r="AS59" s="68">
        <f t="shared" si="0"/>
        <v>5.7142857142857148E-2</v>
      </c>
      <c r="AT59" s="68">
        <f t="shared" si="0"/>
        <v>4.9999999999999996E-2</v>
      </c>
      <c r="AU59" s="68">
        <f t="shared" si="0"/>
        <v>0.35897435897435898</v>
      </c>
      <c r="AV59" s="68">
        <f t="shared" si="0"/>
        <v>0.15254237288135591</v>
      </c>
      <c r="AW59" s="68">
        <f t="shared" si="0"/>
        <v>0.4102564102564103</v>
      </c>
      <c r="AX59" s="68">
        <f t="shared" si="0"/>
        <v>0.10256410256410257</v>
      </c>
      <c r="AY59" s="68" t="e">
        <f t="shared" si="0"/>
        <v>#DIV/0!</v>
      </c>
      <c r="AZ59" s="68" t="e">
        <f t="shared" si="0"/>
        <v>#DIV/0!</v>
      </c>
      <c r="BA59" s="68" t="e">
        <f t="shared" si="0"/>
        <v>#DIV/0!</v>
      </c>
      <c r="BB59" s="68" t="e">
        <f t="shared" si="0"/>
        <v>#DIV/0!</v>
      </c>
      <c r="BC59" s="68">
        <f t="shared" si="0"/>
        <v>2.7586206896551727E-2</v>
      </c>
      <c r="BD59" s="68">
        <f t="shared" si="0"/>
        <v>3.043478260869565E-2</v>
      </c>
      <c r="BE59" s="68">
        <f t="shared" si="0"/>
        <v>2.2222222222222223E-2</v>
      </c>
      <c r="BF59" s="68">
        <f t="shared" si="0"/>
        <v>0.02</v>
      </c>
      <c r="BG59" s="68">
        <f t="shared" si="0"/>
        <v>1.1111111111111112E-2</v>
      </c>
      <c r="BH59" s="68">
        <f t="shared" si="0"/>
        <v>1.4285714285714287E-2</v>
      </c>
      <c r="BI59" s="68">
        <f t="shared" si="0"/>
        <v>9.6774193548387101E-3</v>
      </c>
      <c r="BJ59" s="68">
        <f t="shared" si="0"/>
        <v>0.02</v>
      </c>
      <c r="BK59" s="68" t="e">
        <f t="shared" si="0"/>
        <v>#DIV/0!</v>
      </c>
      <c r="BL59" s="68" t="e">
        <f t="shared" si="0"/>
        <v>#DIV/0!</v>
      </c>
      <c r="BM59" s="68">
        <f t="shared" si="0"/>
        <v>2.2222222222222223E-2</v>
      </c>
      <c r="BN59" s="68">
        <f t="shared" si="0"/>
        <v>1.7241379310344827E-2</v>
      </c>
      <c r="BO59" s="68">
        <f t="shared" ref="BO59:DZ59" si="1">+BO21/BO22</f>
        <v>2.9545454545454545E-2</v>
      </c>
      <c r="BP59" s="68">
        <f t="shared" si="1"/>
        <v>0.02</v>
      </c>
      <c r="BQ59" s="68">
        <f t="shared" si="1"/>
        <v>1.7241379310344827E-2</v>
      </c>
      <c r="BR59" s="68">
        <f t="shared" si="1"/>
        <v>2.4999999999999998E-2</v>
      </c>
      <c r="BS59" s="68">
        <f t="shared" si="1"/>
        <v>3.7499999999999999E-2</v>
      </c>
      <c r="BT59" s="68">
        <f t="shared" si="1"/>
        <v>3.3333333333333333E-2</v>
      </c>
      <c r="BU59" s="68">
        <f t="shared" si="1"/>
        <v>7.4999999999999997E-2</v>
      </c>
      <c r="BV59" s="68">
        <f t="shared" si="1"/>
        <v>3.7499999999999999E-2</v>
      </c>
      <c r="BW59" s="68">
        <f t="shared" si="1"/>
        <v>4.9999999999999996E-2</v>
      </c>
      <c r="BX59" s="68">
        <f t="shared" si="1"/>
        <v>4.9999999999999996E-2</v>
      </c>
      <c r="BY59" s="68">
        <f t="shared" si="1"/>
        <v>1.3793103448275864E-2</v>
      </c>
      <c r="BZ59" s="68">
        <f t="shared" si="1"/>
        <v>1.7241379310344827E-2</v>
      </c>
      <c r="CA59" s="68">
        <f t="shared" si="1"/>
        <v>1.7391304347826087E-2</v>
      </c>
      <c r="CB59" s="68">
        <f t="shared" si="1"/>
        <v>1.3043478260869565E-2</v>
      </c>
      <c r="CC59" s="68">
        <f t="shared" si="1"/>
        <v>1.7187500000000001E-2</v>
      </c>
      <c r="CD59" s="68">
        <f t="shared" si="1"/>
        <v>2.8571428571428574E-2</v>
      </c>
      <c r="CE59" s="68">
        <f t="shared" si="1"/>
        <v>2.3809523809523808E-2</v>
      </c>
      <c r="CF59" s="68">
        <f t="shared" si="1"/>
        <v>2.368421052631579E-2</v>
      </c>
      <c r="CG59" s="68">
        <f t="shared" si="1"/>
        <v>3.4999999999999996E-2</v>
      </c>
      <c r="CH59" s="68">
        <f t="shared" si="1"/>
        <v>2.391304347826087E-2</v>
      </c>
      <c r="CI59" s="68">
        <f t="shared" si="1"/>
        <v>2.5000000000000001E-2</v>
      </c>
      <c r="CJ59" s="68">
        <f t="shared" si="1"/>
        <v>1.6666666666666666E-2</v>
      </c>
      <c r="CK59" s="68">
        <f t="shared" si="1"/>
        <v>3.3333333333333333E-2</v>
      </c>
      <c r="CL59" s="68">
        <f t="shared" si="1"/>
        <v>3.8095238095238099E-2</v>
      </c>
      <c r="CM59" s="68">
        <f t="shared" si="1"/>
        <v>2.897196261682243E-2</v>
      </c>
      <c r="CN59" s="68">
        <f t="shared" si="1"/>
        <v>2.8125000000000001E-2</v>
      </c>
      <c r="CO59" s="68">
        <f t="shared" si="1"/>
        <v>5.2631578947368418E-2</v>
      </c>
      <c r="CP59" s="68">
        <f t="shared" si="1"/>
        <v>0.05</v>
      </c>
      <c r="CQ59" s="68">
        <f t="shared" si="1"/>
        <v>4.779411764705882E-2</v>
      </c>
      <c r="CR59" s="68">
        <f t="shared" si="1"/>
        <v>5.6451612903225805E-2</v>
      </c>
      <c r="CS59" s="68">
        <f t="shared" si="1"/>
        <v>5.3571428571428568E-2</v>
      </c>
      <c r="CT59" s="68">
        <f t="shared" si="1"/>
        <v>5.0999999999999997E-2</v>
      </c>
      <c r="CU59" s="68">
        <f t="shared" si="1"/>
        <v>5.7500000000000002E-2</v>
      </c>
      <c r="CV59" s="68">
        <f t="shared" si="1"/>
        <v>2.0370370370370372E-2</v>
      </c>
      <c r="CW59" s="68" t="e">
        <f t="shared" si="1"/>
        <v>#VALUE!</v>
      </c>
      <c r="CX59" s="68" t="e">
        <f t="shared" si="1"/>
        <v>#VALUE!</v>
      </c>
      <c r="CY59" s="68" t="e">
        <f t="shared" si="1"/>
        <v>#VALUE!</v>
      </c>
      <c r="CZ59" s="68" t="e">
        <f t="shared" si="1"/>
        <v>#VALUE!</v>
      </c>
      <c r="DA59" s="68" t="e">
        <f t="shared" si="1"/>
        <v>#VALUE!</v>
      </c>
      <c r="DB59" s="68" t="e">
        <f t="shared" si="1"/>
        <v>#VALUE!</v>
      </c>
      <c r="DC59" s="68" t="e">
        <f t="shared" si="1"/>
        <v>#VALUE!</v>
      </c>
      <c r="DD59" s="68" t="e">
        <f t="shared" si="1"/>
        <v>#VALUE!</v>
      </c>
      <c r="DE59" s="68" t="e">
        <f t="shared" si="1"/>
        <v>#VALUE!</v>
      </c>
      <c r="DF59" s="68" t="e">
        <f t="shared" si="1"/>
        <v>#VALUE!</v>
      </c>
      <c r="DG59" s="68" t="e">
        <f t="shared" si="1"/>
        <v>#VALUE!</v>
      </c>
      <c r="DH59" s="68" t="e">
        <f t="shared" si="1"/>
        <v>#VALUE!</v>
      </c>
      <c r="DI59" s="68">
        <f t="shared" si="1"/>
        <v>7.2297297297297294E-2</v>
      </c>
      <c r="DJ59" s="68">
        <f t="shared" si="1"/>
        <v>9.9107142857142852E-2</v>
      </c>
      <c r="DK59" s="68">
        <f t="shared" si="1"/>
        <v>6.7999999999999991E-2</v>
      </c>
      <c r="DL59" s="68">
        <f t="shared" si="1"/>
        <v>6.9178082191780815E-2</v>
      </c>
      <c r="DM59" s="68">
        <f t="shared" si="1"/>
        <v>8.203125E-2</v>
      </c>
      <c r="DN59" s="68">
        <f t="shared" si="1"/>
        <v>5.8333333333333327E-3</v>
      </c>
      <c r="DO59" s="68" t="e">
        <f t="shared" si="1"/>
        <v>#VALUE!</v>
      </c>
      <c r="DP59" s="68" t="e">
        <f t="shared" si="1"/>
        <v>#VALUE!</v>
      </c>
      <c r="DQ59" s="68" t="e">
        <f t="shared" si="1"/>
        <v>#VALUE!</v>
      </c>
      <c r="DR59" s="68" t="e">
        <f t="shared" si="1"/>
        <v>#VALUE!</v>
      </c>
      <c r="DS59" s="68" t="e">
        <f t="shared" si="1"/>
        <v>#VALUE!</v>
      </c>
      <c r="DT59" s="68" t="e">
        <f t="shared" si="1"/>
        <v>#VALUE!</v>
      </c>
      <c r="DU59" s="68" t="e">
        <f t="shared" si="1"/>
        <v>#VALUE!</v>
      </c>
      <c r="DV59" s="68" t="e">
        <f t="shared" si="1"/>
        <v>#VALUE!</v>
      </c>
      <c r="DW59" s="68" t="e">
        <f t="shared" si="1"/>
        <v>#VALUE!</v>
      </c>
      <c r="DX59" s="68" t="e">
        <f t="shared" si="1"/>
        <v>#VALUE!</v>
      </c>
      <c r="DY59" s="68" t="e">
        <f t="shared" si="1"/>
        <v>#VALUE!</v>
      </c>
      <c r="DZ59" s="68" t="e">
        <f t="shared" si="1"/>
        <v>#VALUE!</v>
      </c>
      <c r="EA59" s="68">
        <f t="shared" ref="EA59:GL59" si="2">+EA21/EA22</f>
        <v>7.8260869565217397E-2</v>
      </c>
      <c r="EB59" s="68">
        <f t="shared" si="2"/>
        <v>7.2340425531914887E-2</v>
      </c>
      <c r="EC59" s="68">
        <f t="shared" si="2"/>
        <v>7.2972972972972977E-2</v>
      </c>
      <c r="ED59" s="68">
        <f t="shared" si="2"/>
        <v>2.8571428571428574E-2</v>
      </c>
      <c r="EE59" s="68">
        <f t="shared" si="2"/>
        <v>7.9069767441860464E-2</v>
      </c>
      <c r="EF59" s="68" t="e">
        <f t="shared" si="2"/>
        <v>#VALUE!</v>
      </c>
      <c r="EG59" s="68">
        <f t="shared" si="2"/>
        <v>2.1951219512195124E-2</v>
      </c>
      <c r="EH59" s="68">
        <f t="shared" si="2"/>
        <v>3.1818181818181822E-2</v>
      </c>
      <c r="EI59" s="68">
        <f t="shared" si="2"/>
        <v>2.1951219512195124E-2</v>
      </c>
      <c r="EJ59" s="68">
        <f t="shared" si="2"/>
        <v>4.3548387096774194E-2</v>
      </c>
      <c r="EK59" s="68">
        <f t="shared" si="2"/>
        <v>3.518518518518518E-2</v>
      </c>
      <c r="EL59" s="68" t="e">
        <f t="shared" si="2"/>
        <v>#VALUE!</v>
      </c>
      <c r="EM59" s="68" t="e">
        <f t="shared" si="2"/>
        <v>#VALUE!</v>
      </c>
      <c r="EN59" s="68" t="e">
        <f t="shared" si="2"/>
        <v>#VALUE!</v>
      </c>
      <c r="EO59" s="68" t="e">
        <f t="shared" si="2"/>
        <v>#VALUE!</v>
      </c>
      <c r="EP59" s="68" t="e">
        <f t="shared" si="2"/>
        <v>#VALUE!</v>
      </c>
      <c r="EQ59" s="68" t="e">
        <f t="shared" si="2"/>
        <v>#VALUE!</v>
      </c>
      <c r="ER59" s="68" t="e">
        <f t="shared" si="2"/>
        <v>#VALUE!</v>
      </c>
      <c r="ES59" s="68">
        <f t="shared" si="2"/>
        <v>3.0882352941176472E-2</v>
      </c>
      <c r="ET59" s="68">
        <f t="shared" si="2"/>
        <v>3.0555555555555558E-2</v>
      </c>
      <c r="EU59" s="68">
        <f t="shared" si="2"/>
        <v>3.4375000000000003E-2</v>
      </c>
      <c r="EV59" s="68">
        <f t="shared" si="2"/>
        <v>9.1111111111111101E-2</v>
      </c>
      <c r="EW59" s="68">
        <f t="shared" si="2"/>
        <v>2.4137931034482758E-2</v>
      </c>
      <c r="EX59" s="68" t="e">
        <f t="shared" si="2"/>
        <v>#VALUE!</v>
      </c>
      <c r="EY59" s="68">
        <f t="shared" si="2"/>
        <v>3.125E-2</v>
      </c>
      <c r="EZ59" s="68">
        <f t="shared" si="2"/>
        <v>9.0909090909090922E-3</v>
      </c>
      <c r="FA59" s="68">
        <f t="shared" si="2"/>
        <v>2.1153846153846155E-2</v>
      </c>
      <c r="FB59" s="68">
        <f t="shared" si="2"/>
        <v>1.4864864864864866E-2</v>
      </c>
      <c r="FC59" s="68">
        <f t="shared" si="2"/>
        <v>1.40625E-2</v>
      </c>
      <c r="FD59" s="68" t="e">
        <f t="shared" si="2"/>
        <v>#VALUE!</v>
      </c>
      <c r="FE59" s="68" t="e">
        <f t="shared" si="2"/>
        <v>#VALUE!</v>
      </c>
      <c r="FF59" s="68" t="e">
        <f t="shared" si="2"/>
        <v>#VALUE!</v>
      </c>
      <c r="FG59" s="68" t="e">
        <f t="shared" si="2"/>
        <v>#VALUE!</v>
      </c>
      <c r="FH59" s="68" t="e">
        <f t="shared" si="2"/>
        <v>#VALUE!</v>
      </c>
      <c r="FI59" s="68" t="e">
        <f t="shared" si="2"/>
        <v>#VALUE!</v>
      </c>
      <c r="FJ59" s="68" t="e">
        <f t="shared" si="2"/>
        <v>#VALUE!</v>
      </c>
      <c r="FK59" s="68">
        <f t="shared" si="2"/>
        <v>1.7000000000000001E-2</v>
      </c>
      <c r="FL59" s="68">
        <f t="shared" si="2"/>
        <v>3.4375000000000003E-2</v>
      </c>
      <c r="FM59" s="68" t="e">
        <f t="shared" si="2"/>
        <v>#VALUE!</v>
      </c>
      <c r="FN59" s="68" t="e">
        <f t="shared" si="2"/>
        <v>#VALUE!</v>
      </c>
      <c r="FO59" s="68" t="e">
        <f t="shared" si="2"/>
        <v>#VALUE!</v>
      </c>
      <c r="FP59" s="68" t="e">
        <f t="shared" si="2"/>
        <v>#DIV/0!</v>
      </c>
      <c r="FQ59" s="68">
        <f t="shared" si="2"/>
        <v>5.6666666666666664E-2</v>
      </c>
      <c r="FR59" s="68">
        <f t="shared" si="2"/>
        <v>5.4054054054054057E-2</v>
      </c>
      <c r="FS59" s="68" t="e">
        <f t="shared" si="2"/>
        <v>#VALUE!</v>
      </c>
      <c r="FT59" s="68" t="e">
        <f t="shared" si="2"/>
        <v>#VALUE!</v>
      </c>
      <c r="FU59" s="68" t="e">
        <f t="shared" si="2"/>
        <v>#VALUE!</v>
      </c>
      <c r="FV59" s="68" t="e">
        <f t="shared" si="2"/>
        <v>#DIV/0!</v>
      </c>
      <c r="FW59" s="68">
        <f t="shared" si="2"/>
        <v>0.02</v>
      </c>
      <c r="FX59" s="68">
        <f t="shared" si="2"/>
        <v>1.6666666666666666E-2</v>
      </c>
      <c r="FY59" s="68">
        <f t="shared" si="2"/>
        <v>1.8918918918918916E-2</v>
      </c>
      <c r="FZ59" s="68">
        <f t="shared" si="2"/>
        <v>3.7037037037037035E-2</v>
      </c>
      <c r="GA59" s="68">
        <f t="shared" si="2"/>
        <v>2.8846153846153848E-2</v>
      </c>
      <c r="GB59" s="68" t="e">
        <f t="shared" si="2"/>
        <v>#VALUE!</v>
      </c>
      <c r="GC59" s="68">
        <f t="shared" si="2"/>
        <v>0</v>
      </c>
      <c r="GD59" s="68" t="e">
        <f t="shared" si="2"/>
        <v>#VALUE!</v>
      </c>
      <c r="GE59" s="68">
        <f t="shared" si="2"/>
        <v>0</v>
      </c>
      <c r="GF59" s="68" t="e">
        <f t="shared" si="2"/>
        <v>#VALUE!</v>
      </c>
      <c r="GG59" s="68">
        <f t="shared" si="2"/>
        <v>0</v>
      </c>
      <c r="GH59" s="68" t="e">
        <f t="shared" si="2"/>
        <v>#VALUE!</v>
      </c>
      <c r="GI59" s="68">
        <f t="shared" si="2"/>
        <v>2.0754716981132078E-2</v>
      </c>
      <c r="GJ59" s="68">
        <f t="shared" si="2"/>
        <v>3.0000000000000002E-2</v>
      </c>
      <c r="GK59" s="68">
        <f t="shared" si="2"/>
        <v>5.7142857142857141E-2</v>
      </c>
      <c r="GL59" s="68">
        <f t="shared" si="2"/>
        <v>3.4482758620689655E-2</v>
      </c>
      <c r="GM59" s="68">
        <f t="shared" ref="GM59:IX59" si="3">+GM21/GM22</f>
        <v>5.185185185185185E-2</v>
      </c>
      <c r="GN59" s="68">
        <f t="shared" si="3"/>
        <v>7.1739130434782614E-3</v>
      </c>
      <c r="GO59" s="68">
        <f t="shared" si="3"/>
        <v>3.2692307692307687E-2</v>
      </c>
      <c r="GP59" s="68">
        <f t="shared" si="3"/>
        <v>5.2000000000000005E-2</v>
      </c>
      <c r="GQ59" s="68">
        <f t="shared" si="3"/>
        <v>4.7272727272727272E-2</v>
      </c>
      <c r="GR59" s="68">
        <f t="shared" si="3"/>
        <v>4.7457627118644062E-2</v>
      </c>
      <c r="GS59" s="68">
        <f t="shared" si="3"/>
        <v>8.225806451612902E-2</v>
      </c>
      <c r="GT59" s="68" t="e">
        <f t="shared" si="3"/>
        <v>#VALUE!</v>
      </c>
      <c r="GU59" s="68">
        <f t="shared" si="3"/>
        <v>2.0588235294117647E-2</v>
      </c>
      <c r="GV59" s="68">
        <f t="shared" si="3"/>
        <v>8.0645161290322578E-3</v>
      </c>
      <c r="GW59" s="68">
        <f t="shared" si="3"/>
        <v>1.2903225806451613E-2</v>
      </c>
      <c r="GX59" s="68">
        <f t="shared" si="3"/>
        <v>4.5454545454545452E-3</v>
      </c>
      <c r="GY59" s="68">
        <f t="shared" si="3"/>
        <v>7.3170731707317069E-3</v>
      </c>
      <c r="GZ59" s="68">
        <f t="shared" si="3"/>
        <v>7.1428571428571429E-4</v>
      </c>
      <c r="HA59" s="68" t="e">
        <f t="shared" si="3"/>
        <v>#VALUE!</v>
      </c>
      <c r="HB59" s="68" t="e">
        <f t="shared" si="3"/>
        <v>#VALUE!</v>
      </c>
      <c r="HC59" s="68" t="e">
        <f t="shared" si="3"/>
        <v>#VALUE!</v>
      </c>
      <c r="HD59" s="68" t="e">
        <f t="shared" si="3"/>
        <v>#VALUE!</v>
      </c>
      <c r="HE59" s="68" t="e">
        <f t="shared" si="3"/>
        <v>#VALUE!</v>
      </c>
      <c r="HF59" s="68" t="e">
        <f t="shared" si="3"/>
        <v>#VALUE!</v>
      </c>
      <c r="HG59" s="68" t="e">
        <f t="shared" si="3"/>
        <v>#VALUE!</v>
      </c>
      <c r="HH59" s="68" t="e">
        <f t="shared" si="3"/>
        <v>#VALUE!</v>
      </c>
      <c r="HI59" s="68">
        <f t="shared" si="3"/>
        <v>1.4074074074074074E-2</v>
      </c>
      <c r="HJ59" s="68" t="e">
        <f t="shared" si="3"/>
        <v>#VALUE!</v>
      </c>
      <c r="HK59" s="68" t="e">
        <f t="shared" si="3"/>
        <v>#VALUE!</v>
      </c>
      <c r="HL59" s="68" t="e">
        <f t="shared" si="3"/>
        <v>#VALUE!</v>
      </c>
      <c r="HM59" s="68">
        <f t="shared" si="3"/>
        <v>1.7142857142857144E-2</v>
      </c>
      <c r="HN59" s="68">
        <f t="shared" si="3"/>
        <v>2.4999999999999998E-2</v>
      </c>
      <c r="HO59" s="68" t="e">
        <f t="shared" si="3"/>
        <v>#VALUE!</v>
      </c>
      <c r="HP59" s="68" t="e">
        <f t="shared" si="3"/>
        <v>#VALUE!</v>
      </c>
      <c r="HQ59" s="68">
        <f t="shared" si="3"/>
        <v>2.2413793103448276E-2</v>
      </c>
      <c r="HR59" s="68" t="e">
        <f t="shared" si="3"/>
        <v>#VALUE!</v>
      </c>
      <c r="HS59" s="68">
        <f t="shared" si="3"/>
        <v>4.3037974683544304E-2</v>
      </c>
      <c r="HT59" s="68">
        <f t="shared" si="3"/>
        <v>4.2361111111111106E-2</v>
      </c>
      <c r="HU59" s="68">
        <f t="shared" si="3"/>
        <v>3.7837837837837833E-2</v>
      </c>
      <c r="HV59" s="68">
        <f t="shared" si="3"/>
        <v>3.9222222222222221E-2</v>
      </c>
      <c r="HW59" s="68">
        <f t="shared" si="3"/>
        <v>3.9240506329113925E-2</v>
      </c>
      <c r="HX59" s="68" t="e">
        <f t="shared" si="3"/>
        <v>#VALUE!</v>
      </c>
      <c r="HY59" s="68" t="e">
        <f t="shared" si="3"/>
        <v>#VALUE!</v>
      </c>
      <c r="HZ59" s="68" t="e">
        <f t="shared" si="3"/>
        <v>#VALUE!</v>
      </c>
      <c r="IA59" s="68" t="e">
        <f t="shared" si="3"/>
        <v>#VALUE!</v>
      </c>
      <c r="IB59" s="68" t="e">
        <f t="shared" si="3"/>
        <v>#VALUE!</v>
      </c>
      <c r="IC59" s="68" t="e">
        <f t="shared" si="3"/>
        <v>#VALUE!</v>
      </c>
      <c r="ID59" s="68" t="e">
        <f t="shared" si="3"/>
        <v>#VALUE!</v>
      </c>
      <c r="IE59" s="68">
        <f t="shared" si="3"/>
        <v>7.4999999999999997E-2</v>
      </c>
      <c r="IF59" s="68">
        <f t="shared" si="3"/>
        <v>8.8000000000000009E-2</v>
      </c>
      <c r="IG59" s="68" t="e">
        <f t="shared" si="3"/>
        <v>#VALUE!</v>
      </c>
      <c r="IH59" s="68" t="e">
        <f t="shared" si="3"/>
        <v>#VALUE!</v>
      </c>
      <c r="II59" s="68" t="e">
        <f t="shared" si="3"/>
        <v>#VALUE!</v>
      </c>
      <c r="IJ59" s="68" t="e">
        <f t="shared" si="3"/>
        <v>#VALUE!</v>
      </c>
      <c r="IK59" s="68" t="e">
        <f t="shared" si="3"/>
        <v>#VALUE!</v>
      </c>
      <c r="IL59" s="68" t="e">
        <f t="shared" si="3"/>
        <v>#VALUE!</v>
      </c>
      <c r="IM59" s="68" t="e">
        <f t="shared" si="3"/>
        <v>#VALUE!</v>
      </c>
      <c r="IN59" s="68" t="e">
        <f t="shared" si="3"/>
        <v>#VALUE!</v>
      </c>
      <c r="IO59" s="68" t="e">
        <f t="shared" si="3"/>
        <v>#VALUE!</v>
      </c>
      <c r="IP59" s="68">
        <f t="shared" si="3"/>
        <v>6.25E-2</v>
      </c>
      <c r="IQ59" s="68">
        <f t="shared" si="3"/>
        <v>5.7971014492753624E-2</v>
      </c>
      <c r="IR59" s="68">
        <f t="shared" si="3"/>
        <v>6.25E-2</v>
      </c>
      <c r="IS59" s="68">
        <f t="shared" si="3"/>
        <v>4.6875E-2</v>
      </c>
      <c r="IT59" s="68" t="e">
        <f t="shared" si="3"/>
        <v>#VALUE!</v>
      </c>
      <c r="IU59" s="68">
        <f t="shared" si="3"/>
        <v>5.7971014492753624E-2</v>
      </c>
      <c r="IV59" s="68" t="e">
        <f t="shared" si="3"/>
        <v>#VALUE!</v>
      </c>
      <c r="IW59" s="68" t="e">
        <f t="shared" si="3"/>
        <v>#VALUE!</v>
      </c>
      <c r="IX59" s="68" t="e">
        <f t="shared" si="3"/>
        <v>#VALUE!</v>
      </c>
      <c r="IY59" s="68" t="e">
        <f t="shared" ref="IY59:JY59" si="4">+IY21/IY22</f>
        <v>#VALUE!</v>
      </c>
      <c r="IZ59" s="68" t="e">
        <f t="shared" si="4"/>
        <v>#VALUE!</v>
      </c>
      <c r="JA59" s="68" t="e">
        <f t="shared" si="4"/>
        <v>#VALUE!</v>
      </c>
      <c r="JB59" s="68">
        <f t="shared" si="4"/>
        <v>4.7457627118644062E-2</v>
      </c>
      <c r="JC59" s="68">
        <f t="shared" si="4"/>
        <v>3.2500000000000001E-2</v>
      </c>
      <c r="JD59" s="68">
        <f t="shared" si="4"/>
        <v>2.4137931034482758E-2</v>
      </c>
      <c r="JE59" s="68">
        <f t="shared" si="4"/>
        <v>2.0161290322580645E-2</v>
      </c>
      <c r="JF59" s="68">
        <f t="shared" si="4"/>
        <v>2.1568627450980395E-2</v>
      </c>
      <c r="JG59" s="68" t="e">
        <f t="shared" si="4"/>
        <v>#VALUE!</v>
      </c>
      <c r="JH59" s="68" t="e">
        <f t="shared" si="4"/>
        <v>#VALUE!</v>
      </c>
      <c r="JI59" s="68">
        <f t="shared" si="4"/>
        <v>7.5999999999999998E-2</v>
      </c>
      <c r="JJ59" s="68">
        <f t="shared" si="4"/>
        <v>6.7857142857142852E-2</v>
      </c>
      <c r="JK59" s="68">
        <f t="shared" si="4"/>
        <v>7.3913043478260873E-2</v>
      </c>
      <c r="JL59" s="68">
        <f t="shared" si="4"/>
        <v>0.05</v>
      </c>
      <c r="JM59" s="68" t="e">
        <f t="shared" si="4"/>
        <v>#VALUE!</v>
      </c>
      <c r="JN59" s="68">
        <f t="shared" si="4"/>
        <v>2.8333333333333332E-2</v>
      </c>
      <c r="JO59" s="68">
        <f t="shared" si="4"/>
        <v>2.2727272727272728E-2</v>
      </c>
      <c r="JP59" s="68">
        <f t="shared" si="4"/>
        <v>7.6388888888888895E-3</v>
      </c>
      <c r="JQ59" s="68">
        <f t="shared" si="4"/>
        <v>3.2142857142857147E-2</v>
      </c>
      <c r="JR59" s="68">
        <f t="shared" si="4"/>
        <v>3.6363636363636369E-2</v>
      </c>
      <c r="JS59" s="68">
        <f t="shared" si="4"/>
        <v>1.935483870967742E-2</v>
      </c>
      <c r="JT59" s="68">
        <f t="shared" si="4"/>
        <v>7.0000000000000007E-2</v>
      </c>
      <c r="JU59" s="68">
        <f t="shared" si="4"/>
        <v>7.5999999999999998E-2</v>
      </c>
      <c r="JV59" s="68">
        <f t="shared" si="4"/>
        <v>6.7857142857142852E-2</v>
      </c>
      <c r="JW59" s="68">
        <f t="shared" si="4"/>
        <v>7.3913043478260873E-2</v>
      </c>
      <c r="JX59" s="68">
        <f>+JX21/JX22</f>
        <v>0.05</v>
      </c>
      <c r="JY59" s="68">
        <f t="shared" si="4"/>
        <v>4.4000000000000004E-2</v>
      </c>
      <c r="JZ59" s="68"/>
      <c r="KA59" s="68"/>
      <c r="KB59" s="68"/>
      <c r="KC59" s="68"/>
      <c r="KD59" s="68"/>
      <c r="KE59" s="68"/>
      <c r="KF59" s="68"/>
      <c r="KG59" s="68"/>
      <c r="KH59" s="68"/>
      <c r="KI59" s="68"/>
      <c r="KJ59" s="68"/>
      <c r="KK59" s="68"/>
      <c r="KL59" s="68"/>
      <c r="KM59" s="68"/>
      <c r="KN59" s="68"/>
      <c r="KO59" s="68"/>
    </row>
    <row r="60" spans="1:301" x14ac:dyDescent="0.2">
      <c r="A60" s="2"/>
      <c r="C60" s="2"/>
    </row>
    <row r="61" spans="1:301" x14ac:dyDescent="0.2">
      <c r="A61" s="3"/>
      <c r="C61" s="3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4"/>
  <sheetViews>
    <sheetView topLeftCell="A3" zoomScale="70" zoomScaleNormal="70" workbookViewId="0">
      <selection activeCell="K46" sqref="K46"/>
    </sheetView>
  </sheetViews>
  <sheetFormatPr defaultColWidth="8" defaultRowHeight="12.75" x14ac:dyDescent="0.2"/>
  <cols>
    <col min="1" max="1" width="20.140625" style="72" customWidth="1"/>
    <col min="2" max="2" width="15.85546875" style="72" customWidth="1"/>
    <col min="3" max="3" width="16.140625" style="72" customWidth="1"/>
    <col min="4" max="4" width="14.42578125" style="72" bestFit="1" customWidth="1"/>
    <col min="5" max="5" width="14.7109375" style="72" customWidth="1"/>
    <col min="6" max="6" width="14.140625" style="72" customWidth="1"/>
    <col min="7" max="7" width="14.85546875" style="72" customWidth="1"/>
    <col min="8" max="8" width="24.140625" style="72" customWidth="1"/>
    <col min="9" max="9" width="2.42578125" style="72" customWidth="1"/>
    <col min="10" max="16384" width="8" style="72"/>
  </cols>
  <sheetData>
    <row r="1" spans="1:18" ht="28.5" customHeight="1" x14ac:dyDescent="0.2">
      <c r="A1" s="195" t="s">
        <v>321</v>
      </c>
      <c r="B1" s="195"/>
      <c r="C1" s="195"/>
      <c r="D1" s="195"/>
      <c r="E1" s="195"/>
      <c r="F1" s="195"/>
      <c r="G1" s="195"/>
      <c r="H1" s="195"/>
      <c r="I1" s="190"/>
    </row>
    <row r="2" spans="1:18" ht="45" x14ac:dyDescent="0.2">
      <c r="A2" s="111" t="s">
        <v>109</v>
      </c>
      <c r="B2" s="112" t="s">
        <v>110</v>
      </c>
      <c r="C2" s="112" t="s">
        <v>111</v>
      </c>
      <c r="D2" s="112" t="s">
        <v>112</v>
      </c>
      <c r="E2" s="112" t="s">
        <v>113</v>
      </c>
      <c r="F2" s="112" t="s">
        <v>114</v>
      </c>
      <c r="G2" s="112" t="s">
        <v>115</v>
      </c>
      <c r="H2" s="113" t="s">
        <v>116</v>
      </c>
    </row>
    <row r="3" spans="1:18" x14ac:dyDescent="0.2">
      <c r="A3" s="114" t="s">
        <v>117</v>
      </c>
      <c r="B3" s="115">
        <v>44146</v>
      </c>
      <c r="C3" s="115">
        <v>44146</v>
      </c>
      <c r="D3" s="115">
        <v>44146</v>
      </c>
      <c r="E3" s="115">
        <v>44146</v>
      </c>
      <c r="F3" s="115">
        <v>44146</v>
      </c>
      <c r="G3" s="115">
        <v>44146</v>
      </c>
      <c r="H3" s="116"/>
    </row>
    <row r="4" spans="1:18" ht="25.5" x14ac:dyDescent="0.2">
      <c r="A4" s="114" t="s">
        <v>118</v>
      </c>
      <c r="B4" s="117" t="s">
        <v>119</v>
      </c>
      <c r="C4" s="117" t="s">
        <v>120</v>
      </c>
      <c r="D4" s="117" t="s">
        <v>121</v>
      </c>
      <c r="E4" s="117" t="s">
        <v>122</v>
      </c>
      <c r="F4" s="117" t="s">
        <v>123</v>
      </c>
      <c r="G4" s="117" t="s">
        <v>124</v>
      </c>
      <c r="H4" s="118"/>
    </row>
    <row r="5" spans="1:18" ht="25.5" x14ac:dyDescent="0.2">
      <c r="A5" s="119" t="s">
        <v>125</v>
      </c>
      <c r="B5" s="120"/>
      <c r="C5" s="120"/>
      <c r="D5" s="120"/>
      <c r="E5" s="120"/>
      <c r="F5" s="120"/>
      <c r="G5" s="120"/>
      <c r="H5" s="120"/>
    </row>
    <row r="6" spans="1:18" ht="14.25" customHeight="1" x14ac:dyDescent="0.2">
      <c r="A6" s="121" t="s">
        <v>126</v>
      </c>
      <c r="B6" s="161">
        <v>8.4</v>
      </c>
      <c r="C6" s="161">
        <v>8.1999999999999993</v>
      </c>
      <c r="D6" s="161">
        <v>8.5</v>
      </c>
      <c r="E6" s="161">
        <v>7.9</v>
      </c>
      <c r="F6" s="161">
        <v>8.8000000000000007</v>
      </c>
      <c r="G6" s="161">
        <v>8.4</v>
      </c>
      <c r="H6" s="122" t="s">
        <v>127</v>
      </c>
    </row>
    <row r="7" spans="1:18" ht="14.25" customHeight="1" x14ac:dyDescent="0.2">
      <c r="A7" s="121" t="s">
        <v>128</v>
      </c>
      <c r="B7" s="126">
        <v>785</v>
      </c>
      <c r="C7" s="126">
        <v>785</v>
      </c>
      <c r="D7" s="126">
        <v>783</v>
      </c>
      <c r="E7" s="126">
        <v>807</v>
      </c>
      <c r="F7" s="126">
        <v>798</v>
      </c>
      <c r="G7" s="126">
        <v>751</v>
      </c>
      <c r="H7" s="123" t="s">
        <v>129</v>
      </c>
    </row>
    <row r="8" spans="1:18" ht="14.25" customHeight="1" x14ac:dyDescent="0.2">
      <c r="A8" s="121" t="s">
        <v>130</v>
      </c>
      <c r="B8" s="161">
        <v>13.6</v>
      </c>
      <c r="C8" s="161">
        <v>12.3</v>
      </c>
      <c r="D8" s="161">
        <v>13.1</v>
      </c>
      <c r="E8" s="161">
        <v>16</v>
      </c>
      <c r="F8" s="161">
        <v>19.5</v>
      </c>
      <c r="G8" s="161">
        <v>20.6</v>
      </c>
      <c r="H8" s="122" t="s">
        <v>129</v>
      </c>
      <c r="M8" s="72" t="s">
        <v>110</v>
      </c>
      <c r="N8" s="72" t="s">
        <v>111</v>
      </c>
      <c r="O8" s="72" t="s">
        <v>114</v>
      </c>
      <c r="P8" s="72" t="s">
        <v>115</v>
      </c>
      <c r="Q8" s="72" t="s">
        <v>112</v>
      </c>
      <c r="R8" s="72" t="s">
        <v>113</v>
      </c>
    </row>
    <row r="9" spans="1:18" ht="14.25" customHeight="1" x14ac:dyDescent="0.2">
      <c r="A9" s="121" t="s">
        <v>131</v>
      </c>
      <c r="B9" s="161">
        <v>15.3</v>
      </c>
      <c r="C9" s="161">
        <v>15.3</v>
      </c>
      <c r="D9" s="161">
        <v>16.100000000000001</v>
      </c>
      <c r="E9" s="161">
        <v>18.2</v>
      </c>
      <c r="F9" s="161">
        <v>23.4</v>
      </c>
      <c r="G9" s="161">
        <v>22.8</v>
      </c>
      <c r="H9" s="122" t="s">
        <v>129</v>
      </c>
      <c r="M9" s="72" t="s">
        <v>320</v>
      </c>
      <c r="N9" s="72" t="s">
        <v>320</v>
      </c>
      <c r="O9" s="72" t="s">
        <v>320</v>
      </c>
      <c r="P9" s="72">
        <v>0.11</v>
      </c>
      <c r="Q9" s="72" t="s">
        <v>320</v>
      </c>
      <c r="R9" s="72" t="s">
        <v>320</v>
      </c>
    </row>
    <row r="10" spans="1:18" ht="14.25" customHeight="1" x14ac:dyDescent="0.2">
      <c r="A10" s="121" t="s">
        <v>132</v>
      </c>
      <c r="B10" s="161">
        <v>8.6</v>
      </c>
      <c r="C10" s="161">
        <v>8.8000000000000007</v>
      </c>
      <c r="D10" s="161">
        <v>8.1999999999999993</v>
      </c>
      <c r="E10" s="161">
        <v>6.4</v>
      </c>
      <c r="F10" s="161">
        <v>8.4</v>
      </c>
      <c r="G10" s="161">
        <v>8.1</v>
      </c>
      <c r="H10" s="122" t="s">
        <v>129</v>
      </c>
    </row>
    <row r="11" spans="1:18" ht="14.25" customHeight="1" x14ac:dyDescent="0.2">
      <c r="A11" s="121" t="s">
        <v>133</v>
      </c>
      <c r="B11" s="129" t="s">
        <v>134</v>
      </c>
      <c r="C11" s="129" t="s">
        <v>134</v>
      </c>
      <c r="D11" s="129" t="s">
        <v>134</v>
      </c>
      <c r="E11" s="161">
        <v>89.7</v>
      </c>
      <c r="F11" s="129" t="s">
        <v>134</v>
      </c>
      <c r="G11" s="129" t="s">
        <v>134</v>
      </c>
      <c r="H11" s="122" t="s">
        <v>135</v>
      </c>
    </row>
    <row r="12" spans="1:18" ht="14.25" customHeight="1" x14ac:dyDescent="0.2">
      <c r="A12" s="121" t="s">
        <v>136</v>
      </c>
      <c r="B12" s="129" t="s">
        <v>137</v>
      </c>
      <c r="C12" s="129" t="s">
        <v>137</v>
      </c>
      <c r="D12" s="129" t="s">
        <v>137</v>
      </c>
      <c r="E12" s="129" t="s">
        <v>137</v>
      </c>
      <c r="F12" s="129" t="s">
        <v>137</v>
      </c>
      <c r="G12" s="129" t="s">
        <v>137</v>
      </c>
      <c r="H12" s="122" t="s">
        <v>138</v>
      </c>
    </row>
    <row r="13" spans="1:18" ht="14.25" customHeight="1" x14ac:dyDescent="0.2">
      <c r="A13" s="197" t="s">
        <v>139</v>
      </c>
      <c r="B13" s="198"/>
      <c r="C13" s="198"/>
      <c r="D13" s="199"/>
      <c r="E13" s="120"/>
      <c r="F13" s="120"/>
      <c r="G13" s="120"/>
      <c r="H13" s="120"/>
    </row>
    <row r="14" spans="1:18" ht="14.25" customHeight="1" x14ac:dyDescent="0.2">
      <c r="A14" s="119" t="s">
        <v>140</v>
      </c>
      <c r="B14" s="120"/>
      <c r="C14" s="120"/>
      <c r="D14" s="120"/>
      <c r="E14" s="120"/>
      <c r="F14" s="120"/>
      <c r="G14" s="120"/>
      <c r="H14" s="120"/>
    </row>
    <row r="15" spans="1:18" ht="14.25" customHeight="1" x14ac:dyDescent="0.2">
      <c r="A15" s="121" t="s">
        <v>141</v>
      </c>
      <c r="B15" s="124">
        <v>463</v>
      </c>
      <c r="C15" s="125">
        <v>480</v>
      </c>
      <c r="D15" s="125">
        <v>499</v>
      </c>
      <c r="E15" s="126">
        <v>539</v>
      </c>
      <c r="F15" s="126">
        <v>452</v>
      </c>
      <c r="G15" s="126">
        <v>501</v>
      </c>
      <c r="H15" s="123" t="s">
        <v>129</v>
      </c>
    </row>
    <row r="16" spans="1:18" ht="14.25" customHeight="1" x14ac:dyDescent="0.2">
      <c r="A16" s="121" t="s">
        <v>142</v>
      </c>
      <c r="B16" s="130" t="s">
        <v>143</v>
      </c>
      <c r="C16" s="162" t="s">
        <v>143</v>
      </c>
      <c r="D16" s="162" t="s">
        <v>143</v>
      </c>
      <c r="E16" s="129" t="s">
        <v>143</v>
      </c>
      <c r="F16" s="129" t="s">
        <v>143</v>
      </c>
      <c r="G16" s="126">
        <v>5</v>
      </c>
      <c r="H16" s="127" t="s">
        <v>144</v>
      </c>
    </row>
    <row r="17" spans="1:8" ht="14.25" customHeight="1" x14ac:dyDescent="0.2">
      <c r="A17" s="121" t="s">
        <v>145</v>
      </c>
      <c r="B17" s="124">
        <v>492</v>
      </c>
      <c r="C17" s="125">
        <v>508</v>
      </c>
      <c r="D17" s="125">
        <v>511</v>
      </c>
      <c r="E17" s="126">
        <v>550</v>
      </c>
      <c r="F17" s="126">
        <v>460</v>
      </c>
      <c r="G17" s="126">
        <v>515</v>
      </c>
      <c r="H17" s="123" t="s">
        <v>129</v>
      </c>
    </row>
    <row r="18" spans="1:8" ht="14.25" customHeight="1" x14ac:dyDescent="0.2">
      <c r="A18" s="121" t="s">
        <v>146</v>
      </c>
      <c r="B18" s="124">
        <v>378</v>
      </c>
      <c r="C18" s="125">
        <v>384</v>
      </c>
      <c r="D18" s="125">
        <v>444</v>
      </c>
      <c r="E18" s="126">
        <v>436</v>
      </c>
      <c r="F18" s="126">
        <v>358</v>
      </c>
      <c r="G18" s="126">
        <v>421</v>
      </c>
      <c r="H18" s="123" t="s">
        <v>129</v>
      </c>
    </row>
    <row r="19" spans="1:8" ht="14.25" customHeight="1" x14ac:dyDescent="0.2">
      <c r="A19" s="121" t="s">
        <v>147</v>
      </c>
      <c r="B19" s="126">
        <v>114</v>
      </c>
      <c r="C19" s="126">
        <v>124</v>
      </c>
      <c r="D19" s="126">
        <v>67</v>
      </c>
      <c r="E19" s="126">
        <v>114</v>
      </c>
      <c r="F19" s="126">
        <v>102</v>
      </c>
      <c r="G19" s="126">
        <v>94</v>
      </c>
      <c r="H19" s="123" t="s">
        <v>129</v>
      </c>
    </row>
    <row r="20" spans="1:8" ht="14.25" customHeight="1" x14ac:dyDescent="0.2">
      <c r="A20" s="121" t="s">
        <v>148</v>
      </c>
      <c r="B20" s="129" t="s">
        <v>149</v>
      </c>
      <c r="C20" s="129" t="s">
        <v>149</v>
      </c>
      <c r="D20" s="126">
        <v>8</v>
      </c>
      <c r="E20" s="126">
        <v>9</v>
      </c>
      <c r="F20" s="129" t="s">
        <v>149</v>
      </c>
      <c r="G20" s="126">
        <v>11</v>
      </c>
      <c r="H20" s="122" t="s">
        <v>129</v>
      </c>
    </row>
    <row r="21" spans="1:8" ht="14.25" customHeight="1" x14ac:dyDescent="0.2">
      <c r="A21" s="119" t="s">
        <v>150</v>
      </c>
      <c r="B21" s="120"/>
      <c r="C21" s="120"/>
      <c r="D21" s="120"/>
      <c r="E21" s="120"/>
      <c r="F21" s="120"/>
      <c r="G21" s="120"/>
      <c r="H21" s="120"/>
    </row>
    <row r="22" spans="1:8" ht="14.25" customHeight="1" x14ac:dyDescent="0.2">
      <c r="A22" s="121" t="s">
        <v>151</v>
      </c>
      <c r="B22" s="128">
        <v>0.03</v>
      </c>
      <c r="C22" s="128">
        <v>0.43</v>
      </c>
      <c r="D22" s="128">
        <v>0.38</v>
      </c>
      <c r="E22" s="129" t="s">
        <v>152</v>
      </c>
      <c r="F22" s="129" t="s">
        <v>152</v>
      </c>
      <c r="G22" s="130" t="s">
        <v>152</v>
      </c>
      <c r="H22" s="131" t="s">
        <v>129</v>
      </c>
    </row>
    <row r="23" spans="1:8" ht="14.25" customHeight="1" x14ac:dyDescent="0.2">
      <c r="A23" s="121" t="s">
        <v>153</v>
      </c>
      <c r="B23" s="128">
        <v>0.03</v>
      </c>
      <c r="C23" s="128">
        <v>0.33</v>
      </c>
      <c r="D23" s="128">
        <v>0.28999999999999998</v>
      </c>
      <c r="E23" s="129" t="s">
        <v>152</v>
      </c>
      <c r="F23" s="129" t="s">
        <v>152</v>
      </c>
      <c r="G23" s="130" t="s">
        <v>152</v>
      </c>
      <c r="H23" s="132" t="s">
        <v>129</v>
      </c>
    </row>
    <row r="24" spans="1:8" ht="14.25" customHeight="1" x14ac:dyDescent="0.2">
      <c r="A24" s="121" t="s">
        <v>154</v>
      </c>
      <c r="B24" s="129" t="s">
        <v>155</v>
      </c>
      <c r="C24" s="129" t="s">
        <v>155</v>
      </c>
      <c r="D24" s="129" t="s">
        <v>155</v>
      </c>
      <c r="E24" s="129" t="s">
        <v>155</v>
      </c>
      <c r="F24" s="129" t="s">
        <v>155</v>
      </c>
      <c r="G24" s="130" t="s">
        <v>156</v>
      </c>
      <c r="H24" s="133">
        <v>13</v>
      </c>
    </row>
    <row r="25" spans="1:8" ht="14.25" customHeight="1" x14ac:dyDescent="0.2">
      <c r="A25" s="121" t="s">
        <v>157</v>
      </c>
      <c r="B25" s="129" t="s">
        <v>155</v>
      </c>
      <c r="C25" s="129" t="s">
        <v>155</v>
      </c>
      <c r="D25" s="129" t="s">
        <v>155</v>
      </c>
      <c r="E25" s="129" t="s">
        <v>155</v>
      </c>
      <c r="F25" s="129" t="s">
        <v>155</v>
      </c>
      <c r="G25" s="130" t="s">
        <v>156</v>
      </c>
      <c r="H25" s="134">
        <v>0.2</v>
      </c>
    </row>
    <row r="26" spans="1:8" ht="14.25" customHeight="1" x14ac:dyDescent="0.2">
      <c r="A26" s="121" t="s">
        <v>158</v>
      </c>
      <c r="B26" s="129" t="s">
        <v>159</v>
      </c>
      <c r="C26" s="129" t="s">
        <v>159</v>
      </c>
      <c r="D26" s="129" t="s">
        <v>159</v>
      </c>
      <c r="E26" s="129" t="s">
        <v>159</v>
      </c>
      <c r="F26" s="129" t="s">
        <v>159</v>
      </c>
      <c r="G26" s="135" t="s">
        <v>159</v>
      </c>
      <c r="H26" s="136">
        <v>0.01</v>
      </c>
    </row>
    <row r="27" spans="1:8" ht="14.25" customHeight="1" x14ac:dyDescent="0.2">
      <c r="A27" s="121" t="s">
        <v>160</v>
      </c>
      <c r="B27" s="129" t="s">
        <v>159</v>
      </c>
      <c r="C27" s="129" t="s">
        <v>159</v>
      </c>
      <c r="D27" s="129" t="s">
        <v>159</v>
      </c>
      <c r="E27" s="129" t="s">
        <v>159</v>
      </c>
      <c r="F27" s="129" t="s">
        <v>159</v>
      </c>
      <c r="G27" s="135" t="s">
        <v>159</v>
      </c>
      <c r="H27" s="136">
        <v>0.01</v>
      </c>
    </row>
    <row r="28" spans="1:8" ht="14.25" customHeight="1" x14ac:dyDescent="0.2">
      <c r="A28" s="119" t="s">
        <v>161</v>
      </c>
      <c r="B28" s="120"/>
      <c r="C28" s="120"/>
      <c r="D28" s="120"/>
      <c r="E28" s="120"/>
      <c r="F28" s="120"/>
      <c r="G28" s="120"/>
      <c r="H28" s="120"/>
    </row>
    <row r="29" spans="1:8" ht="14.25" customHeight="1" x14ac:dyDescent="0.2">
      <c r="A29" s="121" t="s">
        <v>162</v>
      </c>
      <c r="B29" s="129" t="s">
        <v>163</v>
      </c>
      <c r="C29" s="129" t="s">
        <v>163</v>
      </c>
      <c r="D29" s="129" t="s">
        <v>163</v>
      </c>
      <c r="E29" s="129" t="s">
        <v>163</v>
      </c>
      <c r="F29" s="129" t="s">
        <v>163</v>
      </c>
      <c r="G29" s="129" t="s">
        <v>163</v>
      </c>
      <c r="H29" s="137">
        <v>0.3</v>
      </c>
    </row>
    <row r="30" spans="1:8" ht="14.25" customHeight="1" x14ac:dyDescent="0.2">
      <c r="A30" s="121" t="s">
        <v>164</v>
      </c>
      <c r="B30" s="129" t="s">
        <v>165</v>
      </c>
      <c r="C30" s="129" t="s">
        <v>165</v>
      </c>
      <c r="D30" s="129" t="s">
        <v>165</v>
      </c>
      <c r="E30" s="129" t="s">
        <v>165</v>
      </c>
      <c r="F30" s="129" t="s">
        <v>165</v>
      </c>
      <c r="G30" s="129" t="s">
        <v>165</v>
      </c>
      <c r="H30" s="138">
        <v>20</v>
      </c>
    </row>
    <row r="31" spans="1:8" ht="14.25" customHeight="1" x14ac:dyDescent="0.2">
      <c r="A31" s="121" t="s">
        <v>166</v>
      </c>
      <c r="B31" s="126">
        <v>10</v>
      </c>
      <c r="C31" s="126">
        <v>12</v>
      </c>
      <c r="D31" s="126">
        <v>11</v>
      </c>
      <c r="E31" s="129" t="s">
        <v>143</v>
      </c>
      <c r="F31" s="126">
        <v>6</v>
      </c>
      <c r="G31" s="126">
        <v>5</v>
      </c>
      <c r="H31" s="138">
        <v>40</v>
      </c>
    </row>
    <row r="32" spans="1:8" ht="14.25" customHeight="1" x14ac:dyDescent="0.2">
      <c r="A32" s="121" t="s">
        <v>167</v>
      </c>
      <c r="B32" s="129" t="s">
        <v>168</v>
      </c>
      <c r="C32" s="129" t="s">
        <v>168</v>
      </c>
      <c r="D32" s="129" t="s">
        <v>168</v>
      </c>
      <c r="E32" s="129" t="s">
        <v>168</v>
      </c>
      <c r="F32" s="129" t="s">
        <v>168</v>
      </c>
      <c r="G32" s="129" t="s">
        <v>168</v>
      </c>
      <c r="H32" s="139" t="s">
        <v>129</v>
      </c>
    </row>
    <row r="33" spans="1:11" ht="14.25" customHeight="1" x14ac:dyDescent="0.2">
      <c r="A33" s="197" t="s">
        <v>169</v>
      </c>
      <c r="B33" s="198"/>
      <c r="C33" s="199"/>
      <c r="D33" s="120"/>
      <c r="E33" s="120"/>
      <c r="F33" s="120"/>
      <c r="G33" s="120"/>
      <c r="H33" s="120"/>
    </row>
    <row r="34" spans="1:11" ht="14.25" customHeight="1" x14ac:dyDescent="0.2">
      <c r="A34" s="121" t="s">
        <v>170</v>
      </c>
      <c r="B34" s="126">
        <v>230</v>
      </c>
      <c r="C34" s="126">
        <v>230</v>
      </c>
      <c r="D34" s="126">
        <v>230</v>
      </c>
      <c r="E34" s="126">
        <v>150</v>
      </c>
      <c r="F34" s="126">
        <v>90</v>
      </c>
      <c r="G34" s="126">
        <v>90</v>
      </c>
      <c r="H34" s="123" t="s">
        <v>129</v>
      </c>
    </row>
    <row r="35" spans="1:11" ht="14.25" customHeight="1" x14ac:dyDescent="0.2">
      <c r="A35" s="121" t="s">
        <v>171</v>
      </c>
      <c r="B35" s="140">
        <v>2400</v>
      </c>
      <c r="C35" s="141">
        <v>11000</v>
      </c>
      <c r="D35" s="126">
        <v>2000</v>
      </c>
      <c r="E35" s="126">
        <v>4600</v>
      </c>
      <c r="F35" s="126">
        <v>930</v>
      </c>
      <c r="G35" s="126">
        <v>430</v>
      </c>
      <c r="H35" s="142" t="s">
        <v>129</v>
      </c>
    </row>
    <row r="36" spans="1:11" ht="14.25" customHeight="1" x14ac:dyDescent="0.2">
      <c r="A36" s="119" t="s">
        <v>172</v>
      </c>
      <c r="B36" s="120"/>
      <c r="C36" s="120"/>
      <c r="D36" s="120"/>
      <c r="E36" s="120"/>
      <c r="F36" s="120"/>
      <c r="G36" s="120"/>
      <c r="H36" s="120"/>
    </row>
    <row r="37" spans="1:11" ht="14.25" customHeight="1" x14ac:dyDescent="0.2">
      <c r="A37" s="121" t="s">
        <v>173</v>
      </c>
      <c r="B37" s="135" t="s">
        <v>174</v>
      </c>
      <c r="C37" s="143" t="s">
        <v>174</v>
      </c>
      <c r="D37" s="143" t="s">
        <v>174</v>
      </c>
      <c r="E37" s="129" t="s">
        <v>174</v>
      </c>
      <c r="F37" s="129" t="s">
        <v>174</v>
      </c>
      <c r="G37" s="129" t="s">
        <v>174</v>
      </c>
      <c r="H37" s="144">
        <v>1E-3</v>
      </c>
    </row>
    <row r="38" spans="1:11" ht="14.25" customHeight="1" x14ac:dyDescent="0.2">
      <c r="A38" s="121" t="s">
        <v>175</v>
      </c>
      <c r="B38" s="135" t="s">
        <v>176</v>
      </c>
      <c r="C38" s="145">
        <v>2.5999999999999999E-2</v>
      </c>
      <c r="D38" s="145">
        <v>7.0000000000000001E-3</v>
      </c>
      <c r="E38" s="145">
        <v>1.4999999999999999E-2</v>
      </c>
      <c r="F38" s="129" t="s">
        <v>176</v>
      </c>
      <c r="G38" s="145">
        <v>1.4E-2</v>
      </c>
      <c r="H38" s="144">
        <v>5.0000000000000001E-3</v>
      </c>
    </row>
    <row r="39" spans="1:11" ht="14.25" customHeight="1" x14ac:dyDescent="0.2">
      <c r="A39" s="121" t="s">
        <v>177</v>
      </c>
      <c r="B39" s="135" t="s">
        <v>178</v>
      </c>
      <c r="C39" s="143" t="s">
        <v>178</v>
      </c>
      <c r="D39" s="143" t="s">
        <v>178</v>
      </c>
      <c r="E39" s="129" t="s">
        <v>178</v>
      </c>
      <c r="F39" s="129" t="s">
        <v>178</v>
      </c>
      <c r="G39" s="146">
        <v>1E-3</v>
      </c>
      <c r="H39" s="144">
        <v>3.2000000000000001E-2</v>
      </c>
    </row>
    <row r="40" spans="1:11" ht="14.25" customHeight="1" x14ac:dyDescent="0.2">
      <c r="A40" s="121" t="s">
        <v>179</v>
      </c>
      <c r="B40" s="135" t="s">
        <v>156</v>
      </c>
      <c r="C40" s="147" t="s">
        <v>156</v>
      </c>
      <c r="D40" s="129" t="s">
        <v>156</v>
      </c>
      <c r="E40" s="129" t="s">
        <v>156</v>
      </c>
      <c r="F40" s="129" t="s">
        <v>156</v>
      </c>
      <c r="G40" s="129" t="s">
        <v>156</v>
      </c>
      <c r="H40" s="122" t="s">
        <v>129</v>
      </c>
    </row>
    <row r="41" spans="1:11" ht="14.25" customHeight="1" x14ac:dyDescent="0.2">
      <c r="A41" s="121" t="s">
        <v>180</v>
      </c>
      <c r="B41" s="135" t="s">
        <v>152</v>
      </c>
      <c r="C41" s="147" t="s">
        <v>152</v>
      </c>
      <c r="D41" s="129" t="s">
        <v>152</v>
      </c>
      <c r="E41" s="129" t="s">
        <v>152</v>
      </c>
      <c r="F41" s="129" t="s">
        <v>152</v>
      </c>
      <c r="G41" s="128">
        <v>0.11</v>
      </c>
      <c r="H41" s="148">
        <v>0.3</v>
      </c>
    </row>
    <row r="42" spans="1:11" ht="14.25" customHeight="1" x14ac:dyDescent="0.2">
      <c r="A42" s="121" t="s">
        <v>181</v>
      </c>
      <c r="B42" s="128">
        <v>0.16</v>
      </c>
      <c r="C42" s="128">
        <v>0.15</v>
      </c>
      <c r="D42" s="128">
        <v>0.14000000000000001</v>
      </c>
      <c r="E42" s="149">
        <v>4.7000000000000002E-3</v>
      </c>
      <c r="F42" s="128">
        <v>0.14000000000000001</v>
      </c>
      <c r="G42" s="128">
        <v>0.1</v>
      </c>
      <c r="H42" s="122" t="s">
        <v>129</v>
      </c>
    </row>
    <row r="43" spans="1:11" ht="14.25" customHeight="1" x14ac:dyDescent="0.2">
      <c r="A43" s="121" t="s">
        <v>182</v>
      </c>
      <c r="B43" s="150">
        <v>6.7000000000000004E-2</v>
      </c>
      <c r="C43" s="151">
        <v>0.18</v>
      </c>
      <c r="D43" s="151">
        <v>0.19</v>
      </c>
      <c r="E43" s="146">
        <v>9.4E-2</v>
      </c>
      <c r="F43" s="146">
        <v>3.3000000000000002E-2</v>
      </c>
      <c r="G43" s="146">
        <v>7.1999999999999995E-2</v>
      </c>
      <c r="H43" s="148">
        <v>0.1</v>
      </c>
    </row>
    <row r="44" spans="1:11" ht="14.25" customHeight="1" x14ac:dyDescent="0.2">
      <c r="A44" s="121" t="s">
        <v>183</v>
      </c>
      <c r="B44" s="135" t="s">
        <v>174</v>
      </c>
      <c r="C44" s="143" t="s">
        <v>174</v>
      </c>
      <c r="D44" s="143" t="s">
        <v>174</v>
      </c>
      <c r="E44" s="129" t="s">
        <v>174</v>
      </c>
      <c r="F44" s="129" t="s">
        <v>174</v>
      </c>
      <c r="G44" s="129" t="s">
        <v>174</v>
      </c>
      <c r="H44" s="152">
        <v>2.0000000000000001E-4</v>
      </c>
    </row>
    <row r="45" spans="1:11" ht="14.25" customHeight="1" x14ac:dyDescent="0.2">
      <c r="A45" s="121" t="s">
        <v>184</v>
      </c>
      <c r="B45" s="135" t="s">
        <v>159</v>
      </c>
      <c r="C45" s="147" t="s">
        <v>159</v>
      </c>
      <c r="D45" s="147" t="s">
        <v>159</v>
      </c>
      <c r="E45" s="129" t="s">
        <v>159</v>
      </c>
      <c r="F45" s="146">
        <v>8.9999999999999993E-3</v>
      </c>
      <c r="G45" s="129" t="s">
        <v>159</v>
      </c>
      <c r="H45" s="144">
        <v>2.5000000000000001E-2</v>
      </c>
    </row>
    <row r="46" spans="1:11" ht="14.25" customHeight="1" x14ac:dyDescent="0.2">
      <c r="A46" s="121" t="s">
        <v>185</v>
      </c>
      <c r="B46" s="135" t="s">
        <v>186</v>
      </c>
      <c r="C46" s="143" t="s">
        <v>186</v>
      </c>
      <c r="D46" s="143" t="s">
        <v>186</v>
      </c>
      <c r="E46" s="129" t="s">
        <v>186</v>
      </c>
      <c r="F46" s="129" t="s">
        <v>186</v>
      </c>
      <c r="G46" s="145">
        <v>1.6E-2</v>
      </c>
      <c r="H46" s="144">
        <v>1E-3</v>
      </c>
      <c r="K46" s="72">
        <f>+H46*1000</f>
        <v>1</v>
      </c>
    </row>
    <row r="47" spans="1:11" ht="14.25" customHeight="1" x14ac:dyDescent="0.2">
      <c r="A47" s="121" t="s">
        <v>187</v>
      </c>
      <c r="B47" s="135" t="s">
        <v>176</v>
      </c>
      <c r="C47" s="147" t="s">
        <v>176</v>
      </c>
      <c r="D47" s="147" t="s">
        <v>176</v>
      </c>
      <c r="E47" s="129" t="s">
        <v>176</v>
      </c>
      <c r="F47" s="129" t="s">
        <v>176</v>
      </c>
      <c r="G47" s="146">
        <v>5.0000000000000001E-3</v>
      </c>
      <c r="H47" s="153">
        <v>0.03</v>
      </c>
    </row>
    <row r="48" spans="1:11" ht="14.25" customHeight="1" x14ac:dyDescent="0.2">
      <c r="A48" s="197" t="s">
        <v>188</v>
      </c>
      <c r="B48" s="198"/>
      <c r="C48" s="199"/>
      <c r="D48" s="120"/>
      <c r="E48" s="120"/>
      <c r="F48" s="120"/>
      <c r="G48" s="120"/>
      <c r="H48" s="120"/>
    </row>
    <row r="49" spans="1:8" ht="14.25" customHeight="1" x14ac:dyDescent="0.2">
      <c r="A49" s="121" t="s">
        <v>189</v>
      </c>
      <c r="B49" s="135" t="s">
        <v>174</v>
      </c>
      <c r="C49" s="129" t="s">
        <v>174</v>
      </c>
      <c r="D49" s="135" t="s">
        <v>174</v>
      </c>
      <c r="E49" s="129" t="s">
        <v>174</v>
      </c>
      <c r="F49" s="143" t="s">
        <v>174</v>
      </c>
      <c r="G49" s="135" t="s">
        <v>174</v>
      </c>
      <c r="H49" s="122" t="s">
        <v>129</v>
      </c>
    </row>
    <row r="50" spans="1:8" ht="14.25" customHeight="1" x14ac:dyDescent="0.2">
      <c r="A50" s="121" t="s">
        <v>190</v>
      </c>
      <c r="B50" s="135" t="s">
        <v>174</v>
      </c>
      <c r="C50" s="129" t="s">
        <v>174</v>
      </c>
      <c r="D50" s="135" t="s">
        <v>174</v>
      </c>
      <c r="E50" s="129" t="s">
        <v>174</v>
      </c>
      <c r="F50" s="143" t="s">
        <v>174</v>
      </c>
      <c r="G50" s="135" t="s">
        <v>174</v>
      </c>
      <c r="H50" s="122" t="s">
        <v>129</v>
      </c>
    </row>
    <row r="51" spans="1:8" ht="14.25" customHeight="1" x14ac:dyDescent="0.2">
      <c r="A51" s="121" t="s">
        <v>191</v>
      </c>
      <c r="B51" s="135" t="s">
        <v>174</v>
      </c>
      <c r="C51" s="129" t="s">
        <v>174</v>
      </c>
      <c r="D51" s="135" t="s">
        <v>174</v>
      </c>
      <c r="E51" s="129" t="s">
        <v>174</v>
      </c>
      <c r="F51" s="143" t="s">
        <v>174</v>
      </c>
      <c r="G51" s="135" t="s">
        <v>174</v>
      </c>
      <c r="H51" s="123" t="s">
        <v>129</v>
      </c>
    </row>
    <row r="52" spans="1:8" ht="14.25" customHeight="1" x14ac:dyDescent="0.2">
      <c r="A52" s="121" t="s">
        <v>192</v>
      </c>
      <c r="B52" s="135" t="s">
        <v>174</v>
      </c>
      <c r="C52" s="129" t="s">
        <v>174</v>
      </c>
      <c r="D52" s="135" t="s">
        <v>174</v>
      </c>
      <c r="E52" s="129" t="s">
        <v>174</v>
      </c>
      <c r="F52" s="129" t="s">
        <v>174</v>
      </c>
      <c r="G52" s="135" t="s">
        <v>174</v>
      </c>
      <c r="H52" s="123" t="s">
        <v>129</v>
      </c>
    </row>
    <row r="53" spans="1:8" ht="14.25" customHeight="1" x14ac:dyDescent="0.2">
      <c r="A53" s="121" t="s">
        <v>193</v>
      </c>
      <c r="B53" s="135" t="s">
        <v>174</v>
      </c>
      <c r="C53" s="129" t="s">
        <v>174</v>
      </c>
      <c r="D53" s="135" t="s">
        <v>174</v>
      </c>
      <c r="E53" s="129" t="s">
        <v>174</v>
      </c>
      <c r="F53" s="129" t="s">
        <v>174</v>
      </c>
      <c r="G53" s="135" t="s">
        <v>174</v>
      </c>
      <c r="H53" s="123" t="s">
        <v>129</v>
      </c>
    </row>
    <row r="54" spans="1:8" ht="14.25" customHeight="1" x14ac:dyDescent="0.2">
      <c r="A54" s="121" t="s">
        <v>194</v>
      </c>
      <c r="B54" s="135" t="s">
        <v>174</v>
      </c>
      <c r="C54" s="129" t="s">
        <v>174</v>
      </c>
      <c r="D54" s="135" t="s">
        <v>174</v>
      </c>
      <c r="E54" s="129" t="s">
        <v>174</v>
      </c>
      <c r="F54" s="129" t="s">
        <v>174</v>
      </c>
      <c r="G54" s="135" t="s">
        <v>174</v>
      </c>
      <c r="H54" s="123" t="s">
        <v>129</v>
      </c>
    </row>
    <row r="55" spans="1:8" ht="14.25" customHeight="1" x14ac:dyDescent="0.2">
      <c r="A55" s="121" t="s">
        <v>195</v>
      </c>
      <c r="B55" s="154" t="s">
        <v>196</v>
      </c>
      <c r="C55" s="129" t="s">
        <v>196</v>
      </c>
      <c r="D55" s="143" t="s">
        <v>196</v>
      </c>
      <c r="E55" s="129" t="s">
        <v>196</v>
      </c>
      <c r="F55" s="129" t="s">
        <v>196</v>
      </c>
      <c r="G55" s="143" t="s">
        <v>196</v>
      </c>
      <c r="H55" s="123" t="s">
        <v>129</v>
      </c>
    </row>
    <row r="56" spans="1:8" ht="14.25" customHeight="1" x14ac:dyDescent="0.2">
      <c r="A56" s="121" t="s">
        <v>197</v>
      </c>
      <c r="B56" s="154" t="s">
        <v>196</v>
      </c>
      <c r="C56" s="129" t="s">
        <v>196</v>
      </c>
      <c r="D56" s="143" t="s">
        <v>196</v>
      </c>
      <c r="E56" s="129" t="s">
        <v>196</v>
      </c>
      <c r="F56" s="129" t="s">
        <v>196</v>
      </c>
      <c r="G56" s="143" t="s">
        <v>196</v>
      </c>
      <c r="H56" s="123" t="s">
        <v>129</v>
      </c>
    </row>
    <row r="57" spans="1:8" ht="14.25" customHeight="1" x14ac:dyDescent="0.2">
      <c r="A57" s="121" t="s">
        <v>198</v>
      </c>
      <c r="B57" s="135" t="s">
        <v>174</v>
      </c>
      <c r="C57" s="129" t="s">
        <v>174</v>
      </c>
      <c r="D57" s="135" t="s">
        <v>174</v>
      </c>
      <c r="E57" s="129" t="s">
        <v>174</v>
      </c>
      <c r="F57" s="129" t="s">
        <v>174</v>
      </c>
      <c r="G57" s="135" t="s">
        <v>174</v>
      </c>
      <c r="H57" s="122" t="s">
        <v>129</v>
      </c>
    </row>
    <row r="58" spans="1:8" ht="14.25" customHeight="1" x14ac:dyDescent="0.2">
      <c r="A58" s="121" t="s">
        <v>199</v>
      </c>
      <c r="B58" s="135" t="s">
        <v>174</v>
      </c>
      <c r="C58" s="129" t="s">
        <v>174</v>
      </c>
      <c r="D58" s="135" t="s">
        <v>174</v>
      </c>
      <c r="E58" s="129" t="s">
        <v>174</v>
      </c>
      <c r="F58" s="129" t="s">
        <v>174</v>
      </c>
      <c r="G58" s="135" t="s">
        <v>174</v>
      </c>
      <c r="H58" s="123" t="s">
        <v>129</v>
      </c>
    </row>
    <row r="59" spans="1:8" ht="14.25" customHeight="1" x14ac:dyDescent="0.2">
      <c r="A59" s="121" t="s">
        <v>200</v>
      </c>
      <c r="B59" s="154" t="s">
        <v>196</v>
      </c>
      <c r="C59" s="129" t="s">
        <v>196</v>
      </c>
      <c r="D59" s="143" t="s">
        <v>196</v>
      </c>
      <c r="E59" s="129" t="s">
        <v>196</v>
      </c>
      <c r="F59" s="129" t="s">
        <v>196</v>
      </c>
      <c r="G59" s="143" t="s">
        <v>196</v>
      </c>
      <c r="H59" s="122" t="s">
        <v>129</v>
      </c>
    </row>
    <row r="60" spans="1:8" ht="14.25" customHeight="1" x14ac:dyDescent="0.2">
      <c r="A60" s="121" t="s">
        <v>201</v>
      </c>
      <c r="B60" s="135" t="s">
        <v>174</v>
      </c>
      <c r="C60" s="129" t="s">
        <v>174</v>
      </c>
      <c r="D60" s="135" t="s">
        <v>174</v>
      </c>
      <c r="E60" s="129" t="s">
        <v>174</v>
      </c>
      <c r="F60" s="129" t="s">
        <v>174</v>
      </c>
      <c r="G60" s="135" t="s">
        <v>174</v>
      </c>
      <c r="H60" s="122" t="s">
        <v>129</v>
      </c>
    </row>
    <row r="61" spans="1:8" ht="14.25" customHeight="1" x14ac:dyDescent="0.2">
      <c r="A61" s="121" t="s">
        <v>202</v>
      </c>
      <c r="B61" s="135" t="s">
        <v>174</v>
      </c>
      <c r="C61" s="129" t="s">
        <v>174</v>
      </c>
      <c r="D61" s="135" t="s">
        <v>174</v>
      </c>
      <c r="E61" s="129" t="s">
        <v>174</v>
      </c>
      <c r="F61" s="129" t="s">
        <v>174</v>
      </c>
      <c r="G61" s="135" t="s">
        <v>174</v>
      </c>
      <c r="H61" s="122" t="s">
        <v>129</v>
      </c>
    </row>
    <row r="62" spans="1:8" ht="14.25" customHeight="1" x14ac:dyDescent="0.2">
      <c r="A62" s="121" t="s">
        <v>203</v>
      </c>
      <c r="B62" s="135" t="s">
        <v>174</v>
      </c>
      <c r="C62" s="129" t="s">
        <v>174</v>
      </c>
      <c r="D62" s="135" t="s">
        <v>174</v>
      </c>
      <c r="E62" s="129" t="s">
        <v>174</v>
      </c>
      <c r="F62" s="129" t="s">
        <v>174</v>
      </c>
      <c r="G62" s="135" t="s">
        <v>174</v>
      </c>
      <c r="H62" s="123" t="s">
        <v>129</v>
      </c>
    </row>
    <row r="63" spans="1:8" ht="14.25" customHeight="1" x14ac:dyDescent="0.2">
      <c r="A63" s="121" t="s">
        <v>204</v>
      </c>
      <c r="B63" s="135" t="s">
        <v>174</v>
      </c>
      <c r="C63" s="129" t="s">
        <v>174</v>
      </c>
      <c r="D63" s="135" t="s">
        <v>174</v>
      </c>
      <c r="E63" s="129" t="s">
        <v>174</v>
      </c>
      <c r="F63" s="129" t="s">
        <v>174</v>
      </c>
      <c r="G63" s="135" t="s">
        <v>174</v>
      </c>
      <c r="H63" s="122" t="s">
        <v>129</v>
      </c>
    </row>
    <row r="64" spans="1:8" ht="14.25" customHeight="1" x14ac:dyDescent="0.2">
      <c r="A64" s="121" t="s">
        <v>205</v>
      </c>
      <c r="B64" s="135" t="s">
        <v>174</v>
      </c>
      <c r="C64" s="129" t="s">
        <v>174</v>
      </c>
      <c r="D64" s="135" t="s">
        <v>174</v>
      </c>
      <c r="E64" s="129" t="s">
        <v>174</v>
      </c>
      <c r="F64" s="129" t="s">
        <v>174</v>
      </c>
      <c r="G64" s="135" t="s">
        <v>174</v>
      </c>
      <c r="H64" s="123" t="s">
        <v>129</v>
      </c>
    </row>
    <row r="65" spans="1:8" ht="14.25" customHeight="1" x14ac:dyDescent="0.2">
      <c r="A65" s="121" t="s">
        <v>206</v>
      </c>
      <c r="B65" s="135" t="s">
        <v>174</v>
      </c>
      <c r="C65" s="129" t="s">
        <v>174</v>
      </c>
      <c r="D65" s="135" t="s">
        <v>174</v>
      </c>
      <c r="E65" s="129" t="s">
        <v>174</v>
      </c>
      <c r="F65" s="129" t="s">
        <v>174</v>
      </c>
      <c r="G65" s="135" t="s">
        <v>174</v>
      </c>
      <c r="H65" s="139" t="s">
        <v>129</v>
      </c>
    </row>
    <row r="66" spans="1:8" ht="14.25" customHeight="1" x14ac:dyDescent="0.2">
      <c r="A66" s="121" t="s">
        <v>207</v>
      </c>
      <c r="B66" s="135" t="s">
        <v>174</v>
      </c>
      <c r="C66" s="129" t="s">
        <v>174</v>
      </c>
      <c r="D66" s="135" t="s">
        <v>174</v>
      </c>
      <c r="E66" s="129" t="s">
        <v>174</v>
      </c>
      <c r="F66" s="129" t="s">
        <v>174</v>
      </c>
      <c r="G66" s="135" t="s">
        <v>174</v>
      </c>
      <c r="H66" s="139" t="s">
        <v>129</v>
      </c>
    </row>
    <row r="67" spans="1:8" ht="14.25" customHeight="1" x14ac:dyDescent="0.2">
      <c r="A67" s="121" t="s">
        <v>208</v>
      </c>
      <c r="B67" s="135" t="s">
        <v>174</v>
      </c>
      <c r="C67" s="129" t="s">
        <v>174</v>
      </c>
      <c r="D67" s="135" t="s">
        <v>174</v>
      </c>
      <c r="E67" s="129" t="s">
        <v>174</v>
      </c>
      <c r="F67" s="129" t="s">
        <v>174</v>
      </c>
      <c r="G67" s="135" t="s">
        <v>174</v>
      </c>
      <c r="H67" s="139" t="s">
        <v>129</v>
      </c>
    </row>
    <row r="68" spans="1:8" ht="14.25" customHeight="1" x14ac:dyDescent="0.2">
      <c r="A68" s="121" t="s">
        <v>209</v>
      </c>
      <c r="B68" s="135" t="s">
        <v>174</v>
      </c>
      <c r="C68" s="129" t="s">
        <v>174</v>
      </c>
      <c r="D68" s="135" t="s">
        <v>174</v>
      </c>
      <c r="E68" s="129" t="s">
        <v>174</v>
      </c>
      <c r="F68" s="129" t="s">
        <v>174</v>
      </c>
      <c r="G68" s="135" t="s">
        <v>174</v>
      </c>
      <c r="H68" s="139" t="s">
        <v>129</v>
      </c>
    </row>
    <row r="69" spans="1:8" ht="14.25" customHeight="1" x14ac:dyDescent="0.2">
      <c r="A69" s="121" t="s">
        <v>210</v>
      </c>
      <c r="B69" s="135" t="s">
        <v>174</v>
      </c>
      <c r="C69" s="129" t="s">
        <v>174</v>
      </c>
      <c r="D69" s="135" t="s">
        <v>174</v>
      </c>
      <c r="E69" s="129" t="s">
        <v>174</v>
      </c>
      <c r="F69" s="129" t="s">
        <v>174</v>
      </c>
      <c r="G69" s="135" t="s">
        <v>174</v>
      </c>
      <c r="H69" s="139" t="s">
        <v>129</v>
      </c>
    </row>
    <row r="70" spans="1:8" ht="14.25" customHeight="1" x14ac:dyDescent="0.2">
      <c r="A70" s="121" t="s">
        <v>211</v>
      </c>
      <c r="B70" s="135" t="s">
        <v>174</v>
      </c>
      <c r="C70" s="129" t="s">
        <v>174</v>
      </c>
      <c r="D70" s="135" t="s">
        <v>174</v>
      </c>
      <c r="E70" s="129" t="s">
        <v>174</v>
      </c>
      <c r="F70" s="129" t="s">
        <v>174</v>
      </c>
      <c r="G70" s="135" t="s">
        <v>174</v>
      </c>
      <c r="H70" s="139" t="s">
        <v>129</v>
      </c>
    </row>
    <row r="71" spans="1:8" ht="14.25" customHeight="1" x14ac:dyDescent="0.2">
      <c r="A71" s="121" t="s">
        <v>212</v>
      </c>
      <c r="B71" s="135" t="s">
        <v>174</v>
      </c>
      <c r="C71" s="129" t="s">
        <v>174</v>
      </c>
      <c r="D71" s="135" t="s">
        <v>174</v>
      </c>
      <c r="E71" s="129" t="s">
        <v>174</v>
      </c>
      <c r="F71" s="129" t="s">
        <v>174</v>
      </c>
      <c r="G71" s="135" t="s">
        <v>174</v>
      </c>
      <c r="H71" s="139" t="s">
        <v>129</v>
      </c>
    </row>
    <row r="72" spans="1:8" ht="14.25" customHeight="1" x14ac:dyDescent="0.2">
      <c r="A72" s="121" t="s">
        <v>213</v>
      </c>
      <c r="B72" s="154" t="s">
        <v>196</v>
      </c>
      <c r="C72" s="129" t="s">
        <v>196</v>
      </c>
      <c r="D72" s="143" t="s">
        <v>196</v>
      </c>
      <c r="E72" s="129" t="s">
        <v>196</v>
      </c>
      <c r="F72" s="129" t="s">
        <v>196</v>
      </c>
      <c r="G72" s="143" t="s">
        <v>196</v>
      </c>
      <c r="H72" s="155" t="s">
        <v>129</v>
      </c>
    </row>
    <row r="73" spans="1:8" ht="14.25" customHeight="1" x14ac:dyDescent="0.2">
      <c r="A73" s="121" t="s">
        <v>214</v>
      </c>
      <c r="B73" s="135" t="s">
        <v>174</v>
      </c>
      <c r="C73" s="129" t="s">
        <v>174</v>
      </c>
      <c r="D73" s="135" t="s">
        <v>174</v>
      </c>
      <c r="E73" s="129" t="s">
        <v>174</v>
      </c>
      <c r="F73" s="129" t="s">
        <v>174</v>
      </c>
      <c r="G73" s="135" t="s">
        <v>174</v>
      </c>
      <c r="H73" s="139" t="s">
        <v>129</v>
      </c>
    </row>
    <row r="74" spans="1:8" ht="14.25" customHeight="1" x14ac:dyDescent="0.2">
      <c r="A74" s="121" t="s">
        <v>215</v>
      </c>
      <c r="B74" s="135" t="s">
        <v>174</v>
      </c>
      <c r="C74" s="129" t="s">
        <v>174</v>
      </c>
      <c r="D74" s="135" t="s">
        <v>174</v>
      </c>
      <c r="E74" s="129" t="s">
        <v>174</v>
      </c>
      <c r="F74" s="129" t="s">
        <v>174</v>
      </c>
      <c r="G74" s="135" t="s">
        <v>174</v>
      </c>
      <c r="H74" s="139" t="s">
        <v>129</v>
      </c>
    </row>
    <row r="75" spans="1:8" ht="14.25" customHeight="1" x14ac:dyDescent="0.2">
      <c r="A75" s="156" t="s">
        <v>216</v>
      </c>
      <c r="B75" s="135" t="s">
        <v>174</v>
      </c>
      <c r="C75" s="129" t="s">
        <v>174</v>
      </c>
      <c r="D75" s="135" t="s">
        <v>174</v>
      </c>
      <c r="E75" s="129" t="s">
        <v>174</v>
      </c>
      <c r="F75" s="129" t="s">
        <v>174</v>
      </c>
      <c r="G75" s="135" t="s">
        <v>174</v>
      </c>
      <c r="H75" s="157">
        <v>0.01</v>
      </c>
    </row>
    <row r="76" spans="1:8" ht="14.25" customHeight="1" x14ac:dyDescent="0.2">
      <c r="A76" s="197" t="s">
        <v>217</v>
      </c>
      <c r="B76" s="198"/>
      <c r="C76" s="199"/>
      <c r="D76" s="120"/>
      <c r="E76" s="120"/>
      <c r="F76" s="120"/>
      <c r="G76" s="120"/>
      <c r="H76" s="120"/>
    </row>
    <row r="77" spans="1:8" ht="14.25" customHeight="1" x14ac:dyDescent="0.2">
      <c r="A77" s="121" t="s">
        <v>218</v>
      </c>
      <c r="B77" s="135" t="s">
        <v>159</v>
      </c>
      <c r="C77" s="147" t="s">
        <v>159</v>
      </c>
      <c r="D77" s="147" t="s">
        <v>159</v>
      </c>
      <c r="E77" s="129" t="s">
        <v>159</v>
      </c>
      <c r="F77" s="129" t="s">
        <v>159</v>
      </c>
      <c r="G77" s="143" t="s">
        <v>159</v>
      </c>
      <c r="H77" s="123" t="s">
        <v>129</v>
      </c>
    </row>
    <row r="78" spans="1:8" ht="14.25" customHeight="1" x14ac:dyDescent="0.2">
      <c r="A78" s="121" t="s">
        <v>219</v>
      </c>
      <c r="B78" s="135" t="s">
        <v>174</v>
      </c>
      <c r="C78" s="143" t="s">
        <v>174</v>
      </c>
      <c r="D78" s="143" t="s">
        <v>174</v>
      </c>
      <c r="E78" s="129" t="s">
        <v>174</v>
      </c>
      <c r="F78" s="129" t="s">
        <v>174</v>
      </c>
      <c r="G78" s="143" t="s">
        <v>174</v>
      </c>
      <c r="H78" s="122" t="s">
        <v>129</v>
      </c>
    </row>
    <row r="79" spans="1:8" ht="14.25" customHeight="1" x14ac:dyDescent="0.2">
      <c r="A79" s="121" t="s">
        <v>220</v>
      </c>
      <c r="B79" s="135" t="s">
        <v>174</v>
      </c>
      <c r="C79" s="143" t="s">
        <v>174</v>
      </c>
      <c r="D79" s="143" t="s">
        <v>174</v>
      </c>
      <c r="E79" s="129" t="s">
        <v>174</v>
      </c>
      <c r="F79" s="129" t="s">
        <v>174</v>
      </c>
      <c r="G79" s="143" t="s">
        <v>174</v>
      </c>
      <c r="H79" s="123" t="s">
        <v>129</v>
      </c>
    </row>
    <row r="80" spans="1:8" ht="14.25" customHeight="1" x14ac:dyDescent="0.2">
      <c r="A80" s="121" t="s">
        <v>221</v>
      </c>
      <c r="B80" s="135" t="s">
        <v>159</v>
      </c>
      <c r="C80" s="147" t="s">
        <v>159</v>
      </c>
      <c r="D80" s="147" t="s">
        <v>159</v>
      </c>
      <c r="E80" s="129" t="s">
        <v>159</v>
      </c>
      <c r="F80" s="129" t="s">
        <v>159</v>
      </c>
      <c r="G80" s="143" t="s">
        <v>159</v>
      </c>
      <c r="H80" s="122" t="s">
        <v>129</v>
      </c>
    </row>
    <row r="81" spans="1:9" ht="14.25" customHeight="1" x14ac:dyDescent="0.2">
      <c r="A81" s="121" t="s">
        <v>222</v>
      </c>
      <c r="B81" s="135" t="s">
        <v>174</v>
      </c>
      <c r="C81" s="129" t="s">
        <v>174</v>
      </c>
      <c r="D81" s="135" t="s">
        <v>174</v>
      </c>
      <c r="E81" s="129" t="s">
        <v>174</v>
      </c>
      <c r="F81" s="129" t="s">
        <v>174</v>
      </c>
      <c r="G81" s="135" t="s">
        <v>174</v>
      </c>
      <c r="H81" s="155" t="s">
        <v>129</v>
      </c>
    </row>
    <row r="82" spans="1:9" ht="14.25" customHeight="1" x14ac:dyDescent="0.2">
      <c r="A82" s="121" t="s">
        <v>223</v>
      </c>
      <c r="B82" s="154" t="s">
        <v>196</v>
      </c>
      <c r="C82" s="129" t="s">
        <v>196</v>
      </c>
      <c r="D82" s="143" t="s">
        <v>196</v>
      </c>
      <c r="E82" s="129" t="s">
        <v>196</v>
      </c>
      <c r="F82" s="129" t="s">
        <v>196</v>
      </c>
      <c r="G82" s="143" t="s">
        <v>196</v>
      </c>
      <c r="H82" s="155" t="s">
        <v>129</v>
      </c>
    </row>
    <row r="83" spans="1:9" ht="14.25" customHeight="1" x14ac:dyDescent="0.2">
      <c r="A83" s="121" t="s">
        <v>224</v>
      </c>
      <c r="B83" s="135" t="s">
        <v>174</v>
      </c>
      <c r="C83" s="129" t="s">
        <v>174</v>
      </c>
      <c r="D83" s="135" t="s">
        <v>174</v>
      </c>
      <c r="E83" s="129" t="s">
        <v>174</v>
      </c>
      <c r="F83" s="129" t="s">
        <v>174</v>
      </c>
      <c r="G83" s="135" t="s">
        <v>174</v>
      </c>
      <c r="H83" s="155" t="s">
        <v>129</v>
      </c>
    </row>
    <row r="84" spans="1:9" ht="14.25" customHeight="1" x14ac:dyDescent="0.2">
      <c r="A84" s="121" t="s">
        <v>225</v>
      </c>
      <c r="B84" s="135" t="s">
        <v>174</v>
      </c>
      <c r="C84" s="129" t="s">
        <v>174</v>
      </c>
      <c r="D84" s="135" t="s">
        <v>174</v>
      </c>
      <c r="E84" s="129" t="s">
        <v>174</v>
      </c>
      <c r="F84" s="129" t="s">
        <v>174</v>
      </c>
      <c r="G84" s="135" t="s">
        <v>174</v>
      </c>
      <c r="H84" s="155" t="s">
        <v>129</v>
      </c>
    </row>
    <row r="85" spans="1:9" ht="14.25" customHeight="1" x14ac:dyDescent="0.2">
      <c r="A85" s="121" t="s">
        <v>226</v>
      </c>
      <c r="B85" s="135" t="s">
        <v>174</v>
      </c>
      <c r="C85" s="129" t="s">
        <v>174</v>
      </c>
      <c r="D85" s="135" t="s">
        <v>174</v>
      </c>
      <c r="E85" s="129" t="s">
        <v>174</v>
      </c>
      <c r="F85" s="129" t="s">
        <v>174</v>
      </c>
      <c r="G85" s="135" t="s">
        <v>174</v>
      </c>
      <c r="H85" s="139" t="s">
        <v>129</v>
      </c>
    </row>
    <row r="86" spans="1:9" ht="14.25" customHeight="1" x14ac:dyDescent="0.2">
      <c r="A86" s="121" t="s">
        <v>227</v>
      </c>
      <c r="B86" s="135" t="s">
        <v>174</v>
      </c>
      <c r="C86" s="129" t="s">
        <v>174</v>
      </c>
      <c r="D86" s="135" t="s">
        <v>174</v>
      </c>
      <c r="E86" s="129" t="s">
        <v>174</v>
      </c>
      <c r="F86" s="129" t="s">
        <v>174</v>
      </c>
      <c r="G86" s="135" t="s">
        <v>174</v>
      </c>
      <c r="H86" s="155" t="s">
        <v>129</v>
      </c>
    </row>
    <row r="87" spans="1:9" ht="14.25" customHeight="1" x14ac:dyDescent="0.2">
      <c r="A87" s="121" t="s">
        <v>228</v>
      </c>
      <c r="B87" s="135" t="s">
        <v>174</v>
      </c>
      <c r="C87" s="129" t="s">
        <v>174</v>
      </c>
      <c r="D87" s="135" t="s">
        <v>174</v>
      </c>
      <c r="E87" s="129" t="s">
        <v>174</v>
      </c>
      <c r="F87" s="129" t="s">
        <v>174</v>
      </c>
      <c r="G87" s="135" t="s">
        <v>174</v>
      </c>
      <c r="H87" s="139" t="s">
        <v>129</v>
      </c>
    </row>
    <row r="88" spans="1:9" ht="14.25" customHeight="1" x14ac:dyDescent="0.2">
      <c r="A88" s="121" t="s">
        <v>229</v>
      </c>
      <c r="B88" s="135" t="s">
        <v>174</v>
      </c>
      <c r="C88" s="129" t="s">
        <v>174</v>
      </c>
      <c r="D88" s="135" t="s">
        <v>174</v>
      </c>
      <c r="E88" s="129" t="s">
        <v>174</v>
      </c>
      <c r="F88" s="129" t="s">
        <v>174</v>
      </c>
      <c r="G88" s="135" t="s">
        <v>174</v>
      </c>
      <c r="H88" s="139" t="s">
        <v>129</v>
      </c>
    </row>
    <row r="89" spans="1:9" ht="14.25" customHeight="1" x14ac:dyDescent="0.2">
      <c r="A89" s="121" t="s">
        <v>230</v>
      </c>
      <c r="B89" s="135" t="s">
        <v>159</v>
      </c>
      <c r="C89" s="129" t="s">
        <v>159</v>
      </c>
      <c r="D89" s="130" t="s">
        <v>159</v>
      </c>
      <c r="E89" s="129" t="s">
        <v>159</v>
      </c>
      <c r="F89" s="129" t="s">
        <v>159</v>
      </c>
      <c r="G89" s="135" t="s">
        <v>159</v>
      </c>
      <c r="H89" s="139" t="s">
        <v>129</v>
      </c>
    </row>
    <row r="90" spans="1:9" ht="14.25" customHeight="1" x14ac:dyDescent="0.2">
      <c r="A90" s="121" t="s">
        <v>231</v>
      </c>
      <c r="B90" s="135" t="s">
        <v>174</v>
      </c>
      <c r="C90" s="129" t="s">
        <v>174</v>
      </c>
      <c r="D90" s="135" t="s">
        <v>174</v>
      </c>
      <c r="E90" s="129" t="s">
        <v>174</v>
      </c>
      <c r="F90" s="129" t="s">
        <v>174</v>
      </c>
      <c r="G90" s="135" t="s">
        <v>174</v>
      </c>
      <c r="H90" s="139" t="s">
        <v>129</v>
      </c>
    </row>
    <row r="91" spans="1:9" ht="14.25" customHeight="1" x14ac:dyDescent="0.2">
      <c r="A91" s="121" t="s">
        <v>232</v>
      </c>
      <c r="B91" s="135" t="s">
        <v>186</v>
      </c>
      <c r="C91" s="129" t="s">
        <v>186</v>
      </c>
      <c r="D91" s="135" t="s">
        <v>186</v>
      </c>
      <c r="E91" s="129" t="s">
        <v>186</v>
      </c>
      <c r="F91" s="129" t="s">
        <v>186</v>
      </c>
      <c r="G91" s="135" t="s">
        <v>186</v>
      </c>
      <c r="H91" s="139" t="s">
        <v>129</v>
      </c>
    </row>
    <row r="92" spans="1:9" ht="14.25" customHeight="1" x14ac:dyDescent="0.2">
      <c r="A92" s="121" t="s">
        <v>233</v>
      </c>
      <c r="B92" s="135" t="s">
        <v>174</v>
      </c>
      <c r="C92" s="129" t="s">
        <v>174</v>
      </c>
      <c r="D92" s="135" t="s">
        <v>174</v>
      </c>
      <c r="E92" s="129" t="s">
        <v>174</v>
      </c>
      <c r="F92" s="129" t="s">
        <v>174</v>
      </c>
      <c r="G92" s="135" t="s">
        <v>174</v>
      </c>
      <c r="H92" s="139" t="s">
        <v>129</v>
      </c>
    </row>
    <row r="93" spans="1:9" ht="14.25" customHeight="1" x14ac:dyDescent="0.2">
      <c r="A93" s="119" t="s">
        <v>322</v>
      </c>
      <c r="B93" s="158" t="s">
        <v>159</v>
      </c>
      <c r="C93" s="142" t="s">
        <v>159</v>
      </c>
      <c r="D93" s="159" t="s">
        <v>159</v>
      </c>
      <c r="E93" s="142" t="s">
        <v>159</v>
      </c>
      <c r="F93" s="142" t="s">
        <v>159</v>
      </c>
      <c r="G93" s="158" t="s">
        <v>159</v>
      </c>
      <c r="H93" s="160">
        <v>0.01</v>
      </c>
    </row>
    <row r="94" spans="1:9" ht="14.25" customHeight="1" x14ac:dyDescent="0.2">
      <c r="A94" s="196" t="s">
        <v>234</v>
      </c>
      <c r="B94" s="196"/>
      <c r="C94" s="196"/>
      <c r="D94" s="196"/>
      <c r="E94" s="196"/>
      <c r="F94" s="196"/>
      <c r="G94" s="196"/>
      <c r="H94" s="196"/>
      <c r="I94" s="196"/>
    </row>
  </sheetData>
  <mergeCells count="6">
    <mergeCell ref="A1:H1"/>
    <mergeCell ref="A94:I94"/>
    <mergeCell ref="A13:D13"/>
    <mergeCell ref="A33:C33"/>
    <mergeCell ref="A48:C48"/>
    <mergeCell ref="A76:C7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3"/>
  <sheetViews>
    <sheetView zoomScale="70" zoomScaleNormal="70" workbookViewId="0">
      <selection activeCell="Q20" sqref="Q20"/>
    </sheetView>
  </sheetViews>
  <sheetFormatPr defaultColWidth="8" defaultRowHeight="12.75" x14ac:dyDescent="0.2"/>
  <cols>
    <col min="1" max="1" width="24.85546875" style="72" customWidth="1"/>
    <col min="2" max="2" width="17" style="72" customWidth="1"/>
    <col min="3" max="3" width="13.85546875" style="72" customWidth="1"/>
    <col min="4" max="4" width="16.140625" style="72" customWidth="1"/>
    <col min="5" max="5" width="17.85546875" style="72" customWidth="1"/>
    <col min="6" max="6" width="14.85546875" style="72" customWidth="1"/>
    <col min="7" max="7" width="14.5703125" style="72" customWidth="1"/>
    <col min="8" max="8" width="41.85546875" style="180" customWidth="1"/>
    <col min="9" max="16384" width="8" style="72"/>
  </cols>
  <sheetData>
    <row r="1" spans="1:8" ht="14.25" customHeight="1" x14ac:dyDescent="0.2"/>
    <row r="2" spans="1:8" ht="42.75" customHeight="1" x14ac:dyDescent="0.2">
      <c r="A2" s="171" t="s">
        <v>239</v>
      </c>
      <c r="B2" s="174" t="s">
        <v>240</v>
      </c>
      <c r="C2" s="174" t="s">
        <v>241</v>
      </c>
      <c r="D2" s="174" t="s">
        <v>242</v>
      </c>
      <c r="E2" s="174" t="s">
        <v>243</v>
      </c>
      <c r="F2" s="174" t="s">
        <v>244</v>
      </c>
      <c r="G2" s="174" t="s">
        <v>245</v>
      </c>
      <c r="H2" s="201" t="s">
        <v>246</v>
      </c>
    </row>
    <row r="3" spans="1:8" ht="14.25" customHeight="1" x14ac:dyDescent="0.2">
      <c r="A3" s="171" t="s">
        <v>247</v>
      </c>
      <c r="B3" s="172">
        <v>44184</v>
      </c>
      <c r="C3" s="172">
        <v>44184</v>
      </c>
      <c r="D3" s="172">
        <v>44184</v>
      </c>
      <c r="E3" s="172">
        <v>44184</v>
      </c>
      <c r="F3" s="172">
        <v>44184</v>
      </c>
      <c r="G3" s="172">
        <v>44184</v>
      </c>
      <c r="H3" s="202"/>
    </row>
    <row r="4" spans="1:8" ht="28.5" customHeight="1" x14ac:dyDescent="0.2">
      <c r="A4" s="171" t="s">
        <v>248</v>
      </c>
      <c r="B4" s="175" t="s">
        <v>249</v>
      </c>
      <c r="C4" s="175" t="s">
        <v>250</v>
      </c>
      <c r="D4" s="175" t="s">
        <v>251</v>
      </c>
      <c r="E4" s="175" t="s">
        <v>252</v>
      </c>
      <c r="F4" s="175" t="s">
        <v>253</v>
      </c>
      <c r="G4" s="175" t="s">
        <v>254</v>
      </c>
      <c r="H4" s="203"/>
    </row>
    <row r="5" spans="1:8" ht="15" customHeight="1" x14ac:dyDescent="0.2">
      <c r="A5" s="200" t="s">
        <v>255</v>
      </c>
      <c r="B5" s="200"/>
      <c r="C5" s="200"/>
      <c r="D5" s="200"/>
      <c r="E5" s="200"/>
      <c r="F5" s="200"/>
      <c r="G5" s="200"/>
      <c r="H5" s="200"/>
    </row>
    <row r="6" spans="1:8" ht="15" customHeight="1" x14ac:dyDescent="0.2">
      <c r="A6" s="173" t="s">
        <v>256</v>
      </c>
      <c r="B6" s="173">
        <v>0.81</v>
      </c>
      <c r="C6" s="173">
        <v>1</v>
      </c>
      <c r="D6" s="173">
        <v>0.05</v>
      </c>
      <c r="E6" s="173">
        <v>0.61</v>
      </c>
      <c r="F6" s="173">
        <v>0.68</v>
      </c>
      <c r="G6" s="173">
        <v>1.4</v>
      </c>
      <c r="H6" s="183" t="s">
        <v>257</v>
      </c>
    </row>
    <row r="7" spans="1:8" ht="15" customHeight="1" x14ac:dyDescent="0.2">
      <c r="A7" s="173" t="s">
        <v>258</v>
      </c>
      <c r="B7" s="173">
        <v>232</v>
      </c>
      <c r="C7" s="173">
        <v>259</v>
      </c>
      <c r="D7" s="173">
        <v>31</v>
      </c>
      <c r="E7" s="173">
        <v>268</v>
      </c>
      <c r="F7" s="173">
        <v>242</v>
      </c>
      <c r="G7" s="173">
        <v>251</v>
      </c>
      <c r="H7" s="183" t="s">
        <v>257</v>
      </c>
    </row>
    <row r="8" spans="1:8" ht="15" customHeight="1" x14ac:dyDescent="0.2">
      <c r="A8" s="173" t="s">
        <v>259</v>
      </c>
      <c r="B8" s="173">
        <v>0.28999999999999998</v>
      </c>
      <c r="C8" s="173">
        <v>0.25</v>
      </c>
      <c r="D8" s="173">
        <v>0.6</v>
      </c>
      <c r="E8" s="173">
        <v>0.4</v>
      </c>
      <c r="F8" s="173">
        <v>0.4</v>
      </c>
      <c r="G8" s="173">
        <v>0.2</v>
      </c>
      <c r="H8" s="183" t="s">
        <v>257</v>
      </c>
    </row>
    <row r="9" spans="1:8" ht="15" customHeight="1" x14ac:dyDescent="0.2">
      <c r="A9" s="200" t="s">
        <v>260</v>
      </c>
      <c r="B9" s="200"/>
      <c r="C9" s="200"/>
      <c r="D9" s="200"/>
      <c r="E9" s="200"/>
      <c r="F9" s="200"/>
      <c r="G9" s="200"/>
      <c r="H9" s="200"/>
    </row>
    <row r="10" spans="1:8" ht="15" customHeight="1" x14ac:dyDescent="0.2">
      <c r="A10" s="173" t="s">
        <v>261</v>
      </c>
      <c r="B10" s="173">
        <v>7.8</v>
      </c>
      <c r="C10" s="173">
        <v>7.7</v>
      </c>
      <c r="D10" s="173">
        <v>8.1</v>
      </c>
      <c r="E10" s="173">
        <v>8.3000000000000007</v>
      </c>
      <c r="F10" s="173">
        <v>8.4</v>
      </c>
      <c r="G10" s="173">
        <v>8.8000000000000007</v>
      </c>
      <c r="H10" s="183" t="s">
        <v>262</v>
      </c>
    </row>
    <row r="11" spans="1:8" ht="15" customHeight="1" x14ac:dyDescent="0.2">
      <c r="A11" s="173" t="s">
        <v>263</v>
      </c>
      <c r="B11" s="173">
        <v>374</v>
      </c>
      <c r="C11" s="173">
        <v>410</v>
      </c>
      <c r="D11" s="173">
        <v>685</v>
      </c>
      <c r="E11" s="173">
        <v>436</v>
      </c>
      <c r="F11" s="173">
        <v>452</v>
      </c>
      <c r="G11" s="173">
        <v>476</v>
      </c>
      <c r="H11" s="183" t="s">
        <v>257</v>
      </c>
    </row>
    <row r="12" spans="1:8" ht="15" customHeight="1" x14ac:dyDescent="0.2">
      <c r="A12" s="173" t="s">
        <v>264</v>
      </c>
      <c r="B12" s="173">
        <v>16.7</v>
      </c>
      <c r="C12" s="173">
        <v>16.100000000000001</v>
      </c>
      <c r="D12" s="173">
        <v>16.7</v>
      </c>
      <c r="E12" s="173">
        <v>16.3</v>
      </c>
      <c r="F12" s="173">
        <v>16.3</v>
      </c>
      <c r="G12" s="173">
        <v>18.2</v>
      </c>
      <c r="H12" s="183" t="s">
        <v>257</v>
      </c>
    </row>
    <row r="13" spans="1:8" ht="15" customHeight="1" x14ac:dyDescent="0.2">
      <c r="A13" s="173" t="s">
        <v>265</v>
      </c>
      <c r="B13" s="173">
        <v>15.4</v>
      </c>
      <c r="C13" s="173">
        <v>15.3</v>
      </c>
      <c r="D13" s="173">
        <v>15.7</v>
      </c>
      <c r="E13" s="173">
        <v>16.399999999999999</v>
      </c>
      <c r="F13" s="173">
        <v>17.2</v>
      </c>
      <c r="G13" s="173">
        <v>20.3</v>
      </c>
      <c r="H13" s="183" t="s">
        <v>257</v>
      </c>
    </row>
    <row r="14" spans="1:8" ht="15" customHeight="1" x14ac:dyDescent="0.2">
      <c r="A14" s="173" t="s">
        <v>266</v>
      </c>
      <c r="B14" s="173">
        <v>7.1</v>
      </c>
      <c r="C14" s="173">
        <v>6.6</v>
      </c>
      <c r="D14" s="173">
        <v>6.5</v>
      </c>
      <c r="E14" s="173">
        <v>6.5</v>
      </c>
      <c r="F14" s="173">
        <v>6.2</v>
      </c>
      <c r="G14" s="173">
        <v>6.8</v>
      </c>
      <c r="H14" s="183" t="s">
        <v>257</v>
      </c>
    </row>
    <row r="15" spans="1:8" ht="15" customHeight="1" x14ac:dyDescent="0.2">
      <c r="A15" s="173" t="s">
        <v>267</v>
      </c>
      <c r="B15" s="173">
        <v>97.1</v>
      </c>
      <c r="C15" s="173">
        <v>91.6</v>
      </c>
      <c r="D15" s="173">
        <v>92.4</v>
      </c>
      <c r="E15" s="173">
        <v>90.9</v>
      </c>
      <c r="F15" s="173">
        <v>91.4</v>
      </c>
      <c r="G15" s="173">
        <v>98.1</v>
      </c>
      <c r="H15" s="183" t="s">
        <v>268</v>
      </c>
    </row>
    <row r="16" spans="1:8" ht="15" customHeight="1" x14ac:dyDescent="0.2">
      <c r="A16" s="173" t="s">
        <v>269</v>
      </c>
      <c r="B16" s="181" t="s">
        <v>270</v>
      </c>
      <c r="C16" s="181" t="s">
        <v>270</v>
      </c>
      <c r="D16" s="181" t="s">
        <v>270</v>
      </c>
      <c r="E16" s="181" t="s">
        <v>270</v>
      </c>
      <c r="F16" s="181" t="s">
        <v>270</v>
      </c>
      <c r="G16" s="181" t="s">
        <v>270</v>
      </c>
      <c r="H16" s="183" t="s">
        <v>270</v>
      </c>
    </row>
    <row r="17" spans="1:9" ht="15" customHeight="1" x14ac:dyDescent="0.2">
      <c r="A17" s="200" t="s">
        <v>271</v>
      </c>
      <c r="B17" s="200"/>
      <c r="C17" s="200"/>
      <c r="D17" s="200"/>
      <c r="E17" s="200"/>
      <c r="F17" s="200"/>
      <c r="G17" s="200"/>
      <c r="H17" s="200"/>
    </row>
    <row r="18" spans="1:9" ht="15" customHeight="1" x14ac:dyDescent="0.2">
      <c r="A18" s="200" t="s">
        <v>272</v>
      </c>
      <c r="B18" s="200"/>
      <c r="C18" s="200"/>
      <c r="D18" s="200"/>
      <c r="E18" s="200"/>
      <c r="F18" s="200"/>
      <c r="G18" s="200"/>
      <c r="H18" s="200"/>
    </row>
    <row r="19" spans="1:9" ht="15" customHeight="1" x14ac:dyDescent="0.2">
      <c r="A19" s="173" t="s">
        <v>273</v>
      </c>
      <c r="B19" s="173">
        <v>273</v>
      </c>
      <c r="C19" s="173">
        <v>287</v>
      </c>
      <c r="D19" s="173">
        <v>467</v>
      </c>
      <c r="E19" s="173">
        <v>276</v>
      </c>
      <c r="F19" s="173">
        <v>287</v>
      </c>
      <c r="G19" s="173">
        <v>351</v>
      </c>
      <c r="H19" s="183" t="s">
        <v>257</v>
      </c>
    </row>
    <row r="20" spans="1:9" ht="15" customHeight="1" x14ac:dyDescent="0.2">
      <c r="A20" s="204" t="s">
        <v>272</v>
      </c>
      <c r="B20" s="204"/>
      <c r="C20" s="204"/>
      <c r="D20" s="204"/>
      <c r="E20" s="204"/>
      <c r="F20" s="204"/>
      <c r="G20" s="204"/>
      <c r="H20" s="204"/>
    </row>
    <row r="21" spans="1:9" ht="15" customHeight="1" x14ac:dyDescent="0.2">
      <c r="A21" s="173" t="s">
        <v>274</v>
      </c>
      <c r="B21" s="173">
        <v>7</v>
      </c>
      <c r="C21" s="173">
        <v>12</v>
      </c>
      <c r="D21" s="173" t="s">
        <v>275</v>
      </c>
      <c r="E21" s="173">
        <v>9</v>
      </c>
      <c r="F21" s="173">
        <v>12</v>
      </c>
      <c r="G21" s="173">
        <v>43</v>
      </c>
      <c r="H21" s="183" t="s">
        <v>276</v>
      </c>
    </row>
    <row r="22" spans="1:9" ht="15" customHeight="1" x14ac:dyDescent="0.2">
      <c r="A22" s="173" t="s">
        <v>277</v>
      </c>
      <c r="B22" s="173">
        <v>313</v>
      </c>
      <c r="C22" s="173">
        <v>315</v>
      </c>
      <c r="D22" s="173">
        <v>499</v>
      </c>
      <c r="E22" s="173">
        <v>327</v>
      </c>
      <c r="F22" s="173">
        <v>331</v>
      </c>
      <c r="G22" s="173">
        <v>395</v>
      </c>
      <c r="H22" s="183" t="s">
        <v>257</v>
      </c>
    </row>
    <row r="23" spans="1:9" ht="15" customHeight="1" x14ac:dyDescent="0.2">
      <c r="A23" s="173" t="s">
        <v>278</v>
      </c>
      <c r="B23" s="173">
        <v>200</v>
      </c>
      <c r="C23" s="173">
        <v>225</v>
      </c>
      <c r="D23" s="173">
        <v>399</v>
      </c>
      <c r="E23" s="173">
        <v>135</v>
      </c>
      <c r="F23" s="173">
        <v>216</v>
      </c>
      <c r="G23" s="173">
        <v>268</v>
      </c>
      <c r="H23" s="183" t="s">
        <v>257</v>
      </c>
    </row>
    <row r="24" spans="1:9" ht="15" customHeight="1" x14ac:dyDescent="0.2">
      <c r="A24" s="173" t="s">
        <v>279</v>
      </c>
      <c r="B24" s="173">
        <v>113</v>
      </c>
      <c r="C24" s="173">
        <v>90</v>
      </c>
      <c r="D24" s="173">
        <v>100</v>
      </c>
      <c r="E24" s="173">
        <v>192</v>
      </c>
      <c r="F24" s="173">
        <v>115</v>
      </c>
      <c r="G24" s="173">
        <v>127</v>
      </c>
      <c r="H24" s="183" t="s">
        <v>257</v>
      </c>
    </row>
    <row r="25" spans="1:9" ht="15" customHeight="1" x14ac:dyDescent="0.2">
      <c r="A25" s="173" t="s">
        <v>280</v>
      </c>
      <c r="B25" s="173">
        <v>22</v>
      </c>
      <c r="C25" s="173">
        <v>16</v>
      </c>
      <c r="D25" s="173" t="s">
        <v>281</v>
      </c>
      <c r="E25" s="173">
        <v>16</v>
      </c>
      <c r="F25" s="173">
        <v>13</v>
      </c>
      <c r="G25" s="173">
        <v>69</v>
      </c>
      <c r="H25" s="183" t="s">
        <v>257</v>
      </c>
    </row>
    <row r="26" spans="1:9" ht="15" customHeight="1" x14ac:dyDescent="0.2">
      <c r="A26" s="204" t="s">
        <v>282</v>
      </c>
      <c r="B26" s="204"/>
      <c r="C26" s="204"/>
      <c r="D26" s="204"/>
      <c r="E26" s="204"/>
      <c r="F26" s="204"/>
      <c r="G26" s="204"/>
      <c r="H26" s="204"/>
    </row>
    <row r="27" spans="1:9" ht="15" customHeight="1" x14ac:dyDescent="0.2">
      <c r="A27" s="173" t="s">
        <v>283</v>
      </c>
      <c r="B27" s="173">
        <v>0.06</v>
      </c>
      <c r="C27" s="173">
        <v>0.34</v>
      </c>
      <c r="D27" s="181" t="s">
        <v>284</v>
      </c>
      <c r="E27" s="173">
        <v>0.18</v>
      </c>
      <c r="F27" s="173">
        <v>0.08</v>
      </c>
      <c r="G27" s="173">
        <v>0.13</v>
      </c>
      <c r="H27" s="183" t="s">
        <v>257</v>
      </c>
    </row>
    <row r="28" spans="1:9" ht="15" customHeight="1" x14ac:dyDescent="0.2">
      <c r="A28" s="173" t="s">
        <v>285</v>
      </c>
      <c r="B28" s="173">
        <v>0.05</v>
      </c>
      <c r="C28" s="173">
        <v>0.27</v>
      </c>
      <c r="D28" s="181" t="s">
        <v>284</v>
      </c>
      <c r="E28" s="173">
        <v>0.14000000000000001</v>
      </c>
      <c r="F28" s="173">
        <v>0.06</v>
      </c>
      <c r="G28" s="173">
        <v>0.1</v>
      </c>
      <c r="H28" s="183" t="s">
        <v>257</v>
      </c>
    </row>
    <row r="29" spans="1:9" ht="15" customHeight="1" x14ac:dyDescent="0.2">
      <c r="A29" s="173" t="s">
        <v>286</v>
      </c>
      <c r="B29" s="181" t="s">
        <v>287</v>
      </c>
      <c r="C29" s="181">
        <v>0.13</v>
      </c>
      <c r="D29" s="181">
        <v>0.19</v>
      </c>
      <c r="E29" s="181">
        <v>0.11</v>
      </c>
      <c r="F29" s="181" t="s">
        <v>287</v>
      </c>
      <c r="G29" s="181">
        <v>0.12</v>
      </c>
      <c r="H29" s="183">
        <v>13</v>
      </c>
    </row>
    <row r="30" spans="1:9" ht="15" customHeight="1" x14ac:dyDescent="0.2">
      <c r="A30" s="173" t="s">
        <v>288</v>
      </c>
      <c r="B30" s="181" t="s">
        <v>287</v>
      </c>
      <c r="C30" s="181" t="s">
        <v>287</v>
      </c>
      <c r="D30" s="181" t="s">
        <v>287</v>
      </c>
      <c r="E30" s="181" t="s">
        <v>287</v>
      </c>
      <c r="F30" s="181" t="s">
        <v>287</v>
      </c>
      <c r="G30" s="181" t="s">
        <v>287</v>
      </c>
      <c r="H30" s="183">
        <v>0.2</v>
      </c>
    </row>
    <row r="31" spans="1:9" ht="15" customHeight="1" x14ac:dyDescent="0.2">
      <c r="A31" s="173" t="s">
        <v>289</v>
      </c>
      <c r="B31" s="181" t="s">
        <v>290</v>
      </c>
      <c r="C31" s="181" t="s">
        <v>290</v>
      </c>
      <c r="D31" s="181" t="s">
        <v>290</v>
      </c>
      <c r="E31" s="181" t="s">
        <v>290</v>
      </c>
      <c r="F31" s="181" t="s">
        <v>290</v>
      </c>
      <c r="G31" s="181" t="s">
        <v>290</v>
      </c>
      <c r="H31" s="183">
        <v>0.01</v>
      </c>
    </row>
    <row r="32" spans="1:9" ht="15" customHeight="1" x14ac:dyDescent="0.25">
      <c r="A32" s="173" t="s">
        <v>291</v>
      </c>
      <c r="B32" s="181" t="s">
        <v>290</v>
      </c>
      <c r="C32" s="181" t="s">
        <v>290</v>
      </c>
      <c r="D32" s="181" t="s">
        <v>290</v>
      </c>
      <c r="E32" s="181" t="s">
        <v>290</v>
      </c>
      <c r="F32" s="181" t="s">
        <v>290</v>
      </c>
      <c r="G32" s="181" t="s">
        <v>290</v>
      </c>
      <c r="H32" s="183">
        <v>0.01</v>
      </c>
      <c r="I32" s="176"/>
    </row>
    <row r="33" spans="1:16" ht="15" customHeight="1" x14ac:dyDescent="0.25">
      <c r="A33" s="204" t="s">
        <v>292</v>
      </c>
      <c r="B33" s="204"/>
      <c r="C33" s="204"/>
      <c r="D33" s="204"/>
      <c r="E33" s="204"/>
      <c r="F33" s="204"/>
      <c r="G33" s="204"/>
      <c r="H33" s="204"/>
      <c r="I33" s="176"/>
    </row>
    <row r="34" spans="1:16" ht="15" customHeight="1" x14ac:dyDescent="0.25">
      <c r="A34" s="173" t="s">
        <v>293</v>
      </c>
      <c r="B34" s="181" t="s">
        <v>294</v>
      </c>
      <c r="C34" s="181" t="s">
        <v>294</v>
      </c>
      <c r="D34" s="181" t="s">
        <v>294</v>
      </c>
      <c r="E34" s="181" t="s">
        <v>294</v>
      </c>
      <c r="F34" s="181" t="s">
        <v>294</v>
      </c>
      <c r="G34" s="181" t="s">
        <v>294</v>
      </c>
      <c r="H34" s="183">
        <v>0.3</v>
      </c>
      <c r="I34" s="176"/>
    </row>
    <row r="35" spans="1:16" ht="15" customHeight="1" x14ac:dyDescent="0.25">
      <c r="A35" s="173" t="s">
        <v>295</v>
      </c>
      <c r="B35" s="181" t="s">
        <v>296</v>
      </c>
      <c r="C35" s="181" t="s">
        <v>296</v>
      </c>
      <c r="D35" s="181" t="s">
        <v>296</v>
      </c>
      <c r="E35" s="181" t="s">
        <v>296</v>
      </c>
      <c r="F35" s="181" t="s">
        <v>296</v>
      </c>
      <c r="G35" s="181" t="s">
        <v>296</v>
      </c>
      <c r="H35" s="183">
        <v>20</v>
      </c>
      <c r="I35" s="176"/>
    </row>
    <row r="36" spans="1:16" ht="15" customHeight="1" x14ac:dyDescent="0.25">
      <c r="A36" s="173" t="s">
        <v>297</v>
      </c>
      <c r="B36" s="173">
        <v>34</v>
      </c>
      <c r="C36" s="173">
        <v>36</v>
      </c>
      <c r="D36" s="173" t="s">
        <v>275</v>
      </c>
      <c r="E36" s="173">
        <v>38</v>
      </c>
      <c r="F36" s="173">
        <v>28</v>
      </c>
      <c r="G36" s="173">
        <v>27</v>
      </c>
      <c r="H36" s="183">
        <v>40</v>
      </c>
      <c r="I36" s="176"/>
    </row>
    <row r="37" spans="1:16" ht="15" customHeight="1" x14ac:dyDescent="0.2">
      <c r="A37" s="200" t="s">
        <v>292</v>
      </c>
      <c r="B37" s="200"/>
      <c r="C37" s="200"/>
      <c r="D37" s="200"/>
      <c r="E37" s="200"/>
      <c r="F37" s="200"/>
      <c r="G37" s="200"/>
      <c r="H37" s="200"/>
      <c r="I37" s="177"/>
    </row>
    <row r="38" spans="1:16" ht="15" customHeight="1" x14ac:dyDescent="0.2">
      <c r="A38" s="173" t="s">
        <v>298</v>
      </c>
      <c r="B38" s="181" t="s">
        <v>299</v>
      </c>
      <c r="C38" s="181" t="s">
        <v>299</v>
      </c>
      <c r="D38" s="181" t="s">
        <v>299</v>
      </c>
      <c r="E38" s="181" t="s">
        <v>299</v>
      </c>
      <c r="F38" s="181" t="s">
        <v>299</v>
      </c>
      <c r="G38" s="181" t="s">
        <v>299</v>
      </c>
      <c r="H38" s="183" t="s">
        <v>257</v>
      </c>
      <c r="I38" s="178"/>
    </row>
    <row r="39" spans="1:16" ht="15" customHeight="1" x14ac:dyDescent="0.2">
      <c r="A39" s="200" t="s">
        <v>300</v>
      </c>
      <c r="B39" s="200"/>
      <c r="C39" s="200"/>
      <c r="D39" s="200"/>
      <c r="E39" s="200"/>
      <c r="F39" s="200"/>
      <c r="G39" s="200"/>
      <c r="H39" s="200"/>
      <c r="I39" s="179"/>
    </row>
    <row r="40" spans="1:16" ht="15" customHeight="1" x14ac:dyDescent="0.2">
      <c r="A40" s="173" t="s">
        <v>301</v>
      </c>
      <c r="B40" s="173">
        <v>2400</v>
      </c>
      <c r="C40" s="173">
        <v>750</v>
      </c>
      <c r="D40" s="173">
        <v>230</v>
      </c>
      <c r="E40" s="173">
        <v>2400</v>
      </c>
      <c r="F40" s="173">
        <v>1500</v>
      </c>
      <c r="G40" s="173">
        <v>4600</v>
      </c>
      <c r="H40" s="183" t="s">
        <v>257</v>
      </c>
      <c r="I40" s="178"/>
    </row>
    <row r="41" spans="1:16" ht="15" customHeight="1" x14ac:dyDescent="0.2">
      <c r="A41" s="173" t="s">
        <v>319</v>
      </c>
      <c r="B41" s="173">
        <v>24000</v>
      </c>
      <c r="C41" s="173">
        <v>110000</v>
      </c>
      <c r="D41" s="173">
        <v>7500</v>
      </c>
      <c r="E41" s="173">
        <v>24000</v>
      </c>
      <c r="F41" s="173">
        <v>46000</v>
      </c>
      <c r="G41" s="173">
        <v>11000</v>
      </c>
      <c r="H41" s="183" t="s">
        <v>257</v>
      </c>
      <c r="I41" s="178"/>
    </row>
    <row r="42" spans="1:16" ht="15" customHeight="1" x14ac:dyDescent="0.2">
      <c r="A42" s="200" t="s">
        <v>302</v>
      </c>
      <c r="B42" s="200"/>
      <c r="C42" s="200"/>
      <c r="D42" s="200"/>
      <c r="E42" s="200"/>
      <c r="F42" s="200"/>
      <c r="G42" s="200"/>
      <c r="H42" s="200"/>
      <c r="I42" s="179"/>
    </row>
    <row r="43" spans="1:16" ht="15" customHeight="1" x14ac:dyDescent="0.2">
      <c r="A43" s="173" t="s">
        <v>303</v>
      </c>
      <c r="B43" s="181" t="s">
        <v>304</v>
      </c>
      <c r="C43" s="181" t="s">
        <v>304</v>
      </c>
      <c r="D43" s="181" t="s">
        <v>304</v>
      </c>
      <c r="E43" s="181" t="s">
        <v>304</v>
      </c>
      <c r="F43" s="181" t="s">
        <v>304</v>
      </c>
      <c r="G43" s="173">
        <v>1E-4</v>
      </c>
      <c r="H43" s="183">
        <v>1E-3</v>
      </c>
      <c r="I43" s="178"/>
    </row>
    <row r="44" spans="1:16" ht="15" customHeight="1" x14ac:dyDescent="0.2">
      <c r="A44" s="173" t="s">
        <v>305</v>
      </c>
      <c r="B44" s="182">
        <v>6.0000000000000001E-3</v>
      </c>
      <c r="C44" s="182">
        <v>0.01</v>
      </c>
      <c r="D44" s="181" t="s">
        <v>306</v>
      </c>
      <c r="E44" s="181" t="s">
        <v>306</v>
      </c>
      <c r="F44" s="181" t="s">
        <v>306</v>
      </c>
      <c r="G44" s="181" t="s">
        <v>306</v>
      </c>
      <c r="H44" s="183">
        <v>5.0000000000000001E-3</v>
      </c>
      <c r="I44" s="178"/>
    </row>
    <row r="45" spans="1:16" ht="15" customHeight="1" x14ac:dyDescent="0.2">
      <c r="A45" s="173" t="s">
        <v>307</v>
      </c>
      <c r="B45" s="173">
        <v>2E-3</v>
      </c>
      <c r="C45" s="173">
        <v>1.9E-3</v>
      </c>
      <c r="D45" s="181" t="s">
        <v>308</v>
      </c>
      <c r="E45" s="173">
        <v>1.5E-3</v>
      </c>
      <c r="F45" s="173">
        <v>1.1000000000000001E-3</v>
      </c>
      <c r="G45" s="173">
        <v>5.4000000000000003E-3</v>
      </c>
      <c r="H45" s="183">
        <v>3.2000000000000001E-2</v>
      </c>
      <c r="I45" s="178"/>
    </row>
    <row r="46" spans="1:16" ht="15" customHeight="1" x14ac:dyDescent="0.2">
      <c r="A46" s="173" t="s">
        <v>309</v>
      </c>
      <c r="B46" s="173">
        <v>0.11</v>
      </c>
      <c r="C46" s="173">
        <v>7.0000000000000007E-2</v>
      </c>
      <c r="D46" s="181" t="s">
        <v>310</v>
      </c>
      <c r="E46" s="173">
        <v>7.0000000000000007E-2</v>
      </c>
      <c r="F46" s="173">
        <v>7.0000000000000007E-2</v>
      </c>
      <c r="G46" s="173">
        <v>0.08</v>
      </c>
      <c r="H46" s="183" t="s">
        <v>257</v>
      </c>
      <c r="I46" s="178"/>
      <c r="K46" s="174" t="s">
        <v>240</v>
      </c>
      <c r="L46" s="174" t="s">
        <v>241</v>
      </c>
      <c r="M46" s="174" t="s">
        <v>244</v>
      </c>
      <c r="N46" s="174" t="s">
        <v>245</v>
      </c>
      <c r="O46" s="174" t="s">
        <v>243</v>
      </c>
      <c r="P46" s="174" t="s">
        <v>242</v>
      </c>
    </row>
    <row r="47" spans="1:16" ht="15" customHeight="1" x14ac:dyDescent="0.2">
      <c r="A47" s="173" t="s">
        <v>311</v>
      </c>
      <c r="B47" s="182">
        <v>2.2999999999999998</v>
      </c>
      <c r="C47" s="182">
        <v>1.6</v>
      </c>
      <c r="D47" s="173">
        <v>0.06</v>
      </c>
      <c r="E47" s="182">
        <v>1.4</v>
      </c>
      <c r="F47" s="182">
        <v>1.3</v>
      </c>
      <c r="G47" s="182">
        <v>3.1</v>
      </c>
      <c r="H47" s="183">
        <v>0.3</v>
      </c>
      <c r="I47" s="178"/>
      <c r="K47" s="186">
        <v>8.4000000000000005E-2</v>
      </c>
      <c r="L47" s="186">
        <v>0.08</v>
      </c>
      <c r="M47" s="186">
        <v>8.1000000000000003E-2</v>
      </c>
      <c r="N47" s="186">
        <v>0.1</v>
      </c>
      <c r="O47" s="186">
        <v>7.9000000000000001E-2</v>
      </c>
      <c r="P47" s="186">
        <v>1.0999999999999999E-2</v>
      </c>
    </row>
    <row r="48" spans="1:16" ht="15" customHeight="1" x14ac:dyDescent="0.2">
      <c r="A48" s="173" t="s">
        <v>312</v>
      </c>
      <c r="B48" s="173">
        <v>3.4000000000000002E-2</v>
      </c>
      <c r="C48" s="173">
        <v>3.4000000000000002E-2</v>
      </c>
      <c r="D48" s="181" t="s">
        <v>313</v>
      </c>
      <c r="E48" s="173">
        <v>4.3999999999999997E-2</v>
      </c>
      <c r="F48" s="173">
        <v>3.1E-2</v>
      </c>
      <c r="G48" s="173">
        <v>2.9000000000000001E-2</v>
      </c>
      <c r="H48" s="183" t="s">
        <v>257</v>
      </c>
      <c r="I48" s="178"/>
    </row>
    <row r="49" spans="1:9" ht="15" customHeight="1" x14ac:dyDescent="0.2">
      <c r="A49" s="173" t="s">
        <v>314</v>
      </c>
      <c r="B49" s="173">
        <v>8.4000000000000005E-2</v>
      </c>
      <c r="C49" s="173">
        <v>0.08</v>
      </c>
      <c r="D49" s="173">
        <v>1.0999999999999999E-2</v>
      </c>
      <c r="E49" s="173">
        <v>7.9000000000000001E-2</v>
      </c>
      <c r="F49" s="173">
        <v>8.1000000000000003E-2</v>
      </c>
      <c r="G49" s="173">
        <v>0.1</v>
      </c>
      <c r="H49" s="183">
        <v>0.1</v>
      </c>
      <c r="I49" s="178"/>
    </row>
    <row r="50" spans="1:9" ht="15" customHeight="1" x14ac:dyDescent="0.2">
      <c r="A50" s="173" t="s">
        <v>315</v>
      </c>
      <c r="B50" s="181" t="s">
        <v>304</v>
      </c>
      <c r="C50" s="181" t="s">
        <v>304</v>
      </c>
      <c r="D50" s="181" t="s">
        <v>304</v>
      </c>
      <c r="E50" s="181" t="s">
        <v>304</v>
      </c>
      <c r="F50" s="181" t="s">
        <v>304</v>
      </c>
      <c r="G50" s="181" t="s">
        <v>304</v>
      </c>
      <c r="H50" s="183">
        <v>2.0000000000000001E-4</v>
      </c>
      <c r="I50" s="178"/>
    </row>
    <row r="51" spans="1:9" ht="15" customHeight="1" x14ac:dyDescent="0.2">
      <c r="A51" s="173" t="s">
        <v>316</v>
      </c>
      <c r="B51" s="173">
        <v>4.0000000000000001E-3</v>
      </c>
      <c r="C51" s="173">
        <v>4.0000000000000001E-3</v>
      </c>
      <c r="D51" s="181" t="s">
        <v>290</v>
      </c>
      <c r="E51" s="173">
        <v>8.0000000000000002E-3</v>
      </c>
      <c r="F51" s="173">
        <v>5.0000000000000001E-3</v>
      </c>
      <c r="G51" s="173">
        <v>5.0000000000000001E-3</v>
      </c>
      <c r="H51" s="183">
        <v>2.5000000000000001E-2</v>
      </c>
      <c r="I51" s="178"/>
    </row>
    <row r="52" spans="1:9" ht="15" customHeight="1" x14ac:dyDescent="0.2">
      <c r="A52" s="173" t="s">
        <v>317</v>
      </c>
      <c r="B52" s="173">
        <v>1E-3</v>
      </c>
      <c r="C52" s="173">
        <v>6.9999999999999999E-4</v>
      </c>
      <c r="D52" s="181" t="s">
        <v>313</v>
      </c>
      <c r="E52" s="182">
        <v>2.0999999999999999E-3</v>
      </c>
      <c r="F52" s="173">
        <v>8.0000000000000004E-4</v>
      </c>
      <c r="G52" s="173">
        <v>1E-3</v>
      </c>
      <c r="H52" s="183">
        <v>1E-3</v>
      </c>
      <c r="I52" s="178"/>
    </row>
    <row r="53" spans="1:9" ht="15" customHeight="1" x14ac:dyDescent="0.2">
      <c r="A53" s="173" t="s">
        <v>318</v>
      </c>
      <c r="B53" s="173">
        <v>2.1000000000000001E-2</v>
      </c>
      <c r="C53" s="173">
        <v>2.8000000000000001E-2</v>
      </c>
      <c r="D53" s="181" t="s">
        <v>306</v>
      </c>
      <c r="E53" s="173">
        <v>0.02</v>
      </c>
      <c r="F53" s="173">
        <v>0.02</v>
      </c>
      <c r="G53" s="173">
        <v>2.4E-2</v>
      </c>
      <c r="H53" s="183">
        <v>0.03</v>
      </c>
      <c r="I53" s="178"/>
    </row>
  </sheetData>
  <mergeCells count="11">
    <mergeCell ref="A37:H37"/>
    <mergeCell ref="A42:H42"/>
    <mergeCell ref="A39:H39"/>
    <mergeCell ref="A20:H20"/>
    <mergeCell ref="A26:H26"/>
    <mergeCell ref="A33:H33"/>
    <mergeCell ref="A5:H5"/>
    <mergeCell ref="A9:H9"/>
    <mergeCell ref="A17:H17"/>
    <mergeCell ref="A18:H18"/>
    <mergeCell ref="H2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83"/>
  <sheetViews>
    <sheetView topLeftCell="A3" workbookViewId="0">
      <pane xSplit="3" ySplit="10" topLeftCell="Y44" activePane="bottomRight" state="frozen"/>
      <selection activeCell="A3" sqref="A3"/>
      <selection pane="topRight" activeCell="D3" sqref="D3"/>
      <selection pane="bottomLeft" activeCell="A13" sqref="A13"/>
      <selection pane="bottomRight" activeCell="B13" sqref="B13"/>
    </sheetView>
  </sheetViews>
  <sheetFormatPr defaultColWidth="11.42578125" defaultRowHeight="12.75" x14ac:dyDescent="0.2"/>
  <cols>
    <col min="25" max="25" width="20.5703125" bestFit="1" customWidth="1"/>
  </cols>
  <sheetData>
    <row r="1" spans="1:43" ht="13.15" customHeight="1" x14ac:dyDescent="0.2">
      <c r="AQ1" s="72"/>
    </row>
    <row r="2" spans="1:43" x14ac:dyDescent="0.2">
      <c r="AQ2" s="72"/>
    </row>
    <row r="3" spans="1:43" x14ac:dyDescent="0.2">
      <c r="AQ3" s="72"/>
    </row>
    <row r="4" spans="1:43" x14ac:dyDescent="0.2">
      <c r="AQ4" s="72"/>
    </row>
    <row r="5" spans="1:43" x14ac:dyDescent="0.2">
      <c r="AQ5" s="72"/>
    </row>
    <row r="6" spans="1:43" x14ac:dyDescent="0.2">
      <c r="AQ6" s="72"/>
    </row>
    <row r="7" spans="1:43" ht="18" x14ac:dyDescent="0.25">
      <c r="A7" s="1" t="s">
        <v>0</v>
      </c>
      <c r="AQ7" s="72"/>
    </row>
    <row r="8" spans="1:43" x14ac:dyDescent="0.2">
      <c r="A8" s="2" t="s">
        <v>1</v>
      </c>
    </row>
    <row r="9" spans="1:43" x14ac:dyDescent="0.2">
      <c r="A9" s="2" t="s">
        <v>102</v>
      </c>
      <c r="B9" s="3"/>
      <c r="AQ9" s="72"/>
    </row>
    <row r="11" spans="1:43" ht="13.15" customHeight="1" x14ac:dyDescent="0.25">
      <c r="A11" s="69" t="s">
        <v>101</v>
      </c>
      <c r="B11" s="11" t="s">
        <v>6</v>
      </c>
      <c r="C11" s="11" t="s">
        <v>6</v>
      </c>
      <c r="D11" s="28" t="s">
        <v>15</v>
      </c>
      <c r="E11" s="28" t="s">
        <v>18</v>
      </c>
      <c r="F11" s="28" t="s">
        <v>19</v>
      </c>
      <c r="G11" s="28" t="s">
        <v>20</v>
      </c>
      <c r="H11" s="35" t="s">
        <v>21</v>
      </c>
      <c r="I11" s="36" t="s">
        <v>23</v>
      </c>
      <c r="J11" s="36" t="s">
        <v>30</v>
      </c>
      <c r="K11" s="36" t="s">
        <v>32</v>
      </c>
      <c r="L11" s="28" t="s">
        <v>34</v>
      </c>
      <c r="M11" s="28" t="s">
        <v>35</v>
      </c>
      <c r="N11" s="42" t="s">
        <v>36</v>
      </c>
      <c r="O11" s="28" t="s">
        <v>37</v>
      </c>
      <c r="P11" s="28" t="s">
        <v>38</v>
      </c>
      <c r="Q11" s="36" t="s">
        <v>39</v>
      </c>
      <c r="R11" s="36" t="s">
        <v>42</v>
      </c>
      <c r="S11" s="36" t="s">
        <v>45</v>
      </c>
      <c r="T11" s="28" t="s">
        <v>48</v>
      </c>
      <c r="U11" s="28" t="s">
        <v>49</v>
      </c>
      <c r="V11" s="28" t="s">
        <v>50</v>
      </c>
      <c r="W11" s="28" t="s">
        <v>51</v>
      </c>
      <c r="X11" s="36" t="s">
        <v>52</v>
      </c>
      <c r="Y11" s="36" t="s">
        <v>60</v>
      </c>
      <c r="Z11" s="28" t="s">
        <v>61</v>
      </c>
      <c r="AA11" s="28" t="s">
        <v>62</v>
      </c>
      <c r="AB11" s="36" t="s">
        <v>74</v>
      </c>
      <c r="AC11" s="28" t="s">
        <v>77</v>
      </c>
      <c r="AD11" s="36" t="s">
        <v>79</v>
      </c>
      <c r="AE11" s="36" t="s">
        <v>85</v>
      </c>
      <c r="AF11" s="36" t="s">
        <v>87</v>
      </c>
      <c r="AG11" s="59" t="s">
        <v>90</v>
      </c>
      <c r="AH11" s="59" t="s">
        <v>91</v>
      </c>
      <c r="AI11" s="28" t="s">
        <v>92</v>
      </c>
      <c r="AJ11" s="36" t="s">
        <v>93</v>
      </c>
      <c r="AK11" s="36" t="s">
        <v>95</v>
      </c>
      <c r="AL11" s="28" t="s">
        <v>97</v>
      </c>
      <c r="AM11" s="28" t="s">
        <v>98</v>
      </c>
      <c r="AN11" s="59" t="s">
        <v>99</v>
      </c>
      <c r="AO11" s="73" t="s">
        <v>100</v>
      </c>
    </row>
    <row r="12" spans="1:43" x14ac:dyDescent="0.2">
      <c r="A12" s="79" t="s">
        <v>101</v>
      </c>
      <c r="B12" s="11" t="s">
        <v>7</v>
      </c>
      <c r="C12" s="81" t="s">
        <v>8</v>
      </c>
      <c r="D12" s="28" t="s">
        <v>16</v>
      </c>
      <c r="E12" s="28" t="s">
        <v>16</v>
      </c>
      <c r="F12" s="28" t="s">
        <v>16</v>
      </c>
      <c r="G12" s="28" t="s">
        <v>16</v>
      </c>
      <c r="H12" s="28" t="s">
        <v>22</v>
      </c>
      <c r="I12" s="28" t="s">
        <v>22</v>
      </c>
      <c r="J12" s="28" t="s">
        <v>22</v>
      </c>
      <c r="K12" s="28" t="s">
        <v>22</v>
      </c>
      <c r="L12" s="28" t="s">
        <v>16</v>
      </c>
      <c r="M12" s="28" t="s">
        <v>16</v>
      </c>
      <c r="N12" s="28" t="s">
        <v>16</v>
      </c>
      <c r="O12" s="28" t="s">
        <v>16</v>
      </c>
      <c r="P12" s="28" t="s">
        <v>16</v>
      </c>
      <c r="Q12" s="28" t="s">
        <v>22</v>
      </c>
      <c r="R12" s="28" t="s">
        <v>43</v>
      </c>
      <c r="S12" s="28" t="s">
        <v>43</v>
      </c>
      <c r="T12" s="28" t="s">
        <v>43</v>
      </c>
      <c r="U12" s="28" t="s">
        <v>22</v>
      </c>
      <c r="V12" s="28" t="s">
        <v>22</v>
      </c>
      <c r="W12" s="28" t="s">
        <v>22</v>
      </c>
      <c r="X12" s="28"/>
      <c r="Y12" s="28" t="s">
        <v>22</v>
      </c>
      <c r="Z12" s="28" t="s">
        <v>22</v>
      </c>
      <c r="AA12" s="28" t="s">
        <v>63</v>
      </c>
      <c r="AB12" s="28" t="s">
        <v>75</v>
      </c>
      <c r="AC12" s="28" t="s">
        <v>75</v>
      </c>
      <c r="AD12" s="28" t="s">
        <v>75</v>
      </c>
      <c r="AE12" s="28" t="s">
        <v>75</v>
      </c>
      <c r="AF12" s="28" t="s">
        <v>75</v>
      </c>
      <c r="AG12" s="88" t="s">
        <v>22</v>
      </c>
      <c r="AH12" s="88" t="s">
        <v>22</v>
      </c>
      <c r="AI12" s="28" t="s">
        <v>75</v>
      </c>
      <c r="AJ12" s="28" t="s">
        <v>75</v>
      </c>
      <c r="AK12" s="28" t="s">
        <v>75</v>
      </c>
      <c r="AL12" s="28" t="s">
        <v>22</v>
      </c>
      <c r="AM12" s="28" t="s">
        <v>22</v>
      </c>
      <c r="AN12" s="88" t="s">
        <v>22</v>
      </c>
      <c r="AO12" s="68"/>
    </row>
    <row r="13" spans="1:43" ht="13.5" thickBot="1" x14ac:dyDescent="0.25">
      <c r="A13" s="9" t="s">
        <v>4</v>
      </c>
      <c r="B13" s="14">
        <v>37046</v>
      </c>
      <c r="C13" s="27" t="s">
        <v>9</v>
      </c>
      <c r="D13" s="82">
        <v>154.80000000000001</v>
      </c>
      <c r="E13" s="82"/>
      <c r="F13" s="82"/>
      <c r="G13" s="82"/>
      <c r="H13" s="82">
        <v>37.200000000000003</v>
      </c>
      <c r="I13" s="82"/>
      <c r="J13" s="82">
        <v>0.68</v>
      </c>
      <c r="K13" s="83">
        <v>11.81</v>
      </c>
      <c r="L13" s="82">
        <v>142</v>
      </c>
      <c r="M13" s="82">
        <v>82</v>
      </c>
      <c r="N13" s="83"/>
      <c r="O13" s="83"/>
      <c r="P13" s="83"/>
      <c r="Q13" s="83">
        <v>7.0000000000000007E-2</v>
      </c>
      <c r="R13" s="84"/>
      <c r="S13" s="85"/>
      <c r="T13" s="83">
        <v>0.03</v>
      </c>
      <c r="U13" s="83">
        <v>0</v>
      </c>
      <c r="V13" s="83">
        <v>0.34</v>
      </c>
      <c r="W13" s="83"/>
      <c r="X13" s="83">
        <v>8.1999999999999993</v>
      </c>
      <c r="Y13" s="83">
        <v>0</v>
      </c>
      <c r="Z13" s="83">
        <v>10.65</v>
      </c>
      <c r="AA13" s="83"/>
      <c r="AB13" s="83"/>
      <c r="AC13" s="84"/>
      <c r="AD13" s="82">
        <v>0.5</v>
      </c>
      <c r="AE13" s="82">
        <v>1</v>
      </c>
      <c r="AF13" s="82">
        <v>2</v>
      </c>
      <c r="AG13" s="83">
        <f>1883/1000</f>
        <v>1.883</v>
      </c>
      <c r="AH13" s="83">
        <f>52.85/1000</f>
        <v>5.2850000000000001E-2</v>
      </c>
      <c r="AI13" s="83"/>
      <c r="AJ13" s="82">
        <v>4</v>
      </c>
      <c r="AK13" s="82">
        <v>10</v>
      </c>
      <c r="AL13" s="83">
        <v>2.93</v>
      </c>
      <c r="AM13" s="83">
        <v>32.86</v>
      </c>
      <c r="AN13" s="83">
        <f>135.3/1000</f>
        <v>0.1353</v>
      </c>
      <c r="AO13" s="89">
        <f t="shared" ref="AO13:AO76" si="0">+J13/K13</f>
        <v>5.7578323454699411E-2</v>
      </c>
    </row>
    <row r="14" spans="1:43" ht="13.5" thickBot="1" x14ac:dyDescent="0.25">
      <c r="A14" s="5" t="s">
        <v>4</v>
      </c>
      <c r="B14" s="13">
        <v>37046</v>
      </c>
      <c r="C14" s="74" t="s">
        <v>10</v>
      </c>
      <c r="D14" s="30">
        <v>161.9</v>
      </c>
      <c r="E14" s="30"/>
      <c r="F14" s="30"/>
      <c r="G14" s="30"/>
      <c r="H14" s="30">
        <v>34.9</v>
      </c>
      <c r="I14" s="30"/>
      <c r="J14" s="30">
        <v>0.18</v>
      </c>
      <c r="K14" s="38">
        <v>23.42</v>
      </c>
      <c r="L14" s="30">
        <v>144</v>
      </c>
      <c r="M14" s="30">
        <v>91</v>
      </c>
      <c r="N14" s="38"/>
      <c r="O14" s="38"/>
      <c r="P14" s="38"/>
      <c r="Q14" s="38">
        <v>0.22</v>
      </c>
      <c r="R14" s="44"/>
      <c r="S14" s="49"/>
      <c r="T14" s="38">
        <v>0.03</v>
      </c>
      <c r="U14" s="38">
        <v>0</v>
      </c>
      <c r="V14" s="38">
        <v>0.46</v>
      </c>
      <c r="W14" s="38"/>
      <c r="X14" s="38">
        <v>8.36</v>
      </c>
      <c r="Y14" s="38">
        <v>18</v>
      </c>
      <c r="Z14" s="38">
        <v>16.36</v>
      </c>
      <c r="AA14" s="38"/>
      <c r="AB14" s="38"/>
      <c r="AC14" s="44"/>
      <c r="AD14" s="30">
        <v>0.5</v>
      </c>
      <c r="AE14" s="30">
        <v>1</v>
      </c>
      <c r="AF14" s="30">
        <v>2</v>
      </c>
      <c r="AG14" s="38">
        <f>5179/1000</f>
        <v>5.1790000000000003</v>
      </c>
      <c r="AH14" s="38">
        <f>164.1/1000</f>
        <v>0.1641</v>
      </c>
      <c r="AI14" s="38"/>
      <c r="AJ14" s="30">
        <v>4</v>
      </c>
      <c r="AK14" s="30">
        <v>10</v>
      </c>
      <c r="AL14" s="38">
        <v>3.57</v>
      </c>
      <c r="AM14" s="38">
        <v>30.05</v>
      </c>
      <c r="AN14" s="61">
        <f>90.56/1000</f>
        <v>9.0560000000000002E-2</v>
      </c>
      <c r="AO14" s="64">
        <f t="shared" si="0"/>
        <v>7.6857386848847133E-3</v>
      </c>
    </row>
    <row r="15" spans="1:43" ht="13.5" thickBot="1" x14ac:dyDescent="0.25">
      <c r="A15" s="6" t="s">
        <v>4</v>
      </c>
      <c r="B15" s="14">
        <v>37046</v>
      </c>
      <c r="C15" s="75" t="s">
        <v>11</v>
      </c>
      <c r="D15" s="31">
        <v>160.9</v>
      </c>
      <c r="E15" s="31"/>
      <c r="F15" s="31"/>
      <c r="G15" s="31"/>
      <c r="H15" s="31">
        <v>33.799999999999997</v>
      </c>
      <c r="I15" s="31"/>
      <c r="J15" s="31">
        <v>0.48</v>
      </c>
      <c r="K15" s="34">
        <v>19.68</v>
      </c>
      <c r="L15" s="31">
        <v>149</v>
      </c>
      <c r="M15" s="31">
        <v>92</v>
      </c>
      <c r="N15" s="34"/>
      <c r="O15" s="34"/>
      <c r="P15" s="34"/>
      <c r="Q15" s="34">
        <v>0.21</v>
      </c>
      <c r="R15" s="45"/>
      <c r="S15" s="48"/>
      <c r="T15" s="34">
        <v>0.08</v>
      </c>
      <c r="U15" s="34">
        <v>0</v>
      </c>
      <c r="V15" s="34">
        <v>0.98</v>
      </c>
      <c r="W15" s="34"/>
      <c r="X15" s="34">
        <v>8.4700000000000006</v>
      </c>
      <c r="Y15" s="34">
        <v>15</v>
      </c>
      <c r="Z15" s="34">
        <v>18.329999999999998</v>
      </c>
      <c r="AA15" s="34"/>
      <c r="AB15" s="34"/>
      <c r="AC15" s="45"/>
      <c r="AD15" s="31">
        <v>0.5</v>
      </c>
      <c r="AE15" s="31">
        <v>1</v>
      </c>
      <c r="AF15" s="31">
        <v>2</v>
      </c>
      <c r="AG15" s="34">
        <f>6043/1000</f>
        <v>6.0430000000000001</v>
      </c>
      <c r="AH15" s="34">
        <f>204.7/1000</f>
        <v>0.20469999999999999</v>
      </c>
      <c r="AI15" s="34"/>
      <c r="AJ15" s="31">
        <v>4</v>
      </c>
      <c r="AK15" s="31">
        <v>10</v>
      </c>
      <c r="AL15" s="34">
        <v>3.99</v>
      </c>
      <c r="AM15" s="34">
        <v>31.63</v>
      </c>
      <c r="AN15" s="62">
        <f>99.99/1000</f>
        <v>9.9989999999999996E-2</v>
      </c>
      <c r="AO15" s="65">
        <f t="shared" si="0"/>
        <v>2.4390243902439025E-2</v>
      </c>
    </row>
    <row r="16" spans="1:43" ht="13.5" thickBot="1" x14ac:dyDescent="0.25">
      <c r="A16" s="6" t="s">
        <v>4</v>
      </c>
      <c r="B16" s="14">
        <v>37046</v>
      </c>
      <c r="C16" s="76" t="s">
        <v>12</v>
      </c>
      <c r="D16" s="31">
        <v>159.69999999999999</v>
      </c>
      <c r="E16" s="31"/>
      <c r="F16" s="31"/>
      <c r="G16" s="31"/>
      <c r="H16" s="31">
        <v>45.2</v>
      </c>
      <c r="I16" s="31"/>
      <c r="J16" s="31">
        <v>0.57999999999999996</v>
      </c>
      <c r="K16" s="34">
        <v>7.87</v>
      </c>
      <c r="L16" s="31">
        <v>154</v>
      </c>
      <c r="M16" s="31">
        <v>100</v>
      </c>
      <c r="N16" s="34"/>
      <c r="O16" s="34"/>
      <c r="P16" s="34"/>
      <c r="Q16" s="34">
        <v>0.05</v>
      </c>
      <c r="R16" s="45"/>
      <c r="S16" s="48"/>
      <c r="T16" s="34">
        <v>0.06</v>
      </c>
      <c r="U16" s="34">
        <v>0</v>
      </c>
      <c r="V16" s="34">
        <v>0.28999999999999998</v>
      </c>
      <c r="W16" s="34"/>
      <c r="X16" s="34">
        <v>8.34</v>
      </c>
      <c r="Y16" s="34">
        <v>6</v>
      </c>
      <c r="Z16" s="34">
        <v>23.95</v>
      </c>
      <c r="AA16" s="34"/>
      <c r="AB16" s="34"/>
      <c r="AC16" s="45"/>
      <c r="AD16" s="31">
        <v>0.5</v>
      </c>
      <c r="AE16" s="31">
        <v>1</v>
      </c>
      <c r="AF16" s="31">
        <v>2</v>
      </c>
      <c r="AG16" s="34">
        <f>3159/1000</f>
        <v>3.1589999999999998</v>
      </c>
      <c r="AH16" s="34">
        <f>97.61/1000</f>
        <v>9.7610000000000002E-2</v>
      </c>
      <c r="AI16" s="34"/>
      <c r="AJ16" s="31">
        <v>4</v>
      </c>
      <c r="AK16" s="31">
        <v>10</v>
      </c>
      <c r="AL16" s="34">
        <v>3.24</v>
      </c>
      <c r="AM16" s="34">
        <v>33.96</v>
      </c>
      <c r="AN16" s="62">
        <f>96.98/1000</f>
        <v>9.6980000000000011E-2</v>
      </c>
      <c r="AO16" s="65">
        <f t="shared" si="0"/>
        <v>7.3697585768742052E-2</v>
      </c>
    </row>
    <row r="17" spans="1:41" ht="13.5" thickBot="1" x14ac:dyDescent="0.25">
      <c r="A17" s="7">
        <v>2001</v>
      </c>
      <c r="B17" s="15">
        <v>37076</v>
      </c>
      <c r="C17" s="27" t="s">
        <v>9</v>
      </c>
      <c r="D17" s="32">
        <v>153.69999999999999</v>
      </c>
      <c r="E17" s="32"/>
      <c r="F17" s="32"/>
      <c r="G17" s="32"/>
      <c r="H17" s="32">
        <v>28.78</v>
      </c>
      <c r="I17" s="32"/>
      <c r="J17" s="32">
        <v>0.35</v>
      </c>
      <c r="K17" s="39">
        <v>7.75</v>
      </c>
      <c r="L17" s="32">
        <v>141</v>
      </c>
      <c r="M17" s="32">
        <v>99</v>
      </c>
      <c r="N17" s="39"/>
      <c r="O17" s="39"/>
      <c r="P17" s="39"/>
      <c r="Q17" s="39">
        <v>0.03</v>
      </c>
      <c r="R17" s="46"/>
      <c r="S17" s="50"/>
      <c r="T17" s="39">
        <v>0.03</v>
      </c>
      <c r="U17" s="39">
        <v>0</v>
      </c>
      <c r="V17" s="39">
        <v>0.52</v>
      </c>
      <c r="W17" s="39"/>
      <c r="X17" s="39">
        <v>8.44</v>
      </c>
      <c r="Y17" s="39">
        <v>14.5</v>
      </c>
      <c r="Z17" s="39">
        <v>0</v>
      </c>
      <c r="AA17" s="39"/>
      <c r="AB17" s="39">
        <v>169.7</v>
      </c>
      <c r="AC17" s="46"/>
      <c r="AD17" s="32">
        <v>0.5</v>
      </c>
      <c r="AE17" s="32">
        <v>2.89</v>
      </c>
      <c r="AF17" s="32">
        <v>2</v>
      </c>
      <c r="AG17" s="39">
        <f>1093/1000</f>
        <v>1.093</v>
      </c>
      <c r="AH17" s="39">
        <f>36.75/1000</f>
        <v>3.6749999999999998E-2</v>
      </c>
      <c r="AI17" s="39"/>
      <c r="AJ17" s="32">
        <v>5.2</v>
      </c>
      <c r="AK17" s="32">
        <v>10</v>
      </c>
      <c r="AL17" s="39">
        <f>3168/1000</f>
        <v>3.1680000000000001</v>
      </c>
      <c r="AM17" s="39">
        <v>28.62</v>
      </c>
      <c r="AN17" s="63">
        <f>117.2/1000</f>
        <v>0.1172</v>
      </c>
      <c r="AO17" s="66">
        <f t="shared" si="0"/>
        <v>4.5161290322580643E-2</v>
      </c>
    </row>
    <row r="18" spans="1:41" x14ac:dyDescent="0.2">
      <c r="A18" s="8"/>
      <c r="B18" s="16">
        <v>37076</v>
      </c>
      <c r="C18" s="74" t="s">
        <v>10</v>
      </c>
      <c r="D18" s="33">
        <v>171.18</v>
      </c>
      <c r="E18" s="33"/>
      <c r="F18" s="33"/>
      <c r="G18" s="33"/>
      <c r="H18" s="33">
        <v>27.01</v>
      </c>
      <c r="I18" s="33"/>
      <c r="J18" s="33">
        <v>0.37</v>
      </c>
      <c r="K18" s="40">
        <v>11.63</v>
      </c>
      <c r="L18" s="33">
        <v>149</v>
      </c>
      <c r="M18" s="33">
        <v>102</v>
      </c>
      <c r="N18" s="40"/>
      <c r="O18" s="40"/>
      <c r="P18" s="40"/>
      <c r="Q18" s="40">
        <v>0.05</v>
      </c>
      <c r="R18" s="47"/>
      <c r="S18" s="51"/>
      <c r="T18" s="40">
        <v>0.1</v>
      </c>
      <c r="U18" s="40">
        <v>0.74</v>
      </c>
      <c r="V18" s="40">
        <v>1.55</v>
      </c>
      <c r="W18" s="40"/>
      <c r="X18" s="40">
        <v>8.17</v>
      </c>
      <c r="Y18" s="40">
        <v>27.75</v>
      </c>
      <c r="Z18" s="40">
        <v>0.7</v>
      </c>
      <c r="AA18" s="40"/>
      <c r="AB18" s="40">
        <v>341.1</v>
      </c>
      <c r="AC18" s="47"/>
      <c r="AD18" s="33">
        <v>0.5</v>
      </c>
      <c r="AE18" s="33">
        <v>6.58</v>
      </c>
      <c r="AF18" s="33">
        <v>4.01</v>
      </c>
      <c r="AG18" s="40">
        <f>1258/1000</f>
        <v>1.258</v>
      </c>
      <c r="AH18" s="40">
        <f>77.01/1000</f>
        <v>7.7010000000000009E-2</v>
      </c>
      <c r="AI18" s="40"/>
      <c r="AJ18" s="33">
        <v>15.34</v>
      </c>
      <c r="AK18" s="33">
        <v>10</v>
      </c>
      <c r="AL18" s="40">
        <f>3171/1000</f>
        <v>3.1709999999999998</v>
      </c>
      <c r="AM18" s="40">
        <v>26.92</v>
      </c>
      <c r="AN18" s="40">
        <f>136/1000</f>
        <v>0.13600000000000001</v>
      </c>
      <c r="AO18" s="67">
        <f t="shared" si="0"/>
        <v>3.1814273430782455E-2</v>
      </c>
    </row>
    <row r="19" spans="1:41" x14ac:dyDescent="0.2">
      <c r="A19" s="8"/>
      <c r="B19" s="17">
        <v>37076</v>
      </c>
      <c r="C19" s="75" t="s">
        <v>11</v>
      </c>
      <c r="D19" s="31">
        <v>173.23</v>
      </c>
      <c r="E19" s="31"/>
      <c r="F19" s="31"/>
      <c r="G19" s="31"/>
      <c r="H19" s="31">
        <v>28.02</v>
      </c>
      <c r="I19" s="31"/>
      <c r="J19" s="31">
        <v>0.37</v>
      </c>
      <c r="K19" s="34">
        <v>9.69</v>
      </c>
      <c r="L19" s="31">
        <v>143</v>
      </c>
      <c r="M19" s="31">
        <v>107</v>
      </c>
      <c r="N19" s="34"/>
      <c r="O19" s="34"/>
      <c r="P19" s="34"/>
      <c r="Q19" s="34">
        <v>0.03</v>
      </c>
      <c r="R19" s="45"/>
      <c r="S19" s="48"/>
      <c r="T19" s="34">
        <v>0.02</v>
      </c>
      <c r="U19" s="34">
        <v>0</v>
      </c>
      <c r="V19" s="34">
        <v>0.63</v>
      </c>
      <c r="W19" s="34"/>
      <c r="X19" s="34">
        <v>8.1999999999999993</v>
      </c>
      <c r="Y19" s="34">
        <v>23.5</v>
      </c>
      <c r="Z19" s="34">
        <v>0.7</v>
      </c>
      <c r="AA19" s="34"/>
      <c r="AB19" s="34">
        <v>218.2</v>
      </c>
      <c r="AC19" s="45"/>
      <c r="AD19" s="31">
        <v>0.5</v>
      </c>
      <c r="AE19" s="31">
        <v>6.85</v>
      </c>
      <c r="AF19" s="31">
        <v>6.33</v>
      </c>
      <c r="AG19" s="34">
        <f>1106/1000</f>
        <v>1.1060000000000001</v>
      </c>
      <c r="AH19" s="34">
        <f>63.62/1000</f>
        <v>6.3619999999999996E-2</v>
      </c>
      <c r="AI19" s="34"/>
      <c r="AJ19" s="31">
        <v>29.4</v>
      </c>
      <c r="AK19" s="31">
        <v>10</v>
      </c>
      <c r="AL19" s="34">
        <f>3220/1000</f>
        <v>3.22</v>
      </c>
      <c r="AM19" s="34">
        <v>26.92</v>
      </c>
      <c r="AN19" s="34">
        <f>75.49/1000</f>
        <v>7.5490000000000002E-2</v>
      </c>
      <c r="AO19" s="68">
        <f t="shared" si="0"/>
        <v>3.8183694530443756E-2</v>
      </c>
    </row>
    <row r="20" spans="1:41" x14ac:dyDescent="0.2">
      <c r="A20" s="8"/>
      <c r="B20" s="17">
        <v>37076</v>
      </c>
      <c r="C20" s="76" t="s">
        <v>12</v>
      </c>
      <c r="D20" s="31">
        <v>178.35</v>
      </c>
      <c r="E20" s="31"/>
      <c r="F20" s="31"/>
      <c r="G20" s="31"/>
      <c r="H20" s="31">
        <v>27.01</v>
      </c>
      <c r="I20" s="31"/>
      <c r="J20" s="31">
        <v>0.52</v>
      </c>
      <c r="K20" s="34">
        <v>23.62</v>
      </c>
      <c r="L20" s="31">
        <v>163</v>
      </c>
      <c r="M20" s="31">
        <v>117</v>
      </c>
      <c r="N20" s="34"/>
      <c r="O20" s="34"/>
      <c r="P20" s="34"/>
      <c r="Q20" s="34">
        <v>0.02</v>
      </c>
      <c r="R20" s="45"/>
      <c r="S20" s="48"/>
      <c r="T20" s="34">
        <v>0</v>
      </c>
      <c r="U20" s="34">
        <v>0</v>
      </c>
      <c r="V20" s="34">
        <v>0.46</v>
      </c>
      <c r="W20" s="34"/>
      <c r="X20" s="34">
        <v>8.1999999999999993</v>
      </c>
      <c r="Y20" s="34">
        <v>7</v>
      </c>
      <c r="Z20" s="34">
        <v>8</v>
      </c>
      <c r="AA20" s="34"/>
      <c r="AB20" s="34">
        <v>240.2</v>
      </c>
      <c r="AC20" s="45"/>
      <c r="AD20" s="31">
        <v>0.5</v>
      </c>
      <c r="AE20" s="31">
        <v>11.25</v>
      </c>
      <c r="AF20" s="31">
        <v>2</v>
      </c>
      <c r="AG20" s="34">
        <f>1581/1000</f>
        <v>1.581</v>
      </c>
      <c r="AH20" s="34">
        <f>39.41/1000</f>
        <v>3.9409999999999994E-2</v>
      </c>
      <c r="AI20" s="34"/>
      <c r="AJ20" s="31">
        <v>26.95</v>
      </c>
      <c r="AK20" s="31">
        <v>10</v>
      </c>
      <c r="AL20" s="34">
        <f>3271/1000</f>
        <v>3.2709999999999999</v>
      </c>
      <c r="AM20" s="34">
        <v>27.44</v>
      </c>
      <c r="AN20" s="34">
        <f>87.45/1000</f>
        <v>8.745E-2</v>
      </c>
      <c r="AO20" s="68">
        <f t="shared" si="0"/>
        <v>2.201524132091448E-2</v>
      </c>
    </row>
    <row r="21" spans="1:41" x14ac:dyDescent="0.2">
      <c r="A21" s="8">
        <v>2002</v>
      </c>
      <c r="B21" s="17">
        <v>37335</v>
      </c>
      <c r="C21" s="27" t="s">
        <v>9</v>
      </c>
      <c r="D21" s="31">
        <v>224.89</v>
      </c>
      <c r="E21" s="31">
        <v>202.81</v>
      </c>
      <c r="F21" s="31">
        <v>22.08</v>
      </c>
      <c r="G21" s="31"/>
      <c r="H21" s="31">
        <v>50.13</v>
      </c>
      <c r="I21" s="31"/>
      <c r="J21" s="31">
        <v>0.88</v>
      </c>
      <c r="K21" s="34">
        <v>11.79</v>
      </c>
      <c r="L21" s="31">
        <v>170</v>
      </c>
      <c r="M21" s="31">
        <v>133</v>
      </c>
      <c r="N21" s="34"/>
      <c r="O21" s="34"/>
      <c r="P21" s="34"/>
      <c r="Q21" s="34">
        <v>0.02</v>
      </c>
      <c r="R21" s="45"/>
      <c r="S21" s="48"/>
      <c r="T21" s="34"/>
      <c r="U21" s="34">
        <v>0</v>
      </c>
      <c r="V21" s="34">
        <v>0.45</v>
      </c>
      <c r="W21" s="34"/>
      <c r="X21" s="34">
        <v>8.6300000000000008</v>
      </c>
      <c r="Y21" s="34">
        <v>39.200000000000003</v>
      </c>
      <c r="Z21" s="34">
        <v>20.45</v>
      </c>
      <c r="AA21" s="34"/>
      <c r="AB21" s="34">
        <v>257.2</v>
      </c>
      <c r="AC21" s="45"/>
      <c r="AD21" s="31">
        <v>0.5</v>
      </c>
      <c r="AE21" s="34">
        <v>4.79</v>
      </c>
      <c r="AF21" s="31">
        <v>2</v>
      </c>
      <c r="AG21" s="34">
        <f>614/1000</f>
        <v>0.61399999999999999</v>
      </c>
      <c r="AH21" s="34">
        <f>47.47/1000</f>
        <v>4.7469999999999998E-2</v>
      </c>
      <c r="AI21" s="34"/>
      <c r="AJ21" s="34">
        <v>27.4</v>
      </c>
      <c r="AK21" s="45">
        <v>14.73</v>
      </c>
      <c r="AL21" s="34">
        <v>3.71</v>
      </c>
      <c r="AM21" s="34">
        <v>41.78</v>
      </c>
      <c r="AN21" s="34">
        <f>40.74/1000</f>
        <v>4.0740000000000005E-2</v>
      </c>
      <c r="AO21" s="68">
        <f t="shared" si="0"/>
        <v>7.4639525021204411E-2</v>
      </c>
    </row>
    <row r="22" spans="1:41" x14ac:dyDescent="0.2">
      <c r="A22" s="9"/>
      <c r="B22" s="18">
        <v>37335</v>
      </c>
      <c r="C22" s="74" t="s">
        <v>10</v>
      </c>
      <c r="D22" s="31">
        <v>230.92</v>
      </c>
      <c r="E22" s="31">
        <v>214.86</v>
      </c>
      <c r="F22" s="31">
        <v>16.059999999999999</v>
      </c>
      <c r="G22" s="31"/>
      <c r="H22" s="31">
        <v>52.69</v>
      </c>
      <c r="I22" s="31"/>
      <c r="J22" s="31">
        <v>0.9</v>
      </c>
      <c r="K22" s="34">
        <v>9.82</v>
      </c>
      <c r="L22" s="31">
        <v>210</v>
      </c>
      <c r="M22" s="31">
        <v>144</v>
      </c>
      <c r="N22" s="34"/>
      <c r="O22" s="34"/>
      <c r="P22" s="34"/>
      <c r="Q22" s="34">
        <v>0.04</v>
      </c>
      <c r="R22" s="45"/>
      <c r="S22" s="48"/>
      <c r="T22" s="34"/>
      <c r="U22" s="34">
        <v>0</v>
      </c>
      <c r="V22" s="34">
        <v>0.45</v>
      </c>
      <c r="W22" s="34"/>
      <c r="X22" s="34">
        <v>8.5</v>
      </c>
      <c r="Y22" s="34">
        <v>17.600000000000001</v>
      </c>
      <c r="Z22" s="34">
        <v>29.09</v>
      </c>
      <c r="AA22" s="34"/>
      <c r="AB22" s="34">
        <v>30</v>
      </c>
      <c r="AC22" s="45"/>
      <c r="AD22" s="31">
        <v>0.5</v>
      </c>
      <c r="AE22" s="34">
        <v>1.77</v>
      </c>
      <c r="AF22" s="31">
        <v>2</v>
      </c>
      <c r="AG22" s="34">
        <f>3/1000</f>
        <v>3.0000000000000001E-3</v>
      </c>
      <c r="AH22" s="34">
        <f>1/1000</f>
        <v>1E-3</v>
      </c>
      <c r="AI22" s="34"/>
      <c r="AJ22" s="34">
        <v>9.01</v>
      </c>
      <c r="AK22" s="45">
        <v>37.5</v>
      </c>
      <c r="AL22" s="34">
        <v>3.42</v>
      </c>
      <c r="AM22" s="34">
        <v>38.979999999999997</v>
      </c>
      <c r="AN22" s="34">
        <f>3.79/1000</f>
        <v>3.79E-3</v>
      </c>
      <c r="AO22" s="68">
        <f t="shared" si="0"/>
        <v>9.1649694501018328E-2</v>
      </c>
    </row>
    <row r="23" spans="1:41" x14ac:dyDescent="0.2">
      <c r="A23" s="8"/>
      <c r="B23" s="14">
        <v>37335</v>
      </c>
      <c r="C23" s="75" t="s">
        <v>11</v>
      </c>
      <c r="D23" s="31">
        <v>242.97</v>
      </c>
      <c r="E23" s="31">
        <v>222.89</v>
      </c>
      <c r="F23" s="31">
        <v>20.079999999999998</v>
      </c>
      <c r="G23" s="31"/>
      <c r="H23" s="31">
        <v>44.68</v>
      </c>
      <c r="I23" s="31"/>
      <c r="J23" s="31">
        <v>0.73</v>
      </c>
      <c r="K23" s="34">
        <v>1.96</v>
      </c>
      <c r="L23" s="31">
        <v>240</v>
      </c>
      <c r="M23" s="31">
        <v>162</v>
      </c>
      <c r="N23" s="34"/>
      <c r="O23" s="34"/>
      <c r="P23" s="34"/>
      <c r="Q23" s="34">
        <v>0.05</v>
      </c>
      <c r="R23" s="45"/>
      <c r="S23" s="48"/>
      <c r="T23" s="34"/>
      <c r="U23" s="34">
        <v>0</v>
      </c>
      <c r="V23" s="34">
        <v>0.39</v>
      </c>
      <c r="W23" s="34"/>
      <c r="X23" s="34">
        <v>8.5500000000000007</v>
      </c>
      <c r="Y23" s="34">
        <v>18</v>
      </c>
      <c r="Z23" s="34">
        <v>53.64</v>
      </c>
      <c r="AA23" s="34"/>
      <c r="AB23" s="34">
        <v>821.7</v>
      </c>
      <c r="AC23" s="45"/>
      <c r="AD23" s="31">
        <v>0.5</v>
      </c>
      <c r="AE23" s="34">
        <v>2.82</v>
      </c>
      <c r="AF23" s="31">
        <v>2</v>
      </c>
      <c r="AG23" s="34">
        <f>1068/1000</f>
        <v>1.0680000000000001</v>
      </c>
      <c r="AH23" s="34">
        <f>87.25/1000</f>
        <v>8.7249999999999994E-2</v>
      </c>
      <c r="AI23" s="34"/>
      <c r="AJ23" s="34">
        <v>19.28</v>
      </c>
      <c r="AK23" s="45">
        <v>10</v>
      </c>
      <c r="AL23" s="34">
        <v>3.33</v>
      </c>
      <c r="AM23" s="34">
        <v>36.89</v>
      </c>
      <c r="AN23" s="34">
        <f>18.69/1000</f>
        <v>1.8690000000000002E-2</v>
      </c>
      <c r="AO23" s="68">
        <f t="shared" si="0"/>
        <v>0.37244897959183676</v>
      </c>
    </row>
    <row r="24" spans="1:41" x14ac:dyDescent="0.2">
      <c r="A24" s="8"/>
      <c r="B24" s="14">
        <v>37335</v>
      </c>
      <c r="C24" s="76" t="s">
        <v>12</v>
      </c>
      <c r="D24" s="31">
        <v>232.93</v>
      </c>
      <c r="E24" s="31">
        <v>216.87</v>
      </c>
      <c r="F24" s="31">
        <v>16.059999999999999</v>
      </c>
      <c r="G24" s="31"/>
      <c r="H24" s="31">
        <v>43.53</v>
      </c>
      <c r="I24" s="31"/>
      <c r="J24" s="31">
        <v>0.93</v>
      </c>
      <c r="K24" s="34">
        <v>3.93</v>
      </c>
      <c r="L24" s="31">
        <v>253</v>
      </c>
      <c r="M24" s="31">
        <v>166</v>
      </c>
      <c r="N24" s="34"/>
      <c r="O24" s="34"/>
      <c r="P24" s="34"/>
      <c r="Q24" s="34">
        <v>0.09</v>
      </c>
      <c r="R24" s="45"/>
      <c r="S24" s="48"/>
      <c r="T24" s="34"/>
      <c r="U24" s="34">
        <v>0</v>
      </c>
      <c r="V24" s="34">
        <v>0.56000000000000005</v>
      </c>
      <c r="W24" s="34"/>
      <c r="X24" s="34">
        <v>8.5500000000000007</v>
      </c>
      <c r="Y24" s="34">
        <v>32</v>
      </c>
      <c r="Z24" s="34">
        <v>73.34</v>
      </c>
      <c r="AA24" s="34"/>
      <c r="AB24" s="34">
        <v>1111</v>
      </c>
      <c r="AC24" s="45"/>
      <c r="AD24" s="31">
        <v>0.5</v>
      </c>
      <c r="AE24" s="34">
        <v>5.14</v>
      </c>
      <c r="AF24" s="31">
        <v>2</v>
      </c>
      <c r="AG24" s="34">
        <f>5103/1000</f>
        <v>5.1029999999999998</v>
      </c>
      <c r="AH24" s="34">
        <f>119.5/1000</f>
        <v>0.1195</v>
      </c>
      <c r="AI24" s="34"/>
      <c r="AJ24" s="34">
        <v>27.21</v>
      </c>
      <c r="AK24" s="45">
        <v>15.67</v>
      </c>
      <c r="AL24" s="34">
        <v>3.21</v>
      </c>
      <c r="AM24" s="34">
        <v>35.61</v>
      </c>
      <c r="AN24" s="34">
        <f>30.26/1000</f>
        <v>3.0260000000000002E-2</v>
      </c>
      <c r="AO24" s="68">
        <f t="shared" si="0"/>
        <v>0.23664122137404581</v>
      </c>
    </row>
    <row r="25" spans="1:41" x14ac:dyDescent="0.2">
      <c r="A25" s="8"/>
      <c r="B25" s="14">
        <v>37566</v>
      </c>
      <c r="C25" s="27" t="s">
        <v>9</v>
      </c>
      <c r="D25" s="31"/>
      <c r="E25" s="31"/>
      <c r="F25" s="31"/>
      <c r="G25" s="31"/>
      <c r="H25" s="31"/>
      <c r="I25" s="31"/>
      <c r="J25" s="31"/>
      <c r="K25" s="34">
        <v>1.83</v>
      </c>
      <c r="L25" s="31"/>
      <c r="M25" s="31"/>
      <c r="N25" s="34"/>
      <c r="O25" s="34"/>
      <c r="P25" s="34"/>
      <c r="Q25" s="34">
        <v>0.64</v>
      </c>
      <c r="R25" s="45"/>
      <c r="S25" s="48"/>
      <c r="T25" s="34"/>
      <c r="U25" s="34"/>
      <c r="V25" s="34"/>
      <c r="W25" s="34"/>
      <c r="X25" s="34"/>
      <c r="Y25" s="34"/>
      <c r="Z25" s="34"/>
      <c r="AA25" s="34"/>
      <c r="AB25" s="34"/>
      <c r="AC25" s="45"/>
      <c r="AD25" s="31"/>
      <c r="AE25" s="34"/>
      <c r="AF25" s="45"/>
      <c r="AG25" s="34"/>
      <c r="AH25" s="34"/>
      <c r="AI25" s="34"/>
      <c r="AJ25" s="34"/>
      <c r="AK25" s="45"/>
      <c r="AL25" s="34"/>
      <c r="AM25" s="34"/>
      <c r="AN25" s="34"/>
      <c r="AO25" s="68">
        <f t="shared" si="0"/>
        <v>0</v>
      </c>
    </row>
    <row r="26" spans="1:41" x14ac:dyDescent="0.2">
      <c r="A26" s="9"/>
      <c r="B26" s="14">
        <v>37566</v>
      </c>
      <c r="C26" s="74" t="s">
        <v>10</v>
      </c>
      <c r="D26" s="31"/>
      <c r="E26" s="31"/>
      <c r="F26" s="31"/>
      <c r="G26" s="31"/>
      <c r="H26" s="31"/>
      <c r="I26" s="31"/>
      <c r="J26" s="31"/>
      <c r="K26" s="34">
        <v>1.65</v>
      </c>
      <c r="L26" s="31"/>
      <c r="M26" s="31"/>
      <c r="N26" s="34"/>
      <c r="O26" s="34"/>
      <c r="P26" s="34"/>
      <c r="Q26" s="34">
        <v>0.9</v>
      </c>
      <c r="R26" s="45"/>
      <c r="S26" s="48"/>
      <c r="T26" s="34"/>
      <c r="U26" s="34"/>
      <c r="V26" s="34"/>
      <c r="W26" s="34"/>
      <c r="X26" s="34"/>
      <c r="Y26" s="34"/>
      <c r="Z26" s="34"/>
      <c r="AA26" s="34"/>
      <c r="AB26" s="34"/>
      <c r="AC26" s="45"/>
      <c r="AD26" s="31"/>
      <c r="AE26" s="34"/>
      <c r="AF26" s="45"/>
      <c r="AG26" s="34"/>
      <c r="AH26" s="34"/>
      <c r="AI26" s="34"/>
      <c r="AJ26" s="34"/>
      <c r="AK26" s="45"/>
      <c r="AL26" s="34"/>
      <c r="AM26" s="34"/>
      <c r="AN26" s="34"/>
      <c r="AO26" s="68">
        <f t="shared" si="0"/>
        <v>0</v>
      </c>
    </row>
    <row r="27" spans="1:41" x14ac:dyDescent="0.2">
      <c r="A27" s="8"/>
      <c r="B27" s="14">
        <v>37566</v>
      </c>
      <c r="C27" s="75" t="s">
        <v>11</v>
      </c>
      <c r="D27" s="31"/>
      <c r="E27" s="31"/>
      <c r="F27" s="31"/>
      <c r="G27" s="31"/>
      <c r="H27" s="31"/>
      <c r="I27" s="31"/>
      <c r="J27" s="31"/>
      <c r="K27" s="34">
        <v>1.68</v>
      </c>
      <c r="L27" s="31"/>
      <c r="M27" s="31"/>
      <c r="N27" s="34"/>
      <c r="O27" s="34"/>
      <c r="P27" s="34"/>
      <c r="Q27" s="34">
        <v>0.91</v>
      </c>
      <c r="R27" s="45"/>
      <c r="S27" s="48"/>
      <c r="T27" s="34"/>
      <c r="U27" s="34"/>
      <c r="V27" s="34"/>
      <c r="W27" s="34"/>
      <c r="X27" s="34"/>
      <c r="Y27" s="34"/>
      <c r="Z27" s="34"/>
      <c r="AA27" s="34"/>
      <c r="AB27" s="34"/>
      <c r="AC27" s="45"/>
      <c r="AD27" s="31"/>
      <c r="AE27" s="34"/>
      <c r="AF27" s="45"/>
      <c r="AG27" s="34"/>
      <c r="AH27" s="34"/>
      <c r="AI27" s="34"/>
      <c r="AJ27" s="34"/>
      <c r="AK27" s="45"/>
      <c r="AL27" s="34"/>
      <c r="AM27" s="34"/>
      <c r="AN27" s="34"/>
      <c r="AO27" s="68">
        <f t="shared" si="0"/>
        <v>0</v>
      </c>
    </row>
    <row r="28" spans="1:41" x14ac:dyDescent="0.2">
      <c r="A28" s="8"/>
      <c r="B28" s="14">
        <v>37566</v>
      </c>
      <c r="C28" s="76" t="s">
        <v>12</v>
      </c>
      <c r="D28" s="31"/>
      <c r="E28" s="31"/>
      <c r="F28" s="31"/>
      <c r="G28" s="31"/>
      <c r="H28" s="31"/>
      <c r="I28" s="31"/>
      <c r="J28" s="31"/>
      <c r="K28" s="34">
        <v>1.75</v>
      </c>
      <c r="L28" s="31"/>
      <c r="M28" s="31"/>
      <c r="N28" s="34"/>
      <c r="O28" s="34"/>
      <c r="P28" s="34"/>
      <c r="Q28" s="34">
        <v>1.17</v>
      </c>
      <c r="R28" s="45"/>
      <c r="S28" s="48"/>
      <c r="T28" s="34"/>
      <c r="U28" s="34"/>
      <c r="V28" s="34"/>
      <c r="W28" s="34"/>
      <c r="X28" s="34"/>
      <c r="Y28" s="34"/>
      <c r="Z28" s="34"/>
      <c r="AA28" s="34"/>
      <c r="AB28" s="34"/>
      <c r="AC28" s="45"/>
      <c r="AD28" s="31"/>
      <c r="AE28" s="34"/>
      <c r="AF28" s="45"/>
      <c r="AG28" s="34"/>
      <c r="AH28" s="34"/>
      <c r="AI28" s="34"/>
      <c r="AJ28" s="34"/>
      <c r="AK28" s="45"/>
      <c r="AL28" s="34"/>
      <c r="AM28" s="34"/>
      <c r="AN28" s="34"/>
      <c r="AO28" s="68">
        <f t="shared" si="0"/>
        <v>0</v>
      </c>
    </row>
    <row r="29" spans="1:41" x14ac:dyDescent="0.2">
      <c r="A29" s="10"/>
      <c r="B29" s="14">
        <v>37594</v>
      </c>
      <c r="C29" s="27" t="s">
        <v>9</v>
      </c>
      <c r="D29" s="34"/>
      <c r="E29" s="34"/>
      <c r="F29" s="34"/>
      <c r="G29" s="34"/>
      <c r="H29" s="34"/>
      <c r="I29" s="31"/>
      <c r="J29" s="31">
        <v>0.73</v>
      </c>
      <c r="K29" s="34"/>
      <c r="L29" s="31"/>
      <c r="M29" s="31"/>
      <c r="N29" s="34"/>
      <c r="O29" s="34"/>
      <c r="P29" s="34"/>
      <c r="Q29" s="34">
        <v>0.03</v>
      </c>
      <c r="R29" s="45"/>
      <c r="S29" s="48"/>
      <c r="T29" s="34">
        <v>0.02</v>
      </c>
      <c r="U29" s="34"/>
      <c r="V29" s="34"/>
      <c r="W29" s="34"/>
      <c r="X29" s="34">
        <v>8.8000000000000007</v>
      </c>
      <c r="Y29" s="34"/>
      <c r="Z29" s="34"/>
      <c r="AA29" s="34"/>
      <c r="AB29" s="34"/>
      <c r="AC29" s="45"/>
      <c r="AD29" s="31"/>
      <c r="AE29" s="34"/>
      <c r="AF29" s="45"/>
      <c r="AG29" s="34"/>
      <c r="AH29" s="34"/>
      <c r="AI29" s="34"/>
      <c r="AJ29" s="34"/>
      <c r="AK29" s="45"/>
      <c r="AL29" s="34"/>
      <c r="AM29" s="34"/>
      <c r="AN29" s="34"/>
      <c r="AO29" s="68" t="e">
        <f t="shared" si="0"/>
        <v>#DIV/0!</v>
      </c>
    </row>
    <row r="30" spans="1:41" x14ac:dyDescent="0.2">
      <c r="A30" s="9"/>
      <c r="B30" s="14">
        <v>37594</v>
      </c>
      <c r="C30" s="74" t="s">
        <v>10</v>
      </c>
      <c r="D30" s="34"/>
      <c r="E30" s="34"/>
      <c r="F30" s="34"/>
      <c r="G30" s="34"/>
      <c r="H30" s="34"/>
      <c r="I30" s="31"/>
      <c r="J30" s="31">
        <v>0.95</v>
      </c>
      <c r="K30" s="34"/>
      <c r="L30" s="31"/>
      <c r="M30" s="31"/>
      <c r="N30" s="34"/>
      <c r="O30" s="34"/>
      <c r="P30" s="34"/>
      <c r="Q30" s="34">
        <v>0</v>
      </c>
      <c r="R30" s="45"/>
      <c r="S30" s="48"/>
      <c r="T30" s="34">
        <v>0.01</v>
      </c>
      <c r="U30" s="34"/>
      <c r="V30" s="34"/>
      <c r="W30" s="34"/>
      <c r="X30" s="34">
        <v>8.6</v>
      </c>
      <c r="Y30" s="34"/>
      <c r="Z30" s="34"/>
      <c r="AA30" s="34"/>
      <c r="AB30" s="34"/>
      <c r="AC30" s="45"/>
      <c r="AD30" s="31"/>
      <c r="AE30" s="34"/>
      <c r="AF30" s="45"/>
      <c r="AG30" s="34"/>
      <c r="AH30" s="34"/>
      <c r="AI30" s="34"/>
      <c r="AJ30" s="34"/>
      <c r="AK30" s="45"/>
      <c r="AL30" s="34"/>
      <c r="AM30" s="34"/>
      <c r="AN30" s="34"/>
      <c r="AO30" s="68" t="e">
        <f t="shared" si="0"/>
        <v>#DIV/0!</v>
      </c>
    </row>
    <row r="31" spans="1:41" x14ac:dyDescent="0.2">
      <c r="A31" s="8"/>
      <c r="B31" s="14">
        <v>37594</v>
      </c>
      <c r="C31" s="75" t="s">
        <v>11</v>
      </c>
      <c r="D31" s="34"/>
      <c r="E31" s="34"/>
      <c r="F31" s="34"/>
      <c r="G31" s="34"/>
      <c r="H31" s="34"/>
      <c r="I31" s="31"/>
      <c r="J31" s="31">
        <v>0.55000000000000004</v>
      </c>
      <c r="K31" s="34"/>
      <c r="L31" s="31"/>
      <c r="M31" s="31"/>
      <c r="N31" s="34"/>
      <c r="O31" s="34"/>
      <c r="P31" s="34"/>
      <c r="Q31" s="34">
        <v>0.04</v>
      </c>
      <c r="R31" s="45"/>
      <c r="S31" s="48"/>
      <c r="T31" s="34">
        <v>0.03</v>
      </c>
      <c r="U31" s="34"/>
      <c r="V31" s="34"/>
      <c r="W31" s="34"/>
      <c r="X31" s="34">
        <v>8.6999999999999993</v>
      </c>
      <c r="Y31" s="34"/>
      <c r="Z31" s="34"/>
      <c r="AA31" s="34"/>
      <c r="AB31" s="34"/>
      <c r="AC31" s="45"/>
      <c r="AD31" s="31"/>
      <c r="AE31" s="34"/>
      <c r="AF31" s="45"/>
      <c r="AG31" s="34"/>
      <c r="AH31" s="34"/>
      <c r="AI31" s="34"/>
      <c r="AJ31" s="34"/>
      <c r="AK31" s="45"/>
      <c r="AL31" s="34"/>
      <c r="AM31" s="34"/>
      <c r="AN31" s="34"/>
      <c r="AO31" s="68" t="e">
        <f t="shared" si="0"/>
        <v>#DIV/0!</v>
      </c>
    </row>
    <row r="32" spans="1:41" x14ac:dyDescent="0.2">
      <c r="A32" s="8"/>
      <c r="B32" s="14">
        <v>37594</v>
      </c>
      <c r="C32" s="76" t="s">
        <v>12</v>
      </c>
      <c r="D32" s="34"/>
      <c r="E32" s="34"/>
      <c r="F32" s="34"/>
      <c r="G32" s="34"/>
      <c r="H32" s="34"/>
      <c r="I32" s="31"/>
      <c r="J32" s="31">
        <v>0.48</v>
      </c>
      <c r="K32" s="34"/>
      <c r="L32" s="31"/>
      <c r="M32" s="31"/>
      <c r="N32" s="34"/>
      <c r="O32" s="34"/>
      <c r="P32" s="34"/>
      <c r="Q32" s="34">
        <v>0.03</v>
      </c>
      <c r="R32" s="45"/>
      <c r="S32" s="48"/>
      <c r="T32" s="34">
        <v>0.01</v>
      </c>
      <c r="U32" s="34"/>
      <c r="V32" s="34"/>
      <c r="W32" s="34"/>
      <c r="X32" s="34">
        <v>8.6999999999999993</v>
      </c>
      <c r="Y32" s="34"/>
      <c r="Z32" s="34"/>
      <c r="AA32" s="34"/>
      <c r="AB32" s="34"/>
      <c r="AC32" s="45"/>
      <c r="AD32" s="31"/>
      <c r="AE32" s="34"/>
      <c r="AF32" s="45"/>
      <c r="AG32" s="34"/>
      <c r="AH32" s="34"/>
      <c r="AI32" s="34"/>
      <c r="AJ32" s="34"/>
      <c r="AK32" s="45"/>
      <c r="AL32" s="34"/>
      <c r="AM32" s="34"/>
      <c r="AN32" s="34"/>
      <c r="AO32" s="68" t="e">
        <f t="shared" si="0"/>
        <v>#DIV/0!</v>
      </c>
    </row>
    <row r="33" spans="1:41" x14ac:dyDescent="0.2">
      <c r="A33" s="10">
        <v>2003</v>
      </c>
      <c r="B33" s="14">
        <v>37711</v>
      </c>
      <c r="C33" s="27" t="s">
        <v>9</v>
      </c>
      <c r="D33" s="34"/>
      <c r="E33" s="34"/>
      <c r="F33" s="34"/>
      <c r="G33" s="34"/>
      <c r="H33" s="34"/>
      <c r="I33" s="31"/>
      <c r="J33" s="31">
        <v>0.5</v>
      </c>
      <c r="K33" s="34"/>
      <c r="L33" s="31"/>
      <c r="M33" s="31"/>
      <c r="N33" s="34"/>
      <c r="O33" s="34"/>
      <c r="P33" s="34"/>
      <c r="Q33" s="34">
        <v>0.09</v>
      </c>
      <c r="R33" s="45"/>
      <c r="S33" s="48"/>
      <c r="T33" s="34"/>
      <c r="U33" s="34"/>
      <c r="V33" s="34"/>
      <c r="W33" s="34"/>
      <c r="X33" s="34"/>
      <c r="Y33" s="34"/>
      <c r="Z33" s="34"/>
      <c r="AA33" s="34"/>
      <c r="AB33" s="34"/>
      <c r="AC33" s="45"/>
      <c r="AD33" s="31"/>
      <c r="AE33" s="34"/>
      <c r="AF33" s="45"/>
      <c r="AG33" s="34"/>
      <c r="AH33" s="34"/>
      <c r="AI33" s="34"/>
      <c r="AJ33" s="34"/>
      <c r="AK33" s="45"/>
      <c r="AL33" s="34"/>
      <c r="AM33" s="34"/>
      <c r="AN33" s="34"/>
      <c r="AO33" s="68" t="e">
        <f t="shared" si="0"/>
        <v>#DIV/0!</v>
      </c>
    </row>
    <row r="34" spans="1:41" x14ac:dyDescent="0.2">
      <c r="A34" s="9"/>
      <c r="B34" s="18">
        <v>37711</v>
      </c>
      <c r="C34" s="74" t="s">
        <v>10</v>
      </c>
      <c r="D34" s="34"/>
      <c r="E34" s="34"/>
      <c r="F34" s="34"/>
      <c r="G34" s="34"/>
      <c r="H34" s="34"/>
      <c r="I34" s="31"/>
      <c r="J34" s="31">
        <v>0.8</v>
      </c>
      <c r="K34" s="34"/>
      <c r="L34" s="31"/>
      <c r="M34" s="31"/>
      <c r="N34" s="34"/>
      <c r="O34" s="34"/>
      <c r="P34" s="34"/>
      <c r="Q34" s="34">
        <v>0.47</v>
      </c>
      <c r="R34" s="45"/>
      <c r="S34" s="48"/>
      <c r="T34" s="34"/>
      <c r="U34" s="34"/>
      <c r="V34" s="34"/>
      <c r="W34" s="34"/>
      <c r="X34" s="34"/>
      <c r="Y34" s="34"/>
      <c r="Z34" s="34"/>
      <c r="AA34" s="34"/>
      <c r="AB34" s="34"/>
      <c r="AC34" s="45"/>
      <c r="AD34" s="31"/>
      <c r="AE34" s="34"/>
      <c r="AF34" s="45"/>
      <c r="AG34" s="34"/>
      <c r="AH34" s="34"/>
      <c r="AI34" s="34"/>
      <c r="AJ34" s="34"/>
      <c r="AK34" s="45"/>
      <c r="AL34" s="34"/>
      <c r="AM34" s="34"/>
      <c r="AN34" s="34"/>
      <c r="AO34" s="68" t="e">
        <f t="shared" si="0"/>
        <v>#DIV/0!</v>
      </c>
    </row>
    <row r="35" spans="1:41" x14ac:dyDescent="0.2">
      <c r="A35" s="8"/>
      <c r="B35" s="18">
        <v>37711</v>
      </c>
      <c r="C35" s="75" t="s">
        <v>11</v>
      </c>
      <c r="D35" s="34"/>
      <c r="E35" s="34"/>
      <c r="F35" s="34"/>
      <c r="G35" s="34"/>
      <c r="H35" s="34"/>
      <c r="I35" s="31"/>
      <c r="J35" s="31"/>
      <c r="K35" s="34"/>
      <c r="L35" s="31"/>
      <c r="M35" s="31"/>
      <c r="N35" s="34"/>
      <c r="O35" s="34"/>
      <c r="P35" s="34"/>
      <c r="Q35" s="34"/>
      <c r="R35" s="45"/>
      <c r="S35" s="48"/>
      <c r="T35" s="34"/>
      <c r="U35" s="34"/>
      <c r="V35" s="34"/>
      <c r="W35" s="34"/>
      <c r="X35" s="34"/>
      <c r="Y35" s="34"/>
      <c r="Z35" s="34"/>
      <c r="AA35" s="34"/>
      <c r="AB35" s="34"/>
      <c r="AC35" s="45"/>
      <c r="AD35" s="31"/>
      <c r="AE35" s="34"/>
      <c r="AF35" s="45"/>
      <c r="AG35" s="34"/>
      <c r="AH35" s="34"/>
      <c r="AI35" s="34"/>
      <c r="AJ35" s="34"/>
      <c r="AK35" s="45"/>
      <c r="AL35" s="34"/>
      <c r="AM35" s="34"/>
      <c r="AN35" s="34"/>
      <c r="AO35" s="68" t="e">
        <f t="shared" si="0"/>
        <v>#DIV/0!</v>
      </c>
    </row>
    <row r="36" spans="1:41" x14ac:dyDescent="0.2">
      <c r="A36" s="8"/>
      <c r="B36" s="18">
        <v>37711</v>
      </c>
      <c r="C36" s="76" t="s">
        <v>12</v>
      </c>
      <c r="D36" s="34"/>
      <c r="E36" s="34"/>
      <c r="F36" s="34"/>
      <c r="G36" s="34"/>
      <c r="H36" s="34"/>
      <c r="I36" s="31"/>
      <c r="J36" s="31"/>
      <c r="K36" s="34"/>
      <c r="L36" s="31"/>
      <c r="M36" s="31"/>
      <c r="N36" s="34"/>
      <c r="O36" s="34"/>
      <c r="P36" s="34"/>
      <c r="Q36" s="34"/>
      <c r="R36" s="45"/>
      <c r="S36" s="48"/>
      <c r="T36" s="34"/>
      <c r="U36" s="34"/>
      <c r="V36" s="34"/>
      <c r="W36" s="34"/>
      <c r="X36" s="34"/>
      <c r="Y36" s="34"/>
      <c r="Z36" s="34"/>
      <c r="AA36" s="34"/>
      <c r="AB36" s="34"/>
      <c r="AC36" s="45"/>
      <c r="AD36" s="31"/>
      <c r="AE36" s="34"/>
      <c r="AF36" s="45"/>
      <c r="AG36" s="34"/>
      <c r="AH36" s="34"/>
      <c r="AI36" s="34"/>
      <c r="AJ36" s="34"/>
      <c r="AK36" s="45"/>
      <c r="AL36" s="34"/>
      <c r="AM36" s="34"/>
      <c r="AN36" s="34"/>
      <c r="AO36" s="68" t="e">
        <f t="shared" si="0"/>
        <v>#DIV/0!</v>
      </c>
    </row>
    <row r="37" spans="1:41" x14ac:dyDescent="0.2">
      <c r="A37" s="10"/>
      <c r="B37" s="18">
        <v>37739</v>
      </c>
      <c r="C37" s="27" t="s">
        <v>9</v>
      </c>
      <c r="D37" s="34"/>
      <c r="E37" s="34"/>
      <c r="F37" s="34"/>
      <c r="G37" s="34"/>
      <c r="H37" s="34"/>
      <c r="I37" s="31"/>
      <c r="J37" s="31"/>
      <c r="K37" s="34"/>
      <c r="L37" s="31"/>
      <c r="M37" s="31"/>
      <c r="N37" s="34"/>
      <c r="O37" s="34"/>
      <c r="P37" s="34"/>
      <c r="Q37" s="34"/>
      <c r="R37" s="45"/>
      <c r="S37" s="48"/>
      <c r="T37" s="34"/>
      <c r="U37" s="34"/>
      <c r="V37" s="34"/>
      <c r="W37" s="34"/>
      <c r="X37" s="34"/>
      <c r="Y37" s="34"/>
      <c r="Z37" s="34"/>
      <c r="AA37" s="34"/>
      <c r="AB37" s="34"/>
      <c r="AC37" s="45"/>
      <c r="AD37" s="31"/>
      <c r="AE37" s="34"/>
      <c r="AF37" s="45"/>
      <c r="AG37" s="34"/>
      <c r="AH37" s="34"/>
      <c r="AI37" s="34"/>
      <c r="AJ37" s="34"/>
      <c r="AK37" s="45"/>
      <c r="AL37" s="34"/>
      <c r="AM37" s="34"/>
      <c r="AN37" s="34"/>
      <c r="AO37" s="68" t="e">
        <f t="shared" si="0"/>
        <v>#DIV/0!</v>
      </c>
    </row>
    <row r="38" spans="1:41" x14ac:dyDescent="0.2">
      <c r="A38" s="9"/>
      <c r="B38" s="18">
        <v>37739</v>
      </c>
      <c r="C38" s="74" t="s">
        <v>10</v>
      </c>
      <c r="D38" s="34"/>
      <c r="E38" s="34"/>
      <c r="F38" s="34"/>
      <c r="G38" s="34"/>
      <c r="H38" s="34"/>
      <c r="I38" s="31"/>
      <c r="J38" s="31"/>
      <c r="K38" s="34"/>
      <c r="L38" s="31"/>
      <c r="M38" s="31"/>
      <c r="N38" s="34"/>
      <c r="O38" s="34"/>
      <c r="P38" s="34"/>
      <c r="Q38" s="34"/>
      <c r="R38" s="45"/>
      <c r="S38" s="48"/>
      <c r="T38" s="34"/>
      <c r="U38" s="34"/>
      <c r="V38" s="34"/>
      <c r="W38" s="34"/>
      <c r="X38" s="34"/>
      <c r="Y38" s="34"/>
      <c r="Z38" s="34"/>
      <c r="AA38" s="34"/>
      <c r="AB38" s="34"/>
      <c r="AC38" s="45"/>
      <c r="AD38" s="31"/>
      <c r="AE38" s="34"/>
      <c r="AF38" s="45"/>
      <c r="AG38" s="34"/>
      <c r="AH38" s="34"/>
      <c r="AI38" s="34"/>
      <c r="AJ38" s="34"/>
      <c r="AK38" s="45"/>
      <c r="AL38" s="34"/>
      <c r="AM38" s="34"/>
      <c r="AN38" s="34"/>
      <c r="AO38" s="68" t="e">
        <f t="shared" si="0"/>
        <v>#DIV/0!</v>
      </c>
    </row>
    <row r="39" spans="1:41" x14ac:dyDescent="0.2">
      <c r="A39" s="8"/>
      <c r="B39" s="18">
        <v>37739</v>
      </c>
      <c r="C39" s="75" t="s">
        <v>11</v>
      </c>
      <c r="D39" s="34"/>
      <c r="E39" s="34"/>
      <c r="F39" s="34"/>
      <c r="G39" s="34"/>
      <c r="H39" s="34"/>
      <c r="I39" s="31"/>
      <c r="J39" s="31"/>
      <c r="K39" s="34"/>
      <c r="L39" s="31"/>
      <c r="M39" s="31"/>
      <c r="N39" s="34"/>
      <c r="O39" s="34"/>
      <c r="P39" s="34"/>
      <c r="Q39" s="34"/>
      <c r="R39" s="45"/>
      <c r="S39" s="48"/>
      <c r="T39" s="34"/>
      <c r="U39" s="34"/>
      <c r="V39" s="34"/>
      <c r="W39" s="34"/>
      <c r="X39" s="34"/>
      <c r="Y39" s="34"/>
      <c r="Z39" s="34"/>
      <c r="AA39" s="34"/>
      <c r="AB39" s="34"/>
      <c r="AC39" s="45"/>
      <c r="AD39" s="31"/>
      <c r="AE39" s="34"/>
      <c r="AF39" s="45"/>
      <c r="AG39" s="34"/>
      <c r="AH39" s="34"/>
      <c r="AI39" s="34"/>
      <c r="AJ39" s="34"/>
      <c r="AK39" s="45"/>
      <c r="AL39" s="34"/>
      <c r="AM39" s="34"/>
      <c r="AN39" s="34"/>
      <c r="AO39" s="68" t="e">
        <f t="shared" si="0"/>
        <v>#DIV/0!</v>
      </c>
    </row>
    <row r="40" spans="1:41" x14ac:dyDescent="0.2">
      <c r="A40" s="8"/>
      <c r="B40" s="19">
        <v>37739</v>
      </c>
      <c r="C40" s="76" t="s">
        <v>12</v>
      </c>
      <c r="D40" s="34"/>
      <c r="E40" s="34"/>
      <c r="F40" s="34"/>
      <c r="G40" s="34"/>
      <c r="H40" s="34"/>
      <c r="I40" s="31"/>
      <c r="J40" s="31"/>
      <c r="K40" s="34"/>
      <c r="L40" s="31"/>
      <c r="M40" s="31"/>
      <c r="N40" s="34"/>
      <c r="O40" s="34"/>
      <c r="P40" s="34"/>
      <c r="Q40" s="34"/>
      <c r="R40" s="45"/>
      <c r="S40" s="48"/>
      <c r="T40" s="34"/>
      <c r="U40" s="34"/>
      <c r="V40" s="34"/>
      <c r="W40" s="34"/>
      <c r="X40" s="34"/>
      <c r="Y40" s="34"/>
      <c r="Z40" s="34"/>
      <c r="AA40" s="34"/>
      <c r="AB40" s="34"/>
      <c r="AC40" s="45"/>
      <c r="AD40" s="31"/>
      <c r="AE40" s="34"/>
      <c r="AF40" s="45"/>
      <c r="AG40" s="34"/>
      <c r="AH40" s="34"/>
      <c r="AI40" s="34"/>
      <c r="AJ40" s="34"/>
      <c r="AK40" s="45"/>
      <c r="AL40" s="34"/>
      <c r="AM40" s="34"/>
      <c r="AN40" s="34"/>
      <c r="AO40" s="68" t="e">
        <f t="shared" si="0"/>
        <v>#DIV/0!</v>
      </c>
    </row>
    <row r="41" spans="1:41" x14ac:dyDescent="0.2">
      <c r="A41" s="10"/>
      <c r="B41" s="19">
        <v>37825</v>
      </c>
      <c r="C41" s="27" t="s">
        <v>9</v>
      </c>
      <c r="D41" s="34"/>
      <c r="E41" s="34"/>
      <c r="F41" s="34"/>
      <c r="G41" s="34"/>
      <c r="H41" s="34"/>
      <c r="I41" s="31"/>
      <c r="J41" s="31">
        <v>0.75</v>
      </c>
      <c r="K41" s="34"/>
      <c r="L41" s="31"/>
      <c r="M41" s="31"/>
      <c r="N41" s="34"/>
      <c r="O41" s="34"/>
      <c r="P41" s="34"/>
      <c r="Q41" s="34">
        <v>0.05</v>
      </c>
      <c r="R41" s="45"/>
      <c r="S41" s="48"/>
      <c r="T41" s="34"/>
      <c r="U41" s="34"/>
      <c r="V41" s="34"/>
      <c r="W41" s="34"/>
      <c r="X41" s="34"/>
      <c r="Y41" s="34"/>
      <c r="Z41" s="34"/>
      <c r="AA41" s="34"/>
      <c r="AB41" s="34"/>
      <c r="AC41" s="45"/>
      <c r="AD41" s="31"/>
      <c r="AE41" s="34"/>
      <c r="AF41" s="45"/>
      <c r="AG41" s="34"/>
      <c r="AH41" s="34"/>
      <c r="AI41" s="34"/>
      <c r="AJ41" s="34"/>
      <c r="AK41" s="45"/>
      <c r="AL41" s="34"/>
      <c r="AM41" s="34"/>
      <c r="AN41" s="34"/>
      <c r="AO41" s="68" t="e">
        <f t="shared" si="0"/>
        <v>#DIV/0!</v>
      </c>
    </row>
    <row r="42" spans="1:41" x14ac:dyDescent="0.2">
      <c r="A42" s="9"/>
      <c r="B42" s="19">
        <v>37825</v>
      </c>
      <c r="C42" s="74" t="s">
        <v>10</v>
      </c>
      <c r="D42" s="34"/>
      <c r="E42" s="34"/>
      <c r="F42" s="34"/>
      <c r="G42" s="34"/>
      <c r="H42" s="34"/>
      <c r="I42" s="31"/>
      <c r="J42" s="31">
        <v>0.75</v>
      </c>
      <c r="K42" s="34"/>
      <c r="L42" s="31"/>
      <c r="M42" s="31"/>
      <c r="N42" s="34"/>
      <c r="O42" s="34"/>
      <c r="P42" s="34"/>
      <c r="Q42" s="34">
        <v>0.06</v>
      </c>
      <c r="R42" s="45"/>
      <c r="S42" s="48"/>
      <c r="T42" s="34"/>
      <c r="U42" s="34"/>
      <c r="V42" s="34"/>
      <c r="W42" s="34"/>
      <c r="X42" s="34"/>
      <c r="Y42" s="34"/>
      <c r="Z42" s="34"/>
      <c r="AA42" s="34"/>
      <c r="AB42" s="34"/>
      <c r="AC42" s="45"/>
      <c r="AD42" s="31"/>
      <c r="AE42" s="34"/>
      <c r="AF42" s="45"/>
      <c r="AG42" s="34"/>
      <c r="AH42" s="34"/>
      <c r="AI42" s="34"/>
      <c r="AJ42" s="34"/>
      <c r="AK42" s="45"/>
      <c r="AL42" s="34"/>
      <c r="AM42" s="34"/>
      <c r="AN42" s="34"/>
      <c r="AO42" s="68" t="e">
        <f t="shared" si="0"/>
        <v>#DIV/0!</v>
      </c>
    </row>
    <row r="43" spans="1:41" x14ac:dyDescent="0.2">
      <c r="A43" s="8"/>
      <c r="B43" s="19">
        <v>37825</v>
      </c>
      <c r="C43" s="75" t="s">
        <v>11</v>
      </c>
      <c r="D43" s="34"/>
      <c r="E43" s="34"/>
      <c r="F43" s="34"/>
      <c r="G43" s="34"/>
      <c r="H43" s="34"/>
      <c r="I43" s="31"/>
      <c r="J43" s="31">
        <v>0.88</v>
      </c>
      <c r="K43" s="34"/>
      <c r="L43" s="31"/>
      <c r="M43" s="31"/>
      <c r="N43" s="34"/>
      <c r="O43" s="34"/>
      <c r="P43" s="34"/>
      <c r="Q43" s="34"/>
      <c r="R43" s="45"/>
      <c r="S43" s="48"/>
      <c r="T43" s="34"/>
      <c r="U43" s="34"/>
      <c r="V43" s="34"/>
      <c r="W43" s="34"/>
      <c r="X43" s="34"/>
      <c r="Y43" s="34"/>
      <c r="Z43" s="34"/>
      <c r="AA43" s="34"/>
      <c r="AB43" s="34"/>
      <c r="AC43" s="45"/>
      <c r="AD43" s="31"/>
      <c r="AE43" s="34"/>
      <c r="AF43" s="45"/>
      <c r="AG43" s="34"/>
      <c r="AH43" s="34"/>
      <c r="AI43" s="34"/>
      <c r="AJ43" s="34"/>
      <c r="AK43" s="45"/>
      <c r="AL43" s="34"/>
      <c r="AM43" s="34"/>
      <c r="AN43" s="34"/>
      <c r="AO43" s="68" t="e">
        <f t="shared" si="0"/>
        <v>#DIV/0!</v>
      </c>
    </row>
    <row r="44" spans="1:41" x14ac:dyDescent="0.2">
      <c r="A44" s="8"/>
      <c r="B44" s="19">
        <v>37825</v>
      </c>
      <c r="C44" s="76" t="s">
        <v>12</v>
      </c>
      <c r="D44" s="34"/>
      <c r="E44" s="34"/>
      <c r="F44" s="34"/>
      <c r="G44" s="34"/>
      <c r="H44" s="34"/>
      <c r="I44" s="31"/>
      <c r="J44" s="31">
        <v>1.1000000000000001</v>
      </c>
      <c r="K44" s="34"/>
      <c r="L44" s="31"/>
      <c r="M44" s="31"/>
      <c r="N44" s="34"/>
      <c r="O44" s="34"/>
      <c r="P44" s="34"/>
      <c r="Q44" s="34"/>
      <c r="R44" s="45"/>
      <c r="S44" s="48"/>
      <c r="T44" s="34"/>
      <c r="U44" s="34"/>
      <c r="V44" s="34"/>
      <c r="W44" s="34"/>
      <c r="X44" s="34"/>
      <c r="Y44" s="34"/>
      <c r="Z44" s="34"/>
      <c r="AA44" s="34"/>
      <c r="AB44" s="34"/>
      <c r="AC44" s="45"/>
      <c r="AD44" s="31"/>
      <c r="AE44" s="34"/>
      <c r="AF44" s="45"/>
      <c r="AG44" s="34"/>
      <c r="AH44" s="34"/>
      <c r="AI44" s="34"/>
      <c r="AJ44" s="34"/>
      <c r="AK44" s="45"/>
      <c r="AL44" s="34"/>
      <c r="AM44" s="34"/>
      <c r="AN44" s="34"/>
      <c r="AO44" s="68" t="e">
        <f t="shared" si="0"/>
        <v>#DIV/0!</v>
      </c>
    </row>
    <row r="45" spans="1:41" x14ac:dyDescent="0.2">
      <c r="A45" s="10"/>
      <c r="B45" s="20">
        <v>37888</v>
      </c>
      <c r="C45" s="27" t="s">
        <v>9</v>
      </c>
      <c r="D45" s="34"/>
      <c r="E45" s="34"/>
      <c r="F45" s="34"/>
      <c r="G45" s="34"/>
      <c r="H45" s="34"/>
      <c r="I45" s="31"/>
      <c r="J45" s="31">
        <v>1.4</v>
      </c>
      <c r="K45" s="34">
        <v>23.7</v>
      </c>
      <c r="L45" s="31"/>
      <c r="M45" s="31"/>
      <c r="N45" s="34"/>
      <c r="O45" s="34"/>
      <c r="P45" s="34"/>
      <c r="Q45" s="34">
        <v>7.0000000000000007E-2</v>
      </c>
      <c r="R45" s="45"/>
      <c r="S45" s="48"/>
      <c r="T45" s="34"/>
      <c r="U45" s="34"/>
      <c r="V45" s="34"/>
      <c r="W45" s="34"/>
      <c r="X45" s="34"/>
      <c r="Y45" s="34"/>
      <c r="Z45" s="34"/>
      <c r="AA45" s="34"/>
      <c r="AB45" s="34"/>
      <c r="AC45" s="45"/>
      <c r="AD45" s="45">
        <v>0.5</v>
      </c>
      <c r="AE45" s="34"/>
      <c r="AF45" s="45">
        <v>2</v>
      </c>
      <c r="AG45" s="34"/>
      <c r="AH45" s="34">
        <f>6.9/1000</f>
        <v>6.9000000000000008E-3</v>
      </c>
      <c r="AI45" s="34"/>
      <c r="AJ45" s="34"/>
      <c r="AK45" s="45">
        <v>25.4</v>
      </c>
      <c r="AL45" s="34"/>
      <c r="AM45" s="34"/>
      <c r="AN45" s="34"/>
      <c r="AO45" s="68">
        <f t="shared" si="0"/>
        <v>5.9071729957805907E-2</v>
      </c>
    </row>
    <row r="46" spans="1:41" x14ac:dyDescent="0.2">
      <c r="A46" s="9"/>
      <c r="B46" s="20">
        <v>37888</v>
      </c>
      <c r="C46" s="74" t="s">
        <v>10</v>
      </c>
      <c r="D46" s="34"/>
      <c r="E46" s="34"/>
      <c r="F46" s="34"/>
      <c r="G46" s="34"/>
      <c r="H46" s="34"/>
      <c r="I46" s="31"/>
      <c r="J46" s="31">
        <v>1</v>
      </c>
      <c r="K46" s="34">
        <v>21.8</v>
      </c>
      <c r="L46" s="31"/>
      <c r="M46" s="31"/>
      <c r="N46" s="34"/>
      <c r="O46" s="34"/>
      <c r="P46" s="34"/>
      <c r="Q46" s="34">
        <v>0.08</v>
      </c>
      <c r="R46" s="45"/>
      <c r="S46" s="48"/>
      <c r="T46" s="34"/>
      <c r="U46" s="34"/>
      <c r="V46" s="34"/>
      <c r="W46" s="34"/>
      <c r="X46" s="34"/>
      <c r="Y46" s="34"/>
      <c r="Z46" s="34"/>
      <c r="AA46" s="34"/>
      <c r="AB46" s="34"/>
      <c r="AC46" s="45"/>
      <c r="AD46" s="45">
        <v>0.5</v>
      </c>
      <c r="AE46" s="34"/>
      <c r="AF46" s="45">
        <v>2.5</v>
      </c>
      <c r="AG46" s="34"/>
      <c r="AH46" s="34">
        <f>373.6/1000</f>
        <v>0.37360000000000004</v>
      </c>
      <c r="AI46" s="34"/>
      <c r="AJ46" s="34"/>
      <c r="AK46" s="45">
        <v>38</v>
      </c>
      <c r="AL46" s="34"/>
      <c r="AM46" s="34"/>
      <c r="AN46" s="34"/>
      <c r="AO46" s="68">
        <f t="shared" si="0"/>
        <v>4.5871559633027519E-2</v>
      </c>
    </row>
    <row r="47" spans="1:41" x14ac:dyDescent="0.2">
      <c r="A47" s="8"/>
      <c r="B47" s="20">
        <v>37888</v>
      </c>
      <c r="C47" s="75" t="s">
        <v>11</v>
      </c>
      <c r="D47" s="34"/>
      <c r="E47" s="34"/>
      <c r="F47" s="34"/>
      <c r="G47" s="34"/>
      <c r="H47" s="34"/>
      <c r="I47" s="31"/>
      <c r="J47" s="31">
        <v>1.5</v>
      </c>
      <c r="K47" s="34">
        <v>27.7</v>
      </c>
      <c r="L47" s="31"/>
      <c r="M47" s="31"/>
      <c r="N47" s="34"/>
      <c r="O47" s="34"/>
      <c r="P47" s="34"/>
      <c r="Q47" s="34">
        <v>0.05</v>
      </c>
      <c r="R47" s="45"/>
      <c r="S47" s="48"/>
      <c r="T47" s="34"/>
      <c r="U47" s="34"/>
      <c r="V47" s="34"/>
      <c r="W47" s="34"/>
      <c r="X47" s="34"/>
      <c r="Y47" s="34"/>
      <c r="Z47" s="34"/>
      <c r="AA47" s="34"/>
      <c r="AB47" s="34"/>
      <c r="AC47" s="45"/>
      <c r="AD47" s="31">
        <v>1.2</v>
      </c>
      <c r="AE47" s="34"/>
      <c r="AF47" s="45">
        <v>6.1</v>
      </c>
      <c r="AG47" s="34"/>
      <c r="AH47" s="34">
        <f>16.9/1000</f>
        <v>1.6899999999999998E-2</v>
      </c>
      <c r="AI47" s="34"/>
      <c r="AJ47" s="34"/>
      <c r="AK47" s="45">
        <v>343.2</v>
      </c>
      <c r="AL47" s="34"/>
      <c r="AM47" s="34"/>
      <c r="AN47" s="34"/>
      <c r="AO47" s="68">
        <f t="shared" si="0"/>
        <v>5.4151624548736461E-2</v>
      </c>
    </row>
    <row r="48" spans="1:41" x14ac:dyDescent="0.2">
      <c r="A48" s="8"/>
      <c r="B48" s="20">
        <v>37888</v>
      </c>
      <c r="C48" s="76" t="s">
        <v>12</v>
      </c>
      <c r="D48" s="34"/>
      <c r="E48" s="34"/>
      <c r="F48" s="34"/>
      <c r="G48" s="34"/>
      <c r="H48" s="34"/>
      <c r="I48" s="31"/>
      <c r="J48" s="31">
        <v>1</v>
      </c>
      <c r="K48" s="34">
        <v>19.8</v>
      </c>
      <c r="L48" s="31"/>
      <c r="M48" s="31"/>
      <c r="N48" s="34"/>
      <c r="O48" s="34"/>
      <c r="P48" s="34"/>
      <c r="Q48" s="34">
        <v>0.04</v>
      </c>
      <c r="R48" s="45"/>
      <c r="S48" s="48"/>
      <c r="T48" s="34"/>
      <c r="U48" s="34"/>
      <c r="V48" s="34"/>
      <c r="W48" s="34"/>
      <c r="X48" s="34"/>
      <c r="Y48" s="34"/>
      <c r="Z48" s="34"/>
      <c r="AA48" s="34"/>
      <c r="AB48" s="34"/>
      <c r="AC48" s="45"/>
      <c r="AD48" s="45">
        <v>0.5</v>
      </c>
      <c r="AE48" s="34"/>
      <c r="AF48" s="45">
        <v>8.6</v>
      </c>
      <c r="AG48" s="34"/>
      <c r="AH48" s="34">
        <f>13.5/1000</f>
        <v>1.35E-2</v>
      </c>
      <c r="AI48" s="34"/>
      <c r="AJ48" s="34"/>
      <c r="AK48" s="45">
        <v>257.39999999999998</v>
      </c>
      <c r="AL48" s="34"/>
      <c r="AM48" s="34"/>
      <c r="AN48" s="34"/>
      <c r="AO48" s="68">
        <f t="shared" si="0"/>
        <v>5.0505050505050504E-2</v>
      </c>
    </row>
    <row r="49" spans="1:41" x14ac:dyDescent="0.2">
      <c r="A49" s="10"/>
      <c r="B49" s="19">
        <v>37963</v>
      </c>
      <c r="C49" s="27" t="s">
        <v>9</v>
      </c>
      <c r="D49" s="34"/>
      <c r="E49" s="34"/>
      <c r="F49" s="34"/>
      <c r="G49" s="34"/>
      <c r="H49" s="34"/>
      <c r="I49" s="31"/>
      <c r="J49" s="31">
        <v>1.1000000000000001</v>
      </c>
      <c r="K49" s="34">
        <v>5.9</v>
      </c>
      <c r="L49" s="31"/>
      <c r="M49" s="31"/>
      <c r="N49" s="34"/>
      <c r="O49" s="34"/>
      <c r="P49" s="34"/>
      <c r="Q49" s="34">
        <v>0.04</v>
      </c>
      <c r="R49" s="45"/>
      <c r="S49" s="48"/>
      <c r="T49" s="34"/>
      <c r="U49" s="34"/>
      <c r="V49" s="34"/>
      <c r="W49" s="34"/>
      <c r="X49" s="34"/>
      <c r="Y49" s="34"/>
      <c r="Z49" s="34"/>
      <c r="AA49" s="34"/>
      <c r="AB49" s="34"/>
      <c r="AC49" s="45"/>
      <c r="AD49" s="45">
        <v>0.5</v>
      </c>
      <c r="AE49" s="34"/>
      <c r="AF49" s="45">
        <v>5.7</v>
      </c>
      <c r="AG49" s="34"/>
      <c r="AH49" s="34">
        <f>71.5/1000</f>
        <v>7.1499999999999994E-2</v>
      </c>
      <c r="AI49" s="34"/>
      <c r="AJ49" s="34"/>
      <c r="AK49" s="45">
        <v>10</v>
      </c>
      <c r="AL49" s="34"/>
      <c r="AM49" s="34"/>
      <c r="AN49" s="34"/>
      <c r="AO49" s="68">
        <f t="shared" si="0"/>
        <v>0.1864406779661017</v>
      </c>
    </row>
    <row r="50" spans="1:41" x14ac:dyDescent="0.2">
      <c r="A50" s="9"/>
      <c r="B50" s="19">
        <v>37963</v>
      </c>
      <c r="C50" s="74" t="s">
        <v>10</v>
      </c>
      <c r="D50" s="34"/>
      <c r="E50" s="34"/>
      <c r="F50" s="34"/>
      <c r="G50" s="34"/>
      <c r="H50" s="34"/>
      <c r="I50" s="31"/>
      <c r="J50" s="31">
        <v>0.9</v>
      </c>
      <c r="K50" s="34">
        <v>5.9</v>
      </c>
      <c r="L50" s="31"/>
      <c r="M50" s="31"/>
      <c r="N50" s="34"/>
      <c r="O50" s="34"/>
      <c r="P50" s="34"/>
      <c r="Q50" s="34">
        <v>0.04</v>
      </c>
      <c r="R50" s="45"/>
      <c r="S50" s="48"/>
      <c r="T50" s="34"/>
      <c r="U50" s="34"/>
      <c r="V50" s="34"/>
      <c r="W50" s="34"/>
      <c r="X50" s="34"/>
      <c r="Y50" s="34"/>
      <c r="Z50" s="34"/>
      <c r="AA50" s="34"/>
      <c r="AB50" s="34"/>
      <c r="AC50" s="45"/>
      <c r="AD50" s="45">
        <v>0.5</v>
      </c>
      <c r="AE50" s="34"/>
      <c r="AF50" s="45">
        <v>11</v>
      </c>
      <c r="AG50" s="34"/>
      <c r="AH50" s="34">
        <f>115.4/1000</f>
        <v>0.1154</v>
      </c>
      <c r="AI50" s="34"/>
      <c r="AJ50" s="34"/>
      <c r="AK50" s="45">
        <v>10</v>
      </c>
      <c r="AL50" s="34"/>
      <c r="AM50" s="34"/>
      <c r="AN50" s="34"/>
      <c r="AO50" s="68">
        <f t="shared" si="0"/>
        <v>0.15254237288135591</v>
      </c>
    </row>
    <row r="51" spans="1:41" x14ac:dyDescent="0.2">
      <c r="A51" s="8"/>
      <c r="B51" s="19">
        <v>37963</v>
      </c>
      <c r="C51" s="75" t="s">
        <v>11</v>
      </c>
      <c r="D51" s="34"/>
      <c r="E51" s="34"/>
      <c r="F51" s="34"/>
      <c r="G51" s="34"/>
      <c r="H51" s="34"/>
      <c r="I51" s="31"/>
      <c r="J51" s="31">
        <v>0.9</v>
      </c>
      <c r="K51" s="34">
        <v>3.7</v>
      </c>
      <c r="L51" s="31"/>
      <c r="M51" s="31"/>
      <c r="N51" s="34"/>
      <c r="O51" s="34"/>
      <c r="P51" s="34"/>
      <c r="Q51" s="34">
        <v>0.05</v>
      </c>
      <c r="R51" s="45"/>
      <c r="S51" s="48"/>
      <c r="T51" s="34"/>
      <c r="U51" s="34"/>
      <c r="V51" s="34"/>
      <c r="W51" s="34"/>
      <c r="X51" s="34"/>
      <c r="Y51" s="34"/>
      <c r="Z51" s="34"/>
      <c r="AA51" s="34"/>
      <c r="AB51" s="34"/>
      <c r="AC51" s="45"/>
      <c r="AD51" s="45">
        <v>0.5</v>
      </c>
      <c r="AE51" s="34"/>
      <c r="AF51" s="45">
        <v>13.6</v>
      </c>
      <c r="AG51" s="34"/>
      <c r="AH51" s="34">
        <f>91.7/1000</f>
        <v>9.1700000000000004E-2</v>
      </c>
      <c r="AI51" s="34"/>
      <c r="AJ51" s="34"/>
      <c r="AK51" s="45">
        <v>10</v>
      </c>
      <c r="AL51" s="34"/>
      <c r="AM51" s="34"/>
      <c r="AN51" s="34"/>
      <c r="AO51" s="68">
        <f t="shared" si="0"/>
        <v>0.24324324324324323</v>
      </c>
    </row>
    <row r="52" spans="1:41" x14ac:dyDescent="0.2">
      <c r="A52" s="8"/>
      <c r="B52" s="16">
        <v>37963</v>
      </c>
      <c r="C52" s="76" t="s">
        <v>12</v>
      </c>
      <c r="D52" s="34"/>
      <c r="E52" s="34"/>
      <c r="F52" s="34"/>
      <c r="G52" s="34"/>
      <c r="H52" s="34"/>
      <c r="I52" s="31"/>
      <c r="J52" s="31">
        <v>0.4</v>
      </c>
      <c r="K52" s="34">
        <v>3.7</v>
      </c>
      <c r="L52" s="31"/>
      <c r="M52" s="31"/>
      <c r="N52" s="34"/>
      <c r="O52" s="34"/>
      <c r="P52" s="34"/>
      <c r="Q52" s="34">
        <v>0.05</v>
      </c>
      <c r="R52" s="45"/>
      <c r="S52" s="48"/>
      <c r="T52" s="34"/>
      <c r="U52" s="34"/>
      <c r="V52" s="34"/>
      <c r="W52" s="34"/>
      <c r="X52" s="34"/>
      <c r="Y52" s="34"/>
      <c r="Z52" s="34"/>
      <c r="AA52" s="34"/>
      <c r="AB52" s="34"/>
      <c r="AC52" s="45"/>
      <c r="AD52" s="45">
        <v>0.5</v>
      </c>
      <c r="AE52" s="34"/>
      <c r="AF52" s="45">
        <v>19.7</v>
      </c>
      <c r="AG52" s="34"/>
      <c r="AH52" s="34">
        <f>70.6/1000</f>
        <v>7.0599999999999996E-2</v>
      </c>
      <c r="AI52" s="34"/>
      <c r="AJ52" s="34"/>
      <c r="AK52" s="45">
        <v>10</v>
      </c>
      <c r="AL52" s="34"/>
      <c r="AM52" s="34"/>
      <c r="AN52" s="34"/>
      <c r="AO52" s="68">
        <f t="shared" si="0"/>
        <v>0.10810810810810811</v>
      </c>
    </row>
    <row r="53" spans="1:41" x14ac:dyDescent="0.2">
      <c r="A53" s="10">
        <v>2004</v>
      </c>
      <c r="B53" s="16">
        <v>38012</v>
      </c>
      <c r="C53" s="27" t="s">
        <v>9</v>
      </c>
      <c r="D53" s="34"/>
      <c r="E53" s="34"/>
      <c r="F53" s="34"/>
      <c r="G53" s="34"/>
      <c r="H53" s="34"/>
      <c r="I53" s="31"/>
      <c r="J53" s="31">
        <v>0.8</v>
      </c>
      <c r="K53" s="34">
        <v>16</v>
      </c>
      <c r="L53" s="31"/>
      <c r="M53" s="31"/>
      <c r="N53" s="34"/>
      <c r="O53" s="34"/>
      <c r="P53" s="34"/>
      <c r="Q53" s="34">
        <v>7.0000000000000007E-2</v>
      </c>
      <c r="R53" s="45"/>
      <c r="S53" s="48"/>
      <c r="T53" s="34"/>
      <c r="U53" s="34"/>
      <c r="V53" s="34"/>
      <c r="W53" s="34"/>
      <c r="X53" s="34"/>
      <c r="Y53" s="34"/>
      <c r="Z53" s="34"/>
      <c r="AA53" s="34"/>
      <c r="AB53" s="34"/>
      <c r="AC53" s="45"/>
      <c r="AD53" s="45">
        <v>0.5</v>
      </c>
      <c r="AE53" s="34"/>
      <c r="AF53" s="45">
        <v>2</v>
      </c>
      <c r="AG53" s="34"/>
      <c r="AH53" s="34">
        <f>59.7/1000</f>
        <v>5.9700000000000003E-2</v>
      </c>
      <c r="AI53" s="34"/>
      <c r="AJ53" s="34"/>
      <c r="AK53" s="45">
        <v>10</v>
      </c>
      <c r="AL53" s="34"/>
      <c r="AM53" s="34"/>
      <c r="AN53" s="34"/>
      <c r="AO53" s="68">
        <f t="shared" si="0"/>
        <v>0.05</v>
      </c>
    </row>
    <row r="54" spans="1:41" x14ac:dyDescent="0.2">
      <c r="A54" s="9"/>
      <c r="B54" s="16">
        <v>38012</v>
      </c>
      <c r="C54" s="74" t="s">
        <v>10</v>
      </c>
      <c r="D54" s="34"/>
      <c r="E54" s="34"/>
      <c r="F54" s="34"/>
      <c r="G54" s="34"/>
      <c r="H54" s="34"/>
      <c r="I54" s="31"/>
      <c r="J54" s="31">
        <v>1</v>
      </c>
      <c r="K54" s="34">
        <v>14</v>
      </c>
      <c r="L54" s="31"/>
      <c r="M54" s="31"/>
      <c r="N54" s="34"/>
      <c r="O54" s="34"/>
      <c r="P54" s="34"/>
      <c r="Q54" s="34">
        <v>0.05</v>
      </c>
      <c r="R54" s="45"/>
      <c r="S54" s="48"/>
      <c r="T54" s="34"/>
      <c r="U54" s="34"/>
      <c r="V54" s="34"/>
      <c r="W54" s="34"/>
      <c r="X54" s="34"/>
      <c r="Y54" s="34"/>
      <c r="Z54" s="34"/>
      <c r="AA54" s="34"/>
      <c r="AB54" s="34"/>
      <c r="AC54" s="45"/>
      <c r="AD54" s="45">
        <v>0.5</v>
      </c>
      <c r="AE54" s="34"/>
      <c r="AF54" s="45">
        <v>2</v>
      </c>
      <c r="AG54" s="34"/>
      <c r="AH54" s="34">
        <f>158.9/1000</f>
        <v>0.15890000000000001</v>
      </c>
      <c r="AI54" s="34"/>
      <c r="AJ54" s="34"/>
      <c r="AK54" s="45">
        <v>10</v>
      </c>
      <c r="AL54" s="34"/>
      <c r="AM54" s="34"/>
      <c r="AN54" s="34"/>
      <c r="AO54" s="68">
        <f t="shared" si="0"/>
        <v>7.1428571428571425E-2</v>
      </c>
    </row>
    <row r="55" spans="1:41" x14ac:dyDescent="0.2">
      <c r="A55" s="8"/>
      <c r="B55" s="16">
        <v>38012</v>
      </c>
      <c r="C55" s="75" t="s">
        <v>11</v>
      </c>
      <c r="D55" s="34"/>
      <c r="E55" s="34"/>
      <c r="F55" s="34"/>
      <c r="G55" s="34"/>
      <c r="H55" s="34"/>
      <c r="I55" s="31"/>
      <c r="J55" s="31">
        <v>0.8</v>
      </c>
      <c r="K55" s="34">
        <v>14</v>
      </c>
      <c r="L55" s="31"/>
      <c r="M55" s="31"/>
      <c r="N55" s="34"/>
      <c r="O55" s="34"/>
      <c r="P55" s="34"/>
      <c r="Q55" s="34">
        <v>0.05</v>
      </c>
      <c r="R55" s="45"/>
      <c r="S55" s="48"/>
      <c r="T55" s="34"/>
      <c r="U55" s="34"/>
      <c r="V55" s="34"/>
      <c r="W55" s="34"/>
      <c r="X55" s="34"/>
      <c r="Y55" s="34"/>
      <c r="Z55" s="34"/>
      <c r="AA55" s="34"/>
      <c r="AB55" s="34"/>
      <c r="AC55" s="45"/>
      <c r="AD55" s="45">
        <v>0.5</v>
      </c>
      <c r="AE55" s="34"/>
      <c r="AF55" s="45">
        <v>2</v>
      </c>
      <c r="AG55" s="34"/>
      <c r="AH55" s="34">
        <f>81.3/1000</f>
        <v>8.1299999999999997E-2</v>
      </c>
      <c r="AI55" s="34"/>
      <c r="AJ55" s="34"/>
      <c r="AK55" s="45">
        <v>10</v>
      </c>
      <c r="AL55" s="34"/>
      <c r="AM55" s="34"/>
      <c r="AN55" s="34"/>
      <c r="AO55" s="68">
        <f t="shared" si="0"/>
        <v>5.7142857142857148E-2</v>
      </c>
    </row>
    <row r="56" spans="1:41" x14ac:dyDescent="0.2">
      <c r="A56" s="8"/>
      <c r="B56" s="16">
        <v>38012</v>
      </c>
      <c r="C56" s="76" t="s">
        <v>12</v>
      </c>
      <c r="D56" s="34"/>
      <c r="E56" s="34"/>
      <c r="F56" s="34"/>
      <c r="G56" s="34"/>
      <c r="H56" s="34"/>
      <c r="I56" s="31"/>
      <c r="J56" s="31">
        <v>0.6</v>
      </c>
      <c r="K56" s="34">
        <v>12</v>
      </c>
      <c r="L56" s="31"/>
      <c r="M56" s="31"/>
      <c r="N56" s="34"/>
      <c r="O56" s="34"/>
      <c r="P56" s="34"/>
      <c r="Q56" s="34">
        <v>0.04</v>
      </c>
      <c r="R56" s="45"/>
      <c r="S56" s="48"/>
      <c r="T56" s="34"/>
      <c r="U56" s="34"/>
      <c r="V56" s="34"/>
      <c r="W56" s="34"/>
      <c r="X56" s="34"/>
      <c r="Y56" s="34"/>
      <c r="Z56" s="34"/>
      <c r="AA56" s="34"/>
      <c r="AB56" s="34"/>
      <c r="AC56" s="45"/>
      <c r="AD56" s="45">
        <v>0.5</v>
      </c>
      <c r="AE56" s="34"/>
      <c r="AF56" s="45">
        <v>2</v>
      </c>
      <c r="AG56" s="34"/>
      <c r="AH56" s="34">
        <f>41.4/1000</f>
        <v>4.1399999999999999E-2</v>
      </c>
      <c r="AI56" s="34"/>
      <c r="AJ56" s="34"/>
      <c r="AK56" s="45">
        <v>10</v>
      </c>
      <c r="AL56" s="34"/>
      <c r="AM56" s="34"/>
      <c r="AN56" s="34"/>
      <c r="AO56" s="68">
        <f t="shared" si="0"/>
        <v>4.9999999999999996E-2</v>
      </c>
    </row>
    <row r="57" spans="1:41" x14ac:dyDescent="0.2">
      <c r="A57" s="10"/>
      <c r="B57" s="16">
        <v>38033</v>
      </c>
      <c r="C57" s="27" t="s">
        <v>9</v>
      </c>
      <c r="D57" s="34"/>
      <c r="E57" s="34"/>
      <c r="F57" s="34"/>
      <c r="G57" s="34"/>
      <c r="H57" s="34"/>
      <c r="I57" s="31"/>
      <c r="J57" s="31">
        <v>0.7</v>
      </c>
      <c r="K57" s="34">
        <v>1.95</v>
      </c>
      <c r="L57" s="31"/>
      <c r="M57" s="31"/>
      <c r="N57" s="34"/>
      <c r="O57" s="34"/>
      <c r="P57" s="34"/>
      <c r="Q57" s="34">
        <v>0.05</v>
      </c>
      <c r="R57" s="45"/>
      <c r="S57" s="48"/>
      <c r="T57" s="34"/>
      <c r="U57" s="34"/>
      <c r="V57" s="34"/>
      <c r="W57" s="34"/>
      <c r="X57" s="34"/>
      <c r="Y57" s="34"/>
      <c r="Z57" s="34"/>
      <c r="AA57" s="34"/>
      <c r="AB57" s="34"/>
      <c r="AC57" s="45"/>
      <c r="AD57" s="45">
        <v>0.5</v>
      </c>
      <c r="AE57" s="34"/>
      <c r="AF57" s="45">
        <v>2</v>
      </c>
      <c r="AG57" s="34"/>
      <c r="AH57" s="34">
        <f>34.4/1000</f>
        <v>3.44E-2</v>
      </c>
      <c r="AI57" s="34"/>
      <c r="AJ57" s="34"/>
      <c r="AK57" s="45">
        <v>10</v>
      </c>
      <c r="AL57" s="34"/>
      <c r="AM57" s="34"/>
      <c r="AN57" s="34"/>
      <c r="AO57" s="68">
        <f t="shared" si="0"/>
        <v>0.35897435897435898</v>
      </c>
    </row>
    <row r="58" spans="1:41" x14ac:dyDescent="0.2">
      <c r="A58" s="9"/>
      <c r="B58" s="19">
        <v>38033</v>
      </c>
      <c r="C58" s="74" t="s">
        <v>10</v>
      </c>
      <c r="D58" s="34"/>
      <c r="E58" s="34"/>
      <c r="F58" s="34"/>
      <c r="G58" s="34"/>
      <c r="H58" s="34"/>
      <c r="I58" s="31"/>
      <c r="J58" s="31">
        <v>0.9</v>
      </c>
      <c r="K58" s="34">
        <v>5.9</v>
      </c>
      <c r="L58" s="31"/>
      <c r="M58" s="31"/>
      <c r="N58" s="34"/>
      <c r="O58" s="34"/>
      <c r="P58" s="34"/>
      <c r="Q58" s="34">
        <v>0.05</v>
      </c>
      <c r="R58" s="45"/>
      <c r="S58" s="48"/>
      <c r="T58" s="34"/>
      <c r="U58" s="34"/>
      <c r="V58" s="34"/>
      <c r="W58" s="34"/>
      <c r="X58" s="34"/>
      <c r="Y58" s="34"/>
      <c r="Z58" s="34"/>
      <c r="AA58" s="34"/>
      <c r="AB58" s="34"/>
      <c r="AC58" s="45"/>
      <c r="AD58" s="45">
        <v>0.5</v>
      </c>
      <c r="AE58" s="34"/>
      <c r="AF58" s="45">
        <v>2</v>
      </c>
      <c r="AG58" s="34"/>
      <c r="AH58" s="34">
        <f>204.4/1000</f>
        <v>0.2044</v>
      </c>
      <c r="AI58" s="34"/>
      <c r="AJ58" s="34"/>
      <c r="AK58" s="45">
        <v>10</v>
      </c>
      <c r="AL58" s="34"/>
      <c r="AM58" s="34"/>
      <c r="AN58" s="34"/>
      <c r="AO58" s="68">
        <f t="shared" si="0"/>
        <v>0.15254237288135591</v>
      </c>
    </row>
    <row r="59" spans="1:41" x14ac:dyDescent="0.2">
      <c r="A59" s="8"/>
      <c r="B59" s="19">
        <v>38033</v>
      </c>
      <c r="C59" s="75" t="s">
        <v>11</v>
      </c>
      <c r="D59" s="34"/>
      <c r="E59" s="34"/>
      <c r="F59" s="34"/>
      <c r="G59" s="34"/>
      <c r="H59" s="34"/>
      <c r="I59" s="31"/>
      <c r="J59" s="31">
        <v>0.8</v>
      </c>
      <c r="K59" s="34">
        <v>1.95</v>
      </c>
      <c r="L59" s="31"/>
      <c r="M59" s="31"/>
      <c r="N59" s="34"/>
      <c r="O59" s="34"/>
      <c r="P59" s="34"/>
      <c r="Q59" s="34">
        <v>0.06</v>
      </c>
      <c r="R59" s="45"/>
      <c r="S59" s="48"/>
      <c r="T59" s="34"/>
      <c r="U59" s="34"/>
      <c r="V59" s="34"/>
      <c r="W59" s="34"/>
      <c r="X59" s="34"/>
      <c r="Y59" s="34"/>
      <c r="Z59" s="34"/>
      <c r="AA59" s="34"/>
      <c r="AB59" s="34"/>
      <c r="AC59" s="45"/>
      <c r="AD59" s="31">
        <v>0.94</v>
      </c>
      <c r="AE59" s="34"/>
      <c r="AF59" s="45">
        <v>3.5</v>
      </c>
      <c r="AG59" s="34"/>
      <c r="AH59" s="34">
        <f>59.4/1000</f>
        <v>5.9400000000000001E-2</v>
      </c>
      <c r="AI59" s="34"/>
      <c r="AJ59" s="34"/>
      <c r="AK59" s="45">
        <v>10</v>
      </c>
      <c r="AL59" s="34"/>
      <c r="AM59" s="34"/>
      <c r="AN59" s="34"/>
      <c r="AO59" s="68">
        <f t="shared" si="0"/>
        <v>0.4102564102564103</v>
      </c>
    </row>
    <row r="60" spans="1:41" x14ac:dyDescent="0.2">
      <c r="A60" s="8"/>
      <c r="B60" s="19">
        <v>38033</v>
      </c>
      <c r="C60" s="76" t="s">
        <v>12</v>
      </c>
      <c r="D60" s="34"/>
      <c r="E60" s="34"/>
      <c r="F60" s="34"/>
      <c r="G60" s="34"/>
      <c r="H60" s="34"/>
      <c r="I60" s="31"/>
      <c r="J60" s="31">
        <v>0.4</v>
      </c>
      <c r="K60" s="34">
        <v>3.9</v>
      </c>
      <c r="L60" s="31"/>
      <c r="M60" s="31"/>
      <c r="N60" s="34"/>
      <c r="O60" s="34"/>
      <c r="P60" s="34"/>
      <c r="Q60" s="34">
        <v>0.02</v>
      </c>
      <c r="R60" s="45"/>
      <c r="S60" s="48"/>
      <c r="T60" s="34"/>
      <c r="U60" s="34"/>
      <c r="V60" s="34"/>
      <c r="W60" s="34"/>
      <c r="X60" s="34"/>
      <c r="Y60" s="34"/>
      <c r="Z60" s="34"/>
      <c r="AA60" s="34"/>
      <c r="AB60" s="34"/>
      <c r="AC60" s="45"/>
      <c r="AD60" s="31">
        <v>0.56000000000000005</v>
      </c>
      <c r="AE60" s="34"/>
      <c r="AF60" s="45">
        <v>5.0999999999999996</v>
      </c>
      <c r="AG60" s="34"/>
      <c r="AH60" s="34">
        <f>21.2/1000</f>
        <v>2.12E-2</v>
      </c>
      <c r="AI60" s="34"/>
      <c r="AJ60" s="34"/>
      <c r="AK60" s="45">
        <v>10</v>
      </c>
      <c r="AL60" s="34"/>
      <c r="AM60" s="34"/>
      <c r="AN60" s="34"/>
      <c r="AO60" s="68">
        <f t="shared" si="0"/>
        <v>0.10256410256410257</v>
      </c>
    </row>
    <row r="61" spans="1:41" x14ac:dyDescent="0.2">
      <c r="A61" s="10"/>
      <c r="B61" s="19">
        <v>38271</v>
      </c>
      <c r="C61" s="27" t="s">
        <v>9</v>
      </c>
      <c r="D61" s="34"/>
      <c r="E61" s="34"/>
      <c r="F61" s="34"/>
      <c r="G61" s="34"/>
      <c r="H61" s="34"/>
      <c r="I61" s="31">
        <v>0</v>
      </c>
      <c r="J61" s="31">
        <v>1.3</v>
      </c>
      <c r="K61" s="34"/>
      <c r="L61" s="31"/>
      <c r="M61" s="31"/>
      <c r="N61" s="34"/>
      <c r="O61" s="34"/>
      <c r="P61" s="34"/>
      <c r="Q61" s="34"/>
      <c r="R61" s="34">
        <v>1.0999999999999999E-2</v>
      </c>
      <c r="S61" s="48">
        <v>0</v>
      </c>
      <c r="T61" s="34"/>
      <c r="U61" s="34"/>
      <c r="V61" s="34"/>
      <c r="W61" s="34"/>
      <c r="X61" s="34">
        <v>8.42</v>
      </c>
      <c r="Y61" s="34">
        <v>10</v>
      </c>
      <c r="Z61" s="34"/>
      <c r="AA61" s="34"/>
      <c r="AB61" s="34">
        <v>253.6</v>
      </c>
      <c r="AC61" s="45">
        <v>8</v>
      </c>
      <c r="AD61" s="31">
        <v>3.2</v>
      </c>
      <c r="AE61" s="45">
        <v>6.8</v>
      </c>
      <c r="AF61" s="45">
        <v>2</v>
      </c>
      <c r="AG61" s="34">
        <f>238.9/1000</f>
        <v>0.2389</v>
      </c>
      <c r="AH61" s="34">
        <f>37.9/1000</f>
        <v>3.7899999999999996E-2</v>
      </c>
      <c r="AI61" s="34"/>
      <c r="AJ61" s="34">
        <v>16.600000000000001</v>
      </c>
      <c r="AK61" s="45">
        <v>10</v>
      </c>
      <c r="AL61" s="34"/>
      <c r="AM61" s="34"/>
      <c r="AN61" s="34">
        <f>21/1000</f>
        <v>2.1000000000000001E-2</v>
      </c>
      <c r="AO61" s="68" t="e">
        <f t="shared" si="0"/>
        <v>#DIV/0!</v>
      </c>
    </row>
    <row r="62" spans="1:41" x14ac:dyDescent="0.2">
      <c r="A62" s="9"/>
      <c r="B62" s="19">
        <v>38271</v>
      </c>
      <c r="C62" s="74" t="s">
        <v>10</v>
      </c>
      <c r="D62" s="34"/>
      <c r="E62" s="34"/>
      <c r="F62" s="34"/>
      <c r="G62" s="34"/>
      <c r="H62" s="34"/>
      <c r="I62" s="31">
        <v>0</v>
      </c>
      <c r="J62" s="31">
        <v>0.9</v>
      </c>
      <c r="K62" s="34"/>
      <c r="L62" s="31"/>
      <c r="M62" s="31"/>
      <c r="N62" s="34"/>
      <c r="O62" s="34"/>
      <c r="P62" s="34"/>
      <c r="Q62" s="34"/>
      <c r="R62" s="45">
        <v>1.0999999999999999E-2</v>
      </c>
      <c r="S62" s="48">
        <v>0</v>
      </c>
      <c r="T62" s="34"/>
      <c r="U62" s="34"/>
      <c r="V62" s="34"/>
      <c r="W62" s="34"/>
      <c r="X62" s="34">
        <v>8.3699999999999992</v>
      </c>
      <c r="Y62" s="34">
        <v>6.7</v>
      </c>
      <c r="Z62" s="34"/>
      <c r="AA62" s="34"/>
      <c r="AB62" s="34">
        <v>222.6</v>
      </c>
      <c r="AC62" s="45">
        <v>8</v>
      </c>
      <c r="AD62" s="31">
        <v>8.5</v>
      </c>
      <c r="AE62" s="45">
        <v>7.7</v>
      </c>
      <c r="AF62" s="45">
        <v>2</v>
      </c>
      <c r="AG62" s="34">
        <f>298.4/1000</f>
        <v>0.2984</v>
      </c>
      <c r="AH62" s="34">
        <f>55.9/1000</f>
        <v>5.5899999999999998E-2</v>
      </c>
      <c r="AI62" s="34"/>
      <c r="AJ62" s="34">
        <v>18.8</v>
      </c>
      <c r="AK62" s="45">
        <v>10</v>
      </c>
      <c r="AL62" s="34"/>
      <c r="AM62" s="34"/>
      <c r="AN62" s="34">
        <f>105.7/1000</f>
        <v>0.1057</v>
      </c>
      <c r="AO62" s="68" t="e">
        <f t="shared" si="0"/>
        <v>#DIV/0!</v>
      </c>
    </row>
    <row r="63" spans="1:41" x14ac:dyDescent="0.2">
      <c r="A63" s="8"/>
      <c r="B63" s="19">
        <v>38271</v>
      </c>
      <c r="C63" s="75" t="s">
        <v>11</v>
      </c>
      <c r="D63" s="34"/>
      <c r="E63" s="34"/>
      <c r="F63" s="34"/>
      <c r="G63" s="34"/>
      <c r="H63" s="34"/>
      <c r="I63" s="31">
        <v>0</v>
      </c>
      <c r="J63" s="31">
        <v>0.7</v>
      </c>
      <c r="K63" s="34"/>
      <c r="L63" s="31"/>
      <c r="M63" s="31"/>
      <c r="N63" s="34"/>
      <c r="O63" s="34"/>
      <c r="P63" s="34"/>
      <c r="Q63" s="34"/>
      <c r="R63" s="45">
        <v>0.01</v>
      </c>
      <c r="S63" s="48">
        <v>0</v>
      </c>
      <c r="T63" s="34"/>
      <c r="U63" s="34"/>
      <c r="V63" s="34"/>
      <c r="W63" s="34"/>
      <c r="X63" s="34">
        <v>8.4</v>
      </c>
      <c r="Y63" s="34">
        <v>3</v>
      </c>
      <c r="Z63" s="34"/>
      <c r="AA63" s="34"/>
      <c r="AB63" s="34">
        <v>228.3</v>
      </c>
      <c r="AC63" s="45">
        <v>8</v>
      </c>
      <c r="AD63" s="31">
        <v>6.3</v>
      </c>
      <c r="AE63" s="34">
        <v>5.0999999999999996</v>
      </c>
      <c r="AF63" s="45">
        <v>2</v>
      </c>
      <c r="AG63" s="34">
        <f>454.4/1000</f>
        <v>0.45439999999999997</v>
      </c>
      <c r="AH63" s="34">
        <f>53.8/1000</f>
        <v>5.3800000000000001E-2</v>
      </c>
      <c r="AI63" s="34"/>
      <c r="AJ63" s="34">
        <v>25.1</v>
      </c>
      <c r="AK63" s="34">
        <v>119.5</v>
      </c>
      <c r="AL63" s="34"/>
      <c r="AM63" s="34"/>
      <c r="AN63" s="34">
        <f>15.8/1000</f>
        <v>1.5800000000000002E-2</v>
      </c>
      <c r="AO63" s="68" t="e">
        <f t="shared" si="0"/>
        <v>#DIV/0!</v>
      </c>
    </row>
    <row r="64" spans="1:41" x14ac:dyDescent="0.2">
      <c r="A64" s="8"/>
      <c r="B64" s="19">
        <v>38271</v>
      </c>
      <c r="C64" s="76" t="s">
        <v>12</v>
      </c>
      <c r="D64" s="34"/>
      <c r="E64" s="34"/>
      <c r="F64" s="34"/>
      <c r="G64" s="34"/>
      <c r="H64" s="34"/>
      <c r="I64" s="31">
        <v>0</v>
      </c>
      <c r="J64" s="31">
        <v>0.7</v>
      </c>
      <c r="K64" s="34"/>
      <c r="L64" s="31"/>
      <c r="M64" s="31"/>
      <c r="N64" s="34"/>
      <c r="O64" s="34"/>
      <c r="P64" s="34"/>
      <c r="Q64" s="34"/>
      <c r="R64" s="45">
        <v>0.01</v>
      </c>
      <c r="S64" s="48">
        <v>0</v>
      </c>
      <c r="T64" s="34"/>
      <c r="U64" s="34"/>
      <c r="V64" s="34"/>
      <c r="W64" s="34"/>
      <c r="X64" s="34">
        <v>8.43</v>
      </c>
      <c r="Y64" s="34">
        <v>7.3</v>
      </c>
      <c r="Z64" s="34"/>
      <c r="AA64" s="34"/>
      <c r="AB64" s="34">
        <v>1405</v>
      </c>
      <c r="AC64" s="45">
        <v>8</v>
      </c>
      <c r="AD64" s="31">
        <v>9.1</v>
      </c>
      <c r="AE64" s="34">
        <v>5.7</v>
      </c>
      <c r="AF64" s="45">
        <v>2</v>
      </c>
      <c r="AG64" s="34">
        <f>1552/1000</f>
        <v>1.552</v>
      </c>
      <c r="AH64" s="34">
        <f>58.2/1000</f>
        <v>5.8200000000000002E-2</v>
      </c>
      <c r="AI64" s="34"/>
      <c r="AJ64" s="34">
        <v>24.1</v>
      </c>
      <c r="AK64" s="34">
        <v>70.5</v>
      </c>
      <c r="AL64" s="34"/>
      <c r="AM64" s="34"/>
      <c r="AN64" s="34">
        <f>31.5/1000</f>
        <v>3.15E-2</v>
      </c>
      <c r="AO64" s="68" t="e">
        <f t="shared" si="0"/>
        <v>#DIV/0!</v>
      </c>
    </row>
    <row r="65" spans="1:41" x14ac:dyDescent="0.2">
      <c r="A65" s="10">
        <v>2005</v>
      </c>
      <c r="B65" s="19">
        <v>38474</v>
      </c>
      <c r="C65" s="27" t="s">
        <v>9</v>
      </c>
      <c r="D65" s="34"/>
      <c r="E65" s="34"/>
      <c r="F65" s="34"/>
      <c r="G65" s="34"/>
      <c r="H65" s="34"/>
      <c r="I65" s="31"/>
      <c r="J65" s="34">
        <v>0.8</v>
      </c>
      <c r="K65" s="34">
        <v>29</v>
      </c>
      <c r="L65" s="34"/>
      <c r="M65" s="34"/>
      <c r="N65" s="34"/>
      <c r="O65" s="34"/>
      <c r="P65" s="34"/>
      <c r="Q65" s="34">
        <v>0.22</v>
      </c>
      <c r="R65" s="34"/>
      <c r="S65" s="48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1">
        <v>0.5</v>
      </c>
      <c r="AE65" s="34"/>
      <c r="AF65" s="31">
        <v>41.3</v>
      </c>
      <c r="AG65" s="34"/>
      <c r="AH65" s="34">
        <f>175.3/1000</f>
        <v>0.17530000000000001</v>
      </c>
      <c r="AI65" s="34"/>
      <c r="AJ65" s="34"/>
      <c r="AK65" s="34">
        <v>10</v>
      </c>
      <c r="AL65" s="34"/>
      <c r="AM65" s="34"/>
      <c r="AN65" s="34"/>
      <c r="AO65" s="68">
        <f t="shared" si="0"/>
        <v>2.7586206896551727E-2</v>
      </c>
    </row>
    <row r="66" spans="1:41" x14ac:dyDescent="0.2">
      <c r="A66" s="9"/>
      <c r="B66" s="19">
        <v>38474</v>
      </c>
      <c r="C66" s="74" t="s">
        <v>10</v>
      </c>
      <c r="D66" s="34"/>
      <c r="E66" s="34"/>
      <c r="F66" s="34"/>
      <c r="G66" s="34"/>
      <c r="H66" s="34"/>
      <c r="I66" s="31"/>
      <c r="J66" s="34">
        <v>0.7</v>
      </c>
      <c r="K66" s="34">
        <v>23</v>
      </c>
      <c r="L66" s="34"/>
      <c r="M66" s="34"/>
      <c r="N66" s="34"/>
      <c r="O66" s="34"/>
      <c r="P66" s="34"/>
      <c r="Q66" s="34">
        <v>0.25</v>
      </c>
      <c r="R66" s="34"/>
      <c r="S66" s="48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1">
        <v>0.5</v>
      </c>
      <c r="AE66" s="34"/>
      <c r="AF66" s="31">
        <v>27.3</v>
      </c>
      <c r="AG66" s="34"/>
      <c r="AH66" s="34">
        <f>178.8/1000</f>
        <v>0.17880000000000001</v>
      </c>
      <c r="AI66" s="34"/>
      <c r="AJ66" s="34"/>
      <c r="AK66" s="34">
        <v>10</v>
      </c>
      <c r="AL66" s="34"/>
      <c r="AM66" s="34"/>
      <c r="AN66" s="34"/>
      <c r="AO66" s="68">
        <f t="shared" si="0"/>
        <v>3.043478260869565E-2</v>
      </c>
    </row>
    <row r="67" spans="1:41" x14ac:dyDescent="0.2">
      <c r="A67" s="8"/>
      <c r="B67" s="19">
        <v>38474</v>
      </c>
      <c r="C67" s="75" t="s">
        <v>11</v>
      </c>
      <c r="D67" s="34"/>
      <c r="E67" s="34"/>
      <c r="F67" s="34"/>
      <c r="G67" s="34"/>
      <c r="H67" s="34"/>
      <c r="I67" s="31"/>
      <c r="J67" s="31">
        <v>0.6</v>
      </c>
      <c r="K67" s="34">
        <v>27</v>
      </c>
      <c r="L67" s="31"/>
      <c r="M67" s="31"/>
      <c r="N67" s="34"/>
      <c r="O67" s="34"/>
      <c r="P67" s="34"/>
      <c r="Q67" s="34">
        <v>0.25</v>
      </c>
      <c r="R67" s="34"/>
      <c r="S67" s="48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1">
        <v>0.5</v>
      </c>
      <c r="AE67" s="34"/>
      <c r="AF67" s="31">
        <v>14.8</v>
      </c>
      <c r="AG67" s="34"/>
      <c r="AH67" s="34">
        <f>200/1000</f>
        <v>0.2</v>
      </c>
      <c r="AI67" s="34"/>
      <c r="AJ67" s="34"/>
      <c r="AK67" s="34">
        <v>29.3</v>
      </c>
      <c r="AL67" s="34"/>
      <c r="AM67" s="34"/>
      <c r="AN67" s="34"/>
      <c r="AO67" s="68">
        <f t="shared" si="0"/>
        <v>2.2222222222222223E-2</v>
      </c>
    </row>
    <row r="68" spans="1:41" x14ac:dyDescent="0.2">
      <c r="A68" s="8"/>
      <c r="B68" s="19">
        <v>38474</v>
      </c>
      <c r="C68" s="76" t="s">
        <v>12</v>
      </c>
      <c r="D68" s="34"/>
      <c r="E68" s="34"/>
      <c r="F68" s="34"/>
      <c r="G68" s="34"/>
      <c r="H68" s="34"/>
      <c r="I68" s="31"/>
      <c r="J68" s="31">
        <v>0.7</v>
      </c>
      <c r="K68" s="34">
        <v>35</v>
      </c>
      <c r="L68" s="31"/>
      <c r="M68" s="31"/>
      <c r="N68" s="34"/>
      <c r="O68" s="34"/>
      <c r="P68" s="34"/>
      <c r="Q68" s="34">
        <v>0.27</v>
      </c>
      <c r="R68" s="34"/>
      <c r="S68" s="48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1">
        <v>1.2</v>
      </c>
      <c r="AE68" s="34"/>
      <c r="AF68" s="31">
        <v>17.3</v>
      </c>
      <c r="AG68" s="34"/>
      <c r="AH68" s="34">
        <f>206.6/1000</f>
        <v>0.20660000000000001</v>
      </c>
      <c r="AI68" s="34"/>
      <c r="AJ68" s="34"/>
      <c r="AK68" s="45">
        <v>10</v>
      </c>
      <c r="AL68" s="34"/>
      <c r="AM68" s="34"/>
      <c r="AN68" s="34"/>
      <c r="AO68" s="68">
        <f t="shared" si="0"/>
        <v>0.02</v>
      </c>
    </row>
    <row r="69" spans="1:41" x14ac:dyDescent="0.2">
      <c r="A69" s="8">
        <v>2006</v>
      </c>
      <c r="B69" s="19">
        <v>38896</v>
      </c>
      <c r="C69" s="27" t="s">
        <v>9</v>
      </c>
      <c r="D69" s="34"/>
      <c r="E69" s="34"/>
      <c r="F69" s="34"/>
      <c r="G69" s="34"/>
      <c r="H69" s="34"/>
      <c r="I69" s="31">
        <v>0</v>
      </c>
      <c r="J69" s="34">
        <v>0.2</v>
      </c>
      <c r="K69" s="34">
        <v>18</v>
      </c>
      <c r="L69" s="34"/>
      <c r="M69" s="34"/>
      <c r="N69" s="34"/>
      <c r="O69" s="34"/>
      <c r="P69" s="34"/>
      <c r="Q69" s="34">
        <v>0.03</v>
      </c>
      <c r="R69" s="31">
        <v>0.01</v>
      </c>
      <c r="S69" s="48">
        <v>0</v>
      </c>
      <c r="T69" s="34"/>
      <c r="U69" s="34"/>
      <c r="V69" s="34"/>
      <c r="W69" s="34"/>
      <c r="X69" s="34">
        <v>8.42</v>
      </c>
      <c r="Y69" s="34">
        <v>5.2</v>
      </c>
      <c r="Z69" s="34"/>
      <c r="AA69" s="34"/>
      <c r="AB69" s="34">
        <v>207</v>
      </c>
      <c r="AC69" s="34">
        <v>100.6</v>
      </c>
      <c r="AD69" s="31">
        <v>0.5</v>
      </c>
      <c r="AE69" s="31">
        <v>1</v>
      </c>
      <c r="AF69" s="31">
        <v>3</v>
      </c>
      <c r="AG69" s="34">
        <f>55.3/1000</f>
        <v>5.5299999999999995E-2</v>
      </c>
      <c r="AH69" s="34">
        <f>15.3/1000</f>
        <v>1.5300000000000001E-2</v>
      </c>
      <c r="AI69" s="34"/>
      <c r="AJ69" s="34">
        <v>8</v>
      </c>
      <c r="AK69" s="31">
        <v>15.7</v>
      </c>
      <c r="AL69" s="34"/>
      <c r="AM69" s="34"/>
      <c r="AN69" s="34">
        <f>0.8/1000</f>
        <v>8.0000000000000004E-4</v>
      </c>
      <c r="AO69" s="68">
        <f t="shared" si="0"/>
        <v>1.1111111111111112E-2</v>
      </c>
    </row>
    <row r="70" spans="1:41" x14ac:dyDescent="0.2">
      <c r="A70" s="9"/>
      <c r="B70" s="19">
        <v>38896</v>
      </c>
      <c r="C70" s="74" t="s">
        <v>10</v>
      </c>
      <c r="D70" s="34"/>
      <c r="E70" s="34"/>
      <c r="F70" s="34"/>
      <c r="G70" s="34"/>
      <c r="H70" s="34"/>
      <c r="I70" s="31">
        <v>0</v>
      </c>
      <c r="J70" s="34">
        <v>0.2</v>
      </c>
      <c r="K70" s="34">
        <v>14</v>
      </c>
      <c r="L70" s="34"/>
      <c r="M70" s="34"/>
      <c r="N70" s="34"/>
      <c r="O70" s="34"/>
      <c r="P70" s="34"/>
      <c r="Q70" s="34">
        <v>0.03</v>
      </c>
      <c r="R70" s="34">
        <v>0.03</v>
      </c>
      <c r="S70" s="48">
        <v>0</v>
      </c>
      <c r="T70" s="34"/>
      <c r="U70" s="34"/>
      <c r="V70" s="34"/>
      <c r="W70" s="34"/>
      <c r="X70" s="34">
        <v>8.2799999999999994</v>
      </c>
      <c r="Y70" s="34">
        <v>5.2</v>
      </c>
      <c r="Z70" s="34"/>
      <c r="AA70" s="34"/>
      <c r="AB70" s="34">
        <v>76.2</v>
      </c>
      <c r="AC70" s="34">
        <v>88.7</v>
      </c>
      <c r="AD70" s="31">
        <v>0.88</v>
      </c>
      <c r="AE70" s="31">
        <v>1</v>
      </c>
      <c r="AF70" s="31">
        <v>3</v>
      </c>
      <c r="AG70" s="34">
        <f>41.6/1000</f>
        <v>4.1599999999999998E-2</v>
      </c>
      <c r="AH70" s="34">
        <f>3/1000</f>
        <v>3.0000000000000001E-3</v>
      </c>
      <c r="AI70" s="34"/>
      <c r="AJ70" s="34">
        <v>6.1</v>
      </c>
      <c r="AK70" s="31">
        <v>10</v>
      </c>
      <c r="AL70" s="34"/>
      <c r="AM70" s="34"/>
      <c r="AN70" s="34">
        <f>0.8/1000</f>
        <v>8.0000000000000004E-4</v>
      </c>
      <c r="AO70" s="68">
        <f t="shared" si="0"/>
        <v>1.4285714285714287E-2</v>
      </c>
    </row>
    <row r="71" spans="1:41" x14ac:dyDescent="0.2">
      <c r="A71" s="8"/>
      <c r="B71" s="19">
        <v>38896</v>
      </c>
      <c r="C71" s="75" t="s">
        <v>11</v>
      </c>
      <c r="D71" s="34"/>
      <c r="E71" s="34"/>
      <c r="F71" s="34"/>
      <c r="G71" s="34"/>
      <c r="H71" s="34"/>
      <c r="I71" s="31">
        <v>0</v>
      </c>
      <c r="J71" s="34">
        <v>0.3</v>
      </c>
      <c r="K71" s="34">
        <v>31</v>
      </c>
      <c r="L71" s="34"/>
      <c r="M71" s="34"/>
      <c r="N71" s="34"/>
      <c r="O71" s="34"/>
      <c r="P71" s="34"/>
      <c r="Q71" s="34">
        <v>0.03</v>
      </c>
      <c r="R71" s="34">
        <v>0.01</v>
      </c>
      <c r="S71" s="48">
        <v>0</v>
      </c>
      <c r="T71" s="34"/>
      <c r="U71" s="34"/>
      <c r="V71" s="34"/>
      <c r="W71" s="34"/>
      <c r="X71" s="34">
        <v>8.36</v>
      </c>
      <c r="Y71" s="34">
        <v>0.8</v>
      </c>
      <c r="Z71" s="34"/>
      <c r="AA71" s="34"/>
      <c r="AB71" s="31">
        <v>30</v>
      </c>
      <c r="AC71" s="34">
        <v>107.2</v>
      </c>
      <c r="AD71" s="31">
        <v>0.61</v>
      </c>
      <c r="AE71" s="31">
        <v>1</v>
      </c>
      <c r="AF71" s="31">
        <v>3</v>
      </c>
      <c r="AG71" s="34">
        <f>22.5/1000</f>
        <v>2.2499999999999999E-2</v>
      </c>
      <c r="AH71" s="34">
        <f>4/1000</f>
        <v>4.0000000000000001E-3</v>
      </c>
      <c r="AI71" s="34"/>
      <c r="AJ71" s="34">
        <v>7.2</v>
      </c>
      <c r="AK71" s="31">
        <v>21.4</v>
      </c>
      <c r="AL71" s="34"/>
      <c r="AM71" s="34"/>
      <c r="AN71" s="34">
        <f>0.8/1000</f>
        <v>8.0000000000000004E-4</v>
      </c>
      <c r="AO71" s="68">
        <f t="shared" si="0"/>
        <v>9.6774193548387101E-3</v>
      </c>
    </row>
    <row r="72" spans="1:41" x14ac:dyDescent="0.2">
      <c r="A72" s="8"/>
      <c r="B72" s="19">
        <v>38896</v>
      </c>
      <c r="C72" s="76" t="s">
        <v>12</v>
      </c>
      <c r="D72" s="34"/>
      <c r="E72" s="34"/>
      <c r="F72" s="34"/>
      <c r="G72" s="34"/>
      <c r="H72" s="34"/>
      <c r="I72" s="31">
        <v>0</v>
      </c>
      <c r="J72" s="34">
        <v>0.2</v>
      </c>
      <c r="K72" s="34">
        <v>10</v>
      </c>
      <c r="L72" s="34"/>
      <c r="M72" s="34"/>
      <c r="N72" s="34"/>
      <c r="O72" s="34"/>
      <c r="P72" s="34"/>
      <c r="Q72" s="34">
        <v>0.03</v>
      </c>
      <c r="R72" s="34">
        <v>0.01</v>
      </c>
      <c r="S72" s="48">
        <v>0</v>
      </c>
      <c r="T72" s="34"/>
      <c r="U72" s="34"/>
      <c r="V72" s="34"/>
      <c r="W72" s="34"/>
      <c r="X72" s="34">
        <v>8.4700000000000006</v>
      </c>
      <c r="Y72" s="34">
        <v>1.6</v>
      </c>
      <c r="Z72" s="34"/>
      <c r="AA72" s="34"/>
      <c r="AB72" s="31">
        <v>30</v>
      </c>
      <c r="AC72" s="34">
        <v>157.6</v>
      </c>
      <c r="AD72" s="31">
        <v>0.83</v>
      </c>
      <c r="AE72" s="31">
        <v>1</v>
      </c>
      <c r="AF72" s="31">
        <v>3</v>
      </c>
      <c r="AG72" s="34">
        <f>14.9/1000</f>
        <v>1.49E-2</v>
      </c>
      <c r="AH72" s="34">
        <f>1.1/1000</f>
        <v>1.1000000000000001E-3</v>
      </c>
      <c r="AI72" s="34"/>
      <c r="AJ72" s="34">
        <v>8.9</v>
      </c>
      <c r="AK72" s="31">
        <v>38.9</v>
      </c>
      <c r="AL72" s="34"/>
      <c r="AM72" s="34"/>
      <c r="AN72" s="34">
        <f>0.8/1000</f>
        <v>8.0000000000000004E-4</v>
      </c>
      <c r="AO72" s="68">
        <f t="shared" si="0"/>
        <v>0.02</v>
      </c>
    </row>
    <row r="73" spans="1:41" x14ac:dyDescent="0.2">
      <c r="A73" s="8"/>
      <c r="B73" s="19">
        <v>38896</v>
      </c>
      <c r="C73" s="77" t="s">
        <v>13</v>
      </c>
      <c r="D73" s="34"/>
      <c r="E73" s="34"/>
      <c r="F73" s="34"/>
      <c r="G73" s="34"/>
      <c r="H73" s="34"/>
      <c r="I73" s="31"/>
      <c r="J73" s="34"/>
      <c r="K73" s="34"/>
      <c r="L73" s="34"/>
      <c r="M73" s="34"/>
      <c r="N73" s="34"/>
      <c r="O73" s="34"/>
      <c r="P73" s="34"/>
      <c r="Q73" s="34"/>
      <c r="R73" s="34"/>
      <c r="S73" s="48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1"/>
      <c r="AE73" s="34"/>
      <c r="AF73" s="31"/>
      <c r="AG73" s="34"/>
      <c r="AH73" s="34"/>
      <c r="AI73" s="34"/>
      <c r="AJ73" s="34"/>
      <c r="AK73" s="31"/>
      <c r="AL73" s="34"/>
      <c r="AM73" s="34"/>
      <c r="AN73" s="34"/>
      <c r="AO73" s="68" t="e">
        <f t="shared" si="0"/>
        <v>#DIV/0!</v>
      </c>
    </row>
    <row r="74" spans="1:41" x14ac:dyDescent="0.2">
      <c r="A74" s="8"/>
      <c r="B74" s="19">
        <v>38896</v>
      </c>
      <c r="C74" s="78" t="s">
        <v>14</v>
      </c>
      <c r="D74" s="34"/>
      <c r="E74" s="34"/>
      <c r="F74" s="34"/>
      <c r="G74" s="34"/>
      <c r="H74" s="34"/>
      <c r="I74" s="31"/>
      <c r="J74" s="34"/>
      <c r="K74" s="34"/>
      <c r="L74" s="34"/>
      <c r="M74" s="34"/>
      <c r="N74" s="34"/>
      <c r="O74" s="34"/>
      <c r="P74" s="34"/>
      <c r="Q74" s="34"/>
      <c r="R74" s="34"/>
      <c r="S74" s="48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1"/>
      <c r="AE74" s="34"/>
      <c r="AF74" s="31"/>
      <c r="AG74" s="34"/>
      <c r="AH74" s="34"/>
      <c r="AI74" s="34"/>
      <c r="AJ74" s="34"/>
      <c r="AK74" s="31"/>
      <c r="AL74" s="34"/>
      <c r="AM74" s="34"/>
      <c r="AN74" s="34"/>
      <c r="AO74" s="68" t="e">
        <f t="shared" si="0"/>
        <v>#DIV/0!</v>
      </c>
    </row>
    <row r="75" spans="1:41" x14ac:dyDescent="0.2">
      <c r="A75" s="10">
        <v>2011</v>
      </c>
      <c r="B75" s="23">
        <v>40625</v>
      </c>
      <c r="C75" s="27" t="s">
        <v>9</v>
      </c>
      <c r="D75" s="34"/>
      <c r="E75" s="34"/>
      <c r="F75" s="34"/>
      <c r="G75" s="34"/>
      <c r="H75" s="34"/>
      <c r="I75" s="31">
        <v>0.1</v>
      </c>
      <c r="J75" s="34">
        <v>1.2</v>
      </c>
      <c r="K75" s="34">
        <v>54</v>
      </c>
      <c r="L75" s="34"/>
      <c r="M75" s="34"/>
      <c r="N75" s="34"/>
      <c r="O75" s="34"/>
      <c r="P75" s="34"/>
      <c r="Q75" s="34">
        <v>0.13</v>
      </c>
      <c r="R75" s="34">
        <v>0.08</v>
      </c>
      <c r="S75" s="48">
        <v>2.3E-2</v>
      </c>
      <c r="T75" s="34"/>
      <c r="U75" s="34"/>
      <c r="V75" s="34"/>
      <c r="W75" s="34"/>
      <c r="X75" s="34">
        <v>7.5</v>
      </c>
      <c r="Y75" s="34">
        <v>2</v>
      </c>
      <c r="Z75" s="34"/>
      <c r="AA75" s="34"/>
      <c r="AB75" s="34">
        <v>1965</v>
      </c>
      <c r="AC75" s="34"/>
      <c r="AD75" s="31">
        <v>20</v>
      </c>
      <c r="AE75" s="34">
        <v>30.9</v>
      </c>
      <c r="AF75" s="31">
        <v>50</v>
      </c>
      <c r="AG75" s="34">
        <f>3432/1000</f>
        <v>3.4319999999999999</v>
      </c>
      <c r="AH75" s="34">
        <f>60.1/1000</f>
        <v>6.0100000000000001E-2</v>
      </c>
      <c r="AI75" s="34"/>
      <c r="AJ75" s="34">
        <v>34.799999999999997</v>
      </c>
      <c r="AK75" s="31">
        <v>100</v>
      </c>
      <c r="AL75" s="34"/>
      <c r="AM75" s="34"/>
      <c r="AN75" s="34">
        <f>53/1000</f>
        <v>5.2999999999999999E-2</v>
      </c>
      <c r="AO75" s="68">
        <f t="shared" si="0"/>
        <v>2.2222222222222223E-2</v>
      </c>
    </row>
    <row r="76" spans="1:41" x14ac:dyDescent="0.2">
      <c r="A76" s="9"/>
      <c r="B76" s="21">
        <v>40625</v>
      </c>
      <c r="C76" s="74" t="s">
        <v>10</v>
      </c>
      <c r="D76" s="34"/>
      <c r="E76" s="34"/>
      <c r="F76" s="34"/>
      <c r="G76" s="34"/>
      <c r="H76" s="34"/>
      <c r="I76" s="31">
        <v>0.1</v>
      </c>
      <c r="J76" s="34">
        <v>1</v>
      </c>
      <c r="K76" s="34">
        <v>58</v>
      </c>
      <c r="L76" s="34"/>
      <c r="M76" s="34"/>
      <c r="N76" s="34"/>
      <c r="O76" s="34"/>
      <c r="P76" s="34"/>
      <c r="Q76" s="34">
        <v>0.12</v>
      </c>
      <c r="R76" s="34">
        <v>0.05</v>
      </c>
      <c r="S76" s="48">
        <v>0.01</v>
      </c>
      <c r="T76" s="34"/>
      <c r="U76" s="34"/>
      <c r="V76" s="34"/>
      <c r="W76" s="34"/>
      <c r="X76" s="34">
        <v>7.64</v>
      </c>
      <c r="Y76" s="34">
        <v>6.4</v>
      </c>
      <c r="Z76" s="34"/>
      <c r="AA76" s="34"/>
      <c r="AB76" s="34">
        <v>2533</v>
      </c>
      <c r="AC76" s="34"/>
      <c r="AD76" s="31">
        <v>20</v>
      </c>
      <c r="AE76" s="34">
        <v>20.7</v>
      </c>
      <c r="AF76" s="31">
        <v>50</v>
      </c>
      <c r="AG76" s="34">
        <f>3100/1000</f>
        <v>3.1</v>
      </c>
      <c r="AH76" s="34">
        <f>65.6/1000</f>
        <v>6.5599999999999992E-2</v>
      </c>
      <c r="AI76" s="34"/>
      <c r="AJ76" s="34">
        <v>15.4</v>
      </c>
      <c r="AK76" s="31">
        <v>100</v>
      </c>
      <c r="AL76" s="34"/>
      <c r="AM76" s="34"/>
      <c r="AN76" s="34">
        <f>55.2/1000</f>
        <v>5.5200000000000006E-2</v>
      </c>
      <c r="AO76" s="68">
        <f t="shared" si="0"/>
        <v>1.7241379310344827E-2</v>
      </c>
    </row>
    <row r="77" spans="1:41" x14ac:dyDescent="0.2">
      <c r="A77" s="8"/>
      <c r="B77" s="21">
        <v>40625</v>
      </c>
      <c r="C77" s="75" t="s">
        <v>11</v>
      </c>
      <c r="D77" s="34"/>
      <c r="E77" s="34"/>
      <c r="F77" s="34"/>
      <c r="G77" s="34"/>
      <c r="H77" s="34"/>
      <c r="I77" s="31">
        <v>0.1</v>
      </c>
      <c r="J77" s="34">
        <v>1.3</v>
      </c>
      <c r="K77" s="34">
        <v>44</v>
      </c>
      <c r="L77" s="34"/>
      <c r="M77" s="34"/>
      <c r="N77" s="34"/>
      <c r="O77" s="34"/>
      <c r="P77" s="34"/>
      <c r="Q77" s="34">
        <v>0.12</v>
      </c>
      <c r="R77" s="34">
        <v>0.04</v>
      </c>
      <c r="S77" s="48">
        <v>1.7000000000000001E-2</v>
      </c>
      <c r="T77" s="34"/>
      <c r="U77" s="34"/>
      <c r="V77" s="34"/>
      <c r="W77" s="34"/>
      <c r="X77" s="34">
        <v>7.77</v>
      </c>
      <c r="Y77" s="34">
        <v>8.4</v>
      </c>
      <c r="Z77" s="34"/>
      <c r="AA77" s="34"/>
      <c r="AB77" s="34">
        <v>3932</v>
      </c>
      <c r="AC77" s="34"/>
      <c r="AD77" s="31">
        <v>20</v>
      </c>
      <c r="AE77" s="34">
        <v>18.899999999999999</v>
      </c>
      <c r="AF77" s="31">
        <v>50</v>
      </c>
      <c r="AG77" s="34">
        <f>4195/1000</f>
        <v>4.1950000000000003</v>
      </c>
      <c r="AH77" s="34">
        <f>69.8/1000</f>
        <v>6.9800000000000001E-2</v>
      </c>
      <c r="AI77" s="34"/>
      <c r="AJ77" s="34">
        <v>29.4</v>
      </c>
      <c r="AK77" s="31">
        <v>100</v>
      </c>
      <c r="AL77" s="34"/>
      <c r="AM77" s="34"/>
      <c r="AN77" s="34">
        <f>1249/1000</f>
        <v>1.2490000000000001</v>
      </c>
      <c r="AO77" s="68">
        <f t="shared" ref="AO77:AO140" si="1">+J77/K77</f>
        <v>2.9545454545454545E-2</v>
      </c>
    </row>
    <row r="78" spans="1:41" x14ac:dyDescent="0.2">
      <c r="A78" s="8"/>
      <c r="B78" s="21">
        <v>40625</v>
      </c>
      <c r="C78" s="76" t="s">
        <v>12</v>
      </c>
      <c r="D78" s="34"/>
      <c r="E78" s="34"/>
      <c r="F78" s="34"/>
      <c r="G78" s="34"/>
      <c r="H78" s="34"/>
      <c r="I78" s="31">
        <v>0.1</v>
      </c>
      <c r="J78" s="34">
        <v>1</v>
      </c>
      <c r="K78" s="34">
        <v>50</v>
      </c>
      <c r="L78" s="34"/>
      <c r="M78" s="34"/>
      <c r="N78" s="34"/>
      <c r="O78" s="34"/>
      <c r="P78" s="34"/>
      <c r="Q78" s="34">
        <v>0.19</v>
      </c>
      <c r="R78" s="34">
        <v>7.0000000000000007E-2</v>
      </c>
      <c r="S78" s="48">
        <v>4.0000000000000001E-3</v>
      </c>
      <c r="T78" s="34"/>
      <c r="U78" s="34"/>
      <c r="V78" s="34"/>
      <c r="W78" s="34"/>
      <c r="X78" s="34">
        <v>7.88</v>
      </c>
      <c r="Y78" s="34">
        <v>17.600000000000001</v>
      </c>
      <c r="Z78" s="34"/>
      <c r="AA78" s="34"/>
      <c r="AB78" s="34">
        <v>7656</v>
      </c>
      <c r="AC78" s="34"/>
      <c r="AD78" s="31">
        <v>20</v>
      </c>
      <c r="AE78" s="34">
        <v>28.2</v>
      </c>
      <c r="AF78" s="31">
        <v>50</v>
      </c>
      <c r="AG78" s="34">
        <f>9803/1000</f>
        <v>9.8030000000000008</v>
      </c>
      <c r="AH78" s="34">
        <f>166.2/1000</f>
        <v>0.16619999999999999</v>
      </c>
      <c r="AI78" s="34"/>
      <c r="AJ78" s="34">
        <v>33.5</v>
      </c>
      <c r="AK78" s="31">
        <v>100</v>
      </c>
      <c r="AL78" s="34"/>
      <c r="AM78" s="34"/>
      <c r="AN78" s="34">
        <f>63.3/1000</f>
        <v>6.3299999999999995E-2</v>
      </c>
      <c r="AO78" s="68">
        <f t="shared" si="1"/>
        <v>0.02</v>
      </c>
    </row>
    <row r="79" spans="1:41" x14ac:dyDescent="0.2">
      <c r="A79" s="8"/>
      <c r="B79" s="21">
        <v>40625</v>
      </c>
      <c r="C79" s="77" t="s">
        <v>13</v>
      </c>
      <c r="D79" s="34"/>
      <c r="E79" s="34"/>
      <c r="F79" s="34"/>
      <c r="G79" s="34"/>
      <c r="H79" s="34"/>
      <c r="I79" s="31">
        <v>0.1</v>
      </c>
      <c r="J79" s="34">
        <v>1</v>
      </c>
      <c r="K79" s="34">
        <v>58</v>
      </c>
      <c r="L79" s="34"/>
      <c r="M79" s="34"/>
      <c r="N79" s="34"/>
      <c r="O79" s="34"/>
      <c r="P79" s="34"/>
      <c r="Q79" s="34">
        <v>0.1</v>
      </c>
      <c r="R79" s="34">
        <v>0.05</v>
      </c>
      <c r="S79" s="48">
        <v>7.0000000000000001E-3</v>
      </c>
      <c r="T79" s="34"/>
      <c r="U79" s="34"/>
      <c r="V79" s="34"/>
      <c r="W79" s="34"/>
      <c r="X79" s="34">
        <v>7.9</v>
      </c>
      <c r="Y79" s="34">
        <v>5.6</v>
      </c>
      <c r="Z79" s="34"/>
      <c r="AA79" s="34"/>
      <c r="AB79" s="34">
        <v>5269</v>
      </c>
      <c r="AC79" s="34"/>
      <c r="AD79" s="31">
        <v>20</v>
      </c>
      <c r="AE79" s="34">
        <v>17.7</v>
      </c>
      <c r="AF79" s="31">
        <v>50</v>
      </c>
      <c r="AG79" s="34">
        <f>5002/1000</f>
        <v>5.0019999999999998</v>
      </c>
      <c r="AH79" s="34">
        <f>66.5/1000</f>
        <v>6.6500000000000004E-2</v>
      </c>
      <c r="AI79" s="34"/>
      <c r="AJ79" s="34">
        <v>25.7</v>
      </c>
      <c r="AK79" s="31">
        <v>100</v>
      </c>
      <c r="AL79" s="34"/>
      <c r="AM79" s="34"/>
      <c r="AN79" s="34">
        <f>31.9/1000</f>
        <v>3.1899999999999998E-2</v>
      </c>
      <c r="AO79" s="68">
        <f t="shared" si="1"/>
        <v>1.7241379310344827E-2</v>
      </c>
    </row>
    <row r="80" spans="1:41" x14ac:dyDescent="0.2">
      <c r="A80" s="8"/>
      <c r="B80" s="21">
        <v>40625</v>
      </c>
      <c r="C80" s="78" t="s">
        <v>14</v>
      </c>
      <c r="D80" s="34"/>
      <c r="E80" s="34"/>
      <c r="F80" s="34"/>
      <c r="G80" s="34"/>
      <c r="H80" s="34"/>
      <c r="I80" s="31">
        <v>0.1</v>
      </c>
      <c r="J80" s="34">
        <v>0.3</v>
      </c>
      <c r="K80" s="34">
        <v>12</v>
      </c>
      <c r="L80" s="34"/>
      <c r="M80" s="34"/>
      <c r="N80" s="34"/>
      <c r="O80" s="34"/>
      <c r="P80" s="34"/>
      <c r="Q80" s="34">
        <v>7.0000000000000007E-2</v>
      </c>
      <c r="R80" s="34">
        <v>0.03</v>
      </c>
      <c r="S80" s="31">
        <v>2E-3</v>
      </c>
      <c r="T80" s="34"/>
      <c r="U80" s="34"/>
      <c r="V80" s="34"/>
      <c r="W80" s="34"/>
      <c r="X80" s="34">
        <v>8.1</v>
      </c>
      <c r="Y80" s="34">
        <v>6</v>
      </c>
      <c r="Z80" s="34"/>
      <c r="AA80" s="34"/>
      <c r="AB80" s="34">
        <v>1186</v>
      </c>
      <c r="AC80" s="34"/>
      <c r="AD80" s="31">
        <v>20</v>
      </c>
      <c r="AE80" s="34">
        <v>13.4</v>
      </c>
      <c r="AF80" s="31">
        <v>50</v>
      </c>
      <c r="AG80" s="34">
        <f>2106/1000</f>
        <v>2.1059999999999999</v>
      </c>
      <c r="AH80" s="34">
        <f>35/1000</f>
        <v>3.5000000000000003E-2</v>
      </c>
      <c r="AI80" s="34"/>
      <c r="AJ80" s="34">
        <v>27.7</v>
      </c>
      <c r="AK80" s="31">
        <v>100</v>
      </c>
      <c r="AL80" s="34"/>
      <c r="AM80" s="34"/>
      <c r="AN80" s="34">
        <f>23.9/1000</f>
        <v>2.3899999999999998E-2</v>
      </c>
      <c r="AO80" s="68">
        <f t="shared" si="1"/>
        <v>2.4999999999999998E-2</v>
      </c>
    </row>
    <row r="81" spans="1:41" x14ac:dyDescent="0.2">
      <c r="A81" s="10"/>
      <c r="B81" s="21">
        <v>40716</v>
      </c>
      <c r="C81" s="27" t="s">
        <v>9</v>
      </c>
      <c r="D81" s="34"/>
      <c r="E81" s="34"/>
      <c r="F81" s="34"/>
      <c r="G81" s="34"/>
      <c r="H81" s="34"/>
      <c r="I81" s="34"/>
      <c r="J81" s="34">
        <v>0.6</v>
      </c>
      <c r="K81" s="34">
        <v>16</v>
      </c>
      <c r="L81" s="34"/>
      <c r="M81" s="34"/>
      <c r="N81" s="34"/>
      <c r="O81" s="34"/>
      <c r="P81" s="34"/>
      <c r="Q81" s="34"/>
      <c r="R81" s="34"/>
      <c r="S81" s="48"/>
      <c r="T81" s="34"/>
      <c r="U81" s="34"/>
      <c r="V81" s="34"/>
      <c r="W81" s="34"/>
      <c r="X81" s="34">
        <v>7.98</v>
      </c>
      <c r="Y81" s="34"/>
      <c r="Z81" s="34"/>
      <c r="AA81" s="34"/>
      <c r="AB81" s="34"/>
      <c r="AC81" s="34"/>
      <c r="AD81" s="31">
        <v>20</v>
      </c>
      <c r="AE81" s="34">
        <v>6.3</v>
      </c>
      <c r="AF81" s="31">
        <v>6</v>
      </c>
      <c r="AG81" s="34">
        <f>285.9/1000</f>
        <v>0.28589999999999999</v>
      </c>
      <c r="AH81" s="34">
        <f>20.9/1000</f>
        <v>2.0899999999999998E-2</v>
      </c>
      <c r="AI81" s="34"/>
      <c r="AJ81" s="31">
        <v>15</v>
      </c>
      <c r="AK81" s="31">
        <v>100</v>
      </c>
      <c r="AL81" s="34"/>
      <c r="AM81" s="34"/>
      <c r="AN81" s="34">
        <f>4.1/1000</f>
        <v>4.0999999999999995E-3</v>
      </c>
      <c r="AO81" s="68">
        <f t="shared" si="1"/>
        <v>3.7499999999999999E-2</v>
      </c>
    </row>
    <row r="82" spans="1:41" x14ac:dyDescent="0.2">
      <c r="A82" s="9"/>
      <c r="B82" s="22">
        <v>40716</v>
      </c>
      <c r="C82" s="74" t="s">
        <v>10</v>
      </c>
      <c r="D82" s="34"/>
      <c r="E82" s="34"/>
      <c r="F82" s="34"/>
      <c r="G82" s="34"/>
      <c r="H82" s="34"/>
      <c r="I82" s="34"/>
      <c r="J82" s="34">
        <v>0.6</v>
      </c>
      <c r="K82" s="34">
        <v>18</v>
      </c>
      <c r="L82" s="34"/>
      <c r="M82" s="34"/>
      <c r="N82" s="34"/>
      <c r="O82" s="34"/>
      <c r="P82" s="34"/>
      <c r="Q82" s="34"/>
      <c r="R82" s="34"/>
      <c r="S82" s="48"/>
      <c r="T82" s="34"/>
      <c r="U82" s="34"/>
      <c r="V82" s="34"/>
      <c r="W82" s="34"/>
      <c r="X82" s="34">
        <v>8.01</v>
      </c>
      <c r="Y82" s="34"/>
      <c r="Z82" s="34"/>
      <c r="AA82" s="34"/>
      <c r="AB82" s="34"/>
      <c r="AC82" s="34"/>
      <c r="AD82" s="31">
        <v>20</v>
      </c>
      <c r="AE82" s="34">
        <v>6.4</v>
      </c>
      <c r="AF82" s="31">
        <v>6</v>
      </c>
      <c r="AG82" s="34">
        <f>305.6/1000</f>
        <v>0.30560000000000004</v>
      </c>
      <c r="AH82" s="34">
        <f>52/1000</f>
        <v>5.1999999999999998E-2</v>
      </c>
      <c r="AI82" s="34"/>
      <c r="AJ82" s="31">
        <v>15</v>
      </c>
      <c r="AK82" s="31">
        <v>100</v>
      </c>
      <c r="AL82" s="34"/>
      <c r="AM82" s="34"/>
      <c r="AN82" s="34">
        <f>38.5/1000</f>
        <v>3.85E-2</v>
      </c>
      <c r="AO82" s="68">
        <f t="shared" si="1"/>
        <v>3.3333333333333333E-2</v>
      </c>
    </row>
    <row r="83" spans="1:41" x14ac:dyDescent="0.2">
      <c r="A83" s="8"/>
      <c r="B83" s="22">
        <v>40716</v>
      </c>
      <c r="C83" s="75" t="s">
        <v>11</v>
      </c>
      <c r="D83" s="34"/>
      <c r="E83" s="34"/>
      <c r="F83" s="34"/>
      <c r="G83" s="34"/>
      <c r="H83" s="34"/>
      <c r="I83" s="34"/>
      <c r="J83" s="34">
        <v>0.6</v>
      </c>
      <c r="K83" s="34">
        <v>8</v>
      </c>
      <c r="L83" s="34"/>
      <c r="M83" s="34"/>
      <c r="N83" s="34"/>
      <c r="O83" s="34"/>
      <c r="P83" s="34"/>
      <c r="Q83" s="34"/>
      <c r="R83" s="34"/>
      <c r="S83" s="48"/>
      <c r="T83" s="34"/>
      <c r="U83" s="34"/>
      <c r="V83" s="34"/>
      <c r="W83" s="34"/>
      <c r="X83" s="34">
        <v>8.06</v>
      </c>
      <c r="Y83" s="34"/>
      <c r="Z83" s="34"/>
      <c r="AA83" s="34"/>
      <c r="AB83" s="34"/>
      <c r="AC83" s="34"/>
      <c r="AD83" s="31">
        <v>20</v>
      </c>
      <c r="AE83" s="34">
        <v>5.9</v>
      </c>
      <c r="AF83" s="31">
        <v>6</v>
      </c>
      <c r="AG83" s="34">
        <f>307/1000</f>
        <v>0.307</v>
      </c>
      <c r="AH83" s="34">
        <f>44.6/1000</f>
        <v>4.4600000000000001E-2</v>
      </c>
      <c r="AI83" s="34"/>
      <c r="AJ83" s="31">
        <v>15</v>
      </c>
      <c r="AK83" s="31">
        <v>100</v>
      </c>
      <c r="AL83" s="34"/>
      <c r="AM83" s="34"/>
      <c r="AN83" s="34">
        <f>124.6/1000</f>
        <v>0.12459999999999999</v>
      </c>
      <c r="AO83" s="68">
        <f t="shared" si="1"/>
        <v>7.4999999999999997E-2</v>
      </c>
    </row>
    <row r="84" spans="1:41" x14ac:dyDescent="0.2">
      <c r="A84" s="8"/>
      <c r="B84" s="22">
        <v>40716</v>
      </c>
      <c r="C84" s="76" t="s">
        <v>12</v>
      </c>
      <c r="D84" s="34"/>
      <c r="E84" s="34"/>
      <c r="F84" s="34"/>
      <c r="G84" s="34"/>
      <c r="H84" s="34"/>
      <c r="I84" s="34"/>
      <c r="J84" s="34">
        <v>0.6</v>
      </c>
      <c r="K84" s="34">
        <v>16</v>
      </c>
      <c r="L84" s="34"/>
      <c r="M84" s="34"/>
      <c r="N84" s="34"/>
      <c r="O84" s="34"/>
      <c r="P84" s="34"/>
      <c r="Q84" s="34"/>
      <c r="R84" s="34"/>
      <c r="S84" s="48"/>
      <c r="T84" s="34"/>
      <c r="U84" s="34"/>
      <c r="V84" s="34"/>
      <c r="W84" s="34"/>
      <c r="X84" s="34">
        <v>8.11</v>
      </c>
      <c r="Y84" s="34"/>
      <c r="Z84" s="34"/>
      <c r="AA84" s="34"/>
      <c r="AB84" s="34"/>
      <c r="AC84" s="34"/>
      <c r="AD84" s="31">
        <v>20</v>
      </c>
      <c r="AE84" s="34">
        <v>6.2</v>
      </c>
      <c r="AF84" s="31">
        <v>6</v>
      </c>
      <c r="AG84" s="34">
        <f>260.1/1000</f>
        <v>0.2601</v>
      </c>
      <c r="AH84" s="34">
        <f>34.5/1000</f>
        <v>3.4500000000000003E-2</v>
      </c>
      <c r="AI84" s="34"/>
      <c r="AJ84" s="31">
        <v>15</v>
      </c>
      <c r="AK84" s="31">
        <v>100</v>
      </c>
      <c r="AL84" s="34"/>
      <c r="AM84" s="34"/>
      <c r="AN84" s="34">
        <f>94.7/1000</f>
        <v>9.4700000000000006E-2</v>
      </c>
      <c r="AO84" s="68">
        <f t="shared" si="1"/>
        <v>3.7499999999999999E-2</v>
      </c>
    </row>
    <row r="85" spans="1:41" x14ac:dyDescent="0.2">
      <c r="A85" s="8"/>
      <c r="B85" s="22">
        <v>40716</v>
      </c>
      <c r="C85" s="77" t="s">
        <v>13</v>
      </c>
      <c r="D85" s="34"/>
      <c r="E85" s="34"/>
      <c r="F85" s="34"/>
      <c r="G85" s="34"/>
      <c r="H85" s="34"/>
      <c r="I85" s="34"/>
      <c r="J85" s="34">
        <v>0.7</v>
      </c>
      <c r="K85" s="34">
        <v>14</v>
      </c>
      <c r="L85" s="34"/>
      <c r="M85" s="34"/>
      <c r="N85" s="34"/>
      <c r="O85" s="34"/>
      <c r="P85" s="34"/>
      <c r="Q85" s="34"/>
      <c r="R85" s="34"/>
      <c r="S85" s="48"/>
      <c r="T85" s="34"/>
      <c r="U85" s="34"/>
      <c r="V85" s="34"/>
      <c r="W85" s="34"/>
      <c r="X85" s="34">
        <v>8.0399999999999991</v>
      </c>
      <c r="Y85" s="34"/>
      <c r="Z85" s="34"/>
      <c r="AA85" s="34"/>
      <c r="AB85" s="34"/>
      <c r="AC85" s="34"/>
      <c r="AD85" s="31">
        <v>20</v>
      </c>
      <c r="AE85" s="34">
        <v>5.7</v>
      </c>
      <c r="AF85" s="31">
        <v>6</v>
      </c>
      <c r="AG85" s="34">
        <f>288/1000</f>
        <v>0.28799999999999998</v>
      </c>
      <c r="AH85" s="34">
        <f>46.4/1000</f>
        <v>4.6399999999999997E-2</v>
      </c>
      <c r="AI85" s="34"/>
      <c r="AJ85" s="31">
        <v>15</v>
      </c>
      <c r="AK85" s="31">
        <v>100</v>
      </c>
      <c r="AL85" s="34"/>
      <c r="AM85" s="34"/>
      <c r="AN85" s="34">
        <f>50.4/1000</f>
        <v>5.04E-2</v>
      </c>
      <c r="AO85" s="68">
        <f t="shared" si="1"/>
        <v>4.9999999999999996E-2</v>
      </c>
    </row>
    <row r="86" spans="1:41" x14ac:dyDescent="0.2">
      <c r="A86" s="8"/>
      <c r="B86" s="22">
        <v>40716</v>
      </c>
      <c r="C86" s="78" t="s">
        <v>14</v>
      </c>
      <c r="D86" s="34"/>
      <c r="E86" s="34"/>
      <c r="F86" s="34"/>
      <c r="G86" s="34"/>
      <c r="H86" s="34"/>
      <c r="I86" s="34"/>
      <c r="J86" s="34">
        <v>0.3</v>
      </c>
      <c r="K86" s="34">
        <v>6</v>
      </c>
      <c r="L86" s="34"/>
      <c r="M86" s="34"/>
      <c r="N86" s="34"/>
      <c r="O86" s="34"/>
      <c r="P86" s="34"/>
      <c r="Q86" s="34"/>
      <c r="R86" s="34"/>
      <c r="S86" s="48"/>
      <c r="T86" s="34"/>
      <c r="U86" s="34"/>
      <c r="V86" s="34"/>
      <c r="W86" s="34"/>
      <c r="X86" s="34">
        <v>7.82</v>
      </c>
      <c r="Y86" s="34"/>
      <c r="Z86" s="34"/>
      <c r="AA86" s="34"/>
      <c r="AB86" s="34"/>
      <c r="AC86" s="34"/>
      <c r="AD86" s="31">
        <v>20</v>
      </c>
      <c r="AE86" s="34">
        <v>4.5</v>
      </c>
      <c r="AF86" s="31">
        <v>6</v>
      </c>
      <c r="AG86" s="34">
        <f>77.8/1000</f>
        <v>7.7799999999999994E-2</v>
      </c>
      <c r="AH86" s="34">
        <f>9.7/1000</f>
        <v>9.6999999999999986E-3</v>
      </c>
      <c r="AI86" s="34"/>
      <c r="AJ86" s="31">
        <v>15</v>
      </c>
      <c r="AK86" s="31">
        <v>100</v>
      </c>
      <c r="AL86" s="34"/>
      <c r="AM86" s="34"/>
      <c r="AN86" s="34">
        <f>56.1/1000</f>
        <v>5.6100000000000004E-2</v>
      </c>
      <c r="AO86" s="68">
        <f t="shared" si="1"/>
        <v>4.9999999999999996E-2</v>
      </c>
    </row>
    <row r="87" spans="1:41" x14ac:dyDescent="0.2">
      <c r="A87" s="10"/>
      <c r="B87" s="22">
        <v>40821</v>
      </c>
      <c r="C87" s="27" t="s">
        <v>9</v>
      </c>
      <c r="D87" s="34"/>
      <c r="E87" s="34"/>
      <c r="F87" s="34"/>
      <c r="G87" s="34"/>
      <c r="H87" s="34"/>
      <c r="I87" s="31">
        <v>1</v>
      </c>
      <c r="J87" s="34">
        <v>0.8</v>
      </c>
      <c r="K87" s="34">
        <v>58</v>
      </c>
      <c r="L87" s="34"/>
      <c r="M87" s="34"/>
      <c r="N87" s="34"/>
      <c r="O87" s="34"/>
      <c r="P87" s="34"/>
      <c r="Q87" s="34">
        <v>0.3</v>
      </c>
      <c r="R87" s="34">
        <v>0.11</v>
      </c>
      <c r="S87" s="31">
        <v>2E-3</v>
      </c>
      <c r="T87" s="34"/>
      <c r="U87" s="34"/>
      <c r="V87" s="34"/>
      <c r="W87" s="34"/>
      <c r="X87" s="34">
        <v>7.82</v>
      </c>
      <c r="Y87" s="34">
        <v>5.2</v>
      </c>
      <c r="Z87" s="34"/>
      <c r="AA87" s="34"/>
      <c r="AB87" s="34">
        <v>20140</v>
      </c>
      <c r="AC87" s="34"/>
      <c r="AD87" s="31">
        <v>20</v>
      </c>
      <c r="AE87" s="34">
        <v>22</v>
      </c>
      <c r="AF87" s="31">
        <v>20</v>
      </c>
      <c r="AG87" s="34">
        <f>12890/1000</f>
        <v>12.89</v>
      </c>
      <c r="AH87" s="34">
        <f>121.7/1000</f>
        <v>0.1217</v>
      </c>
      <c r="AI87" s="34"/>
      <c r="AJ87" s="37">
        <v>50</v>
      </c>
      <c r="AK87" s="31">
        <v>100</v>
      </c>
      <c r="AL87" s="34"/>
      <c r="AM87" s="34"/>
      <c r="AN87" s="34">
        <f>54.7/1000</f>
        <v>5.4700000000000006E-2</v>
      </c>
      <c r="AO87" s="68">
        <f t="shared" si="1"/>
        <v>1.3793103448275864E-2</v>
      </c>
    </row>
    <row r="88" spans="1:41" x14ac:dyDescent="0.2">
      <c r="A88" s="9"/>
      <c r="B88" s="21">
        <v>40821</v>
      </c>
      <c r="C88" s="74" t="s">
        <v>10</v>
      </c>
      <c r="D88" s="34"/>
      <c r="E88" s="34"/>
      <c r="F88" s="34"/>
      <c r="G88" s="34"/>
      <c r="H88" s="34"/>
      <c r="I88" s="31">
        <v>1</v>
      </c>
      <c r="J88" s="34">
        <v>1</v>
      </c>
      <c r="K88" s="34">
        <v>58</v>
      </c>
      <c r="L88" s="34"/>
      <c r="M88" s="34"/>
      <c r="N88" s="34"/>
      <c r="O88" s="34"/>
      <c r="P88" s="34"/>
      <c r="Q88" s="34">
        <v>23</v>
      </c>
      <c r="R88" s="34">
        <v>0.15</v>
      </c>
      <c r="S88" s="31">
        <v>2E-3</v>
      </c>
      <c r="T88" s="34"/>
      <c r="U88" s="34"/>
      <c r="V88" s="34"/>
      <c r="W88" s="34"/>
      <c r="X88" s="34">
        <v>7.81</v>
      </c>
      <c r="Y88" s="34">
        <v>2.8</v>
      </c>
      <c r="Z88" s="34"/>
      <c r="AA88" s="34"/>
      <c r="AB88" s="34">
        <v>13960</v>
      </c>
      <c r="AC88" s="34"/>
      <c r="AD88" s="31">
        <v>20</v>
      </c>
      <c r="AE88" s="34">
        <v>24.4</v>
      </c>
      <c r="AF88" s="31">
        <v>20</v>
      </c>
      <c r="AG88" s="34">
        <f>9922/1000</f>
        <v>9.9220000000000006</v>
      </c>
      <c r="AH88" s="34">
        <f>113.3/1000</f>
        <v>0.1133</v>
      </c>
      <c r="AI88" s="34"/>
      <c r="AJ88" s="37">
        <v>50</v>
      </c>
      <c r="AK88" s="31">
        <v>100</v>
      </c>
      <c r="AL88" s="34"/>
      <c r="AM88" s="34"/>
      <c r="AN88" s="34">
        <f>52.9/1000</f>
        <v>5.2899999999999996E-2</v>
      </c>
      <c r="AO88" s="68">
        <f t="shared" si="1"/>
        <v>1.7241379310344827E-2</v>
      </c>
    </row>
    <row r="89" spans="1:41" x14ac:dyDescent="0.2">
      <c r="A89" s="8"/>
      <c r="B89" s="21">
        <v>40821</v>
      </c>
      <c r="C89" s="75" t="s">
        <v>11</v>
      </c>
      <c r="D89" s="34"/>
      <c r="E89" s="34"/>
      <c r="F89" s="34"/>
      <c r="G89" s="34"/>
      <c r="H89" s="34"/>
      <c r="I89" s="31">
        <v>1</v>
      </c>
      <c r="J89" s="34">
        <v>0.8</v>
      </c>
      <c r="K89" s="34">
        <v>46</v>
      </c>
      <c r="L89" s="34"/>
      <c r="M89" s="34"/>
      <c r="N89" s="34"/>
      <c r="O89" s="34"/>
      <c r="P89" s="34"/>
      <c r="Q89" s="34">
        <v>0.14000000000000001</v>
      </c>
      <c r="R89" s="34">
        <v>0.09</v>
      </c>
      <c r="S89" s="31">
        <v>2E-3</v>
      </c>
      <c r="T89" s="34"/>
      <c r="U89" s="34"/>
      <c r="V89" s="34"/>
      <c r="W89" s="34"/>
      <c r="X89" s="34">
        <v>7.88</v>
      </c>
      <c r="Y89" s="34">
        <v>2.8</v>
      </c>
      <c r="Z89" s="34"/>
      <c r="AA89" s="34"/>
      <c r="AB89" s="34">
        <v>17020</v>
      </c>
      <c r="AC89" s="34"/>
      <c r="AD89" s="31">
        <v>20</v>
      </c>
      <c r="AE89" s="34">
        <v>18.399999999999999</v>
      </c>
      <c r="AF89" s="31">
        <v>20</v>
      </c>
      <c r="AG89" s="34">
        <f>11720/1000</f>
        <v>11.72</v>
      </c>
      <c r="AH89" s="34">
        <f>116.6/1000</f>
        <v>0.1166</v>
      </c>
      <c r="AI89" s="34"/>
      <c r="AJ89" s="37">
        <v>50</v>
      </c>
      <c r="AK89" s="31">
        <v>100</v>
      </c>
      <c r="AL89" s="34"/>
      <c r="AM89" s="34"/>
      <c r="AN89" s="34">
        <f>35/1000</f>
        <v>3.5000000000000003E-2</v>
      </c>
      <c r="AO89" s="68">
        <f t="shared" si="1"/>
        <v>1.7391304347826087E-2</v>
      </c>
    </row>
    <row r="90" spans="1:41" x14ac:dyDescent="0.2">
      <c r="A90" s="8"/>
      <c r="B90" s="21">
        <v>40821</v>
      </c>
      <c r="C90" s="76" t="s">
        <v>12</v>
      </c>
      <c r="D90" s="34"/>
      <c r="E90" s="34"/>
      <c r="F90" s="34"/>
      <c r="G90" s="34"/>
      <c r="H90" s="34"/>
      <c r="I90" s="31">
        <v>1</v>
      </c>
      <c r="J90" s="34">
        <v>0.6</v>
      </c>
      <c r="K90" s="34">
        <v>46</v>
      </c>
      <c r="L90" s="34"/>
      <c r="M90" s="34"/>
      <c r="N90" s="34"/>
      <c r="O90" s="34"/>
      <c r="P90" s="34"/>
      <c r="Q90" s="34">
        <v>0.27</v>
      </c>
      <c r="R90" s="34">
        <v>0.09</v>
      </c>
      <c r="S90" s="31">
        <v>2E-3</v>
      </c>
      <c r="T90" s="34"/>
      <c r="U90" s="34"/>
      <c r="V90" s="34"/>
      <c r="W90" s="34"/>
      <c r="X90" s="34">
        <v>8.0299999999999994</v>
      </c>
      <c r="Y90" s="34">
        <v>3.2</v>
      </c>
      <c r="Z90" s="34"/>
      <c r="AA90" s="34"/>
      <c r="AB90" s="34">
        <v>16970</v>
      </c>
      <c r="AC90" s="34"/>
      <c r="AD90" s="31">
        <v>20</v>
      </c>
      <c r="AE90" s="34">
        <v>22.5</v>
      </c>
      <c r="AF90" s="31">
        <v>20</v>
      </c>
      <c r="AG90" s="34">
        <f>13190/1000</f>
        <v>13.19</v>
      </c>
      <c r="AH90" s="34">
        <f>155.7/1000</f>
        <v>0.15569999999999998</v>
      </c>
      <c r="AI90" s="34"/>
      <c r="AJ90" s="37">
        <v>50</v>
      </c>
      <c r="AK90" s="31">
        <v>100</v>
      </c>
      <c r="AL90" s="34"/>
      <c r="AM90" s="34"/>
      <c r="AN90" s="34">
        <f>46.9/1000</f>
        <v>4.6899999999999997E-2</v>
      </c>
      <c r="AO90" s="68">
        <f t="shared" si="1"/>
        <v>1.3043478260869565E-2</v>
      </c>
    </row>
    <row r="91" spans="1:41" x14ac:dyDescent="0.2">
      <c r="A91" s="8"/>
      <c r="B91" s="21">
        <v>40821</v>
      </c>
      <c r="C91" s="77" t="s">
        <v>13</v>
      </c>
      <c r="D91" s="34"/>
      <c r="E91" s="34"/>
      <c r="F91" s="34"/>
      <c r="G91" s="34"/>
      <c r="H91" s="34"/>
      <c r="I91" s="31">
        <v>1</v>
      </c>
      <c r="J91" s="34">
        <v>1.1000000000000001</v>
      </c>
      <c r="K91" s="34">
        <v>64</v>
      </c>
      <c r="L91" s="34"/>
      <c r="M91" s="34"/>
      <c r="N91" s="34"/>
      <c r="O91" s="34"/>
      <c r="P91" s="34"/>
      <c r="Q91" s="34">
        <v>0.28999999999999998</v>
      </c>
      <c r="R91" s="34">
        <v>0.09</v>
      </c>
      <c r="S91" s="31">
        <v>2E-3</v>
      </c>
      <c r="T91" s="34"/>
      <c r="U91" s="34"/>
      <c r="V91" s="34"/>
      <c r="W91" s="34"/>
      <c r="X91" s="34">
        <v>7.94</v>
      </c>
      <c r="Y91" s="34">
        <v>4.4000000000000004</v>
      </c>
      <c r="Z91" s="34"/>
      <c r="AA91" s="34"/>
      <c r="AB91" s="34">
        <v>20810</v>
      </c>
      <c r="AC91" s="34"/>
      <c r="AD91" s="31">
        <v>20</v>
      </c>
      <c r="AE91" s="34">
        <v>20.7</v>
      </c>
      <c r="AF91" s="31">
        <v>20</v>
      </c>
      <c r="AG91" s="34">
        <f>13500/1000</f>
        <v>13.5</v>
      </c>
      <c r="AH91" s="34">
        <f>146.5/1000</f>
        <v>0.14649999999999999</v>
      </c>
      <c r="AI91" s="34"/>
      <c r="AJ91" s="34">
        <v>14.9</v>
      </c>
      <c r="AK91" s="31">
        <v>100</v>
      </c>
      <c r="AL91" s="34"/>
      <c r="AM91" s="34"/>
      <c r="AN91" s="34">
        <f>45.1/1000</f>
        <v>4.5100000000000001E-2</v>
      </c>
      <c r="AO91" s="68">
        <f t="shared" si="1"/>
        <v>1.7187500000000001E-2</v>
      </c>
    </row>
    <row r="92" spans="1:41" x14ac:dyDescent="0.2">
      <c r="A92" s="8"/>
      <c r="B92" s="21">
        <v>40821</v>
      </c>
      <c r="C92" s="78" t="s">
        <v>14</v>
      </c>
      <c r="D92" s="34"/>
      <c r="E92" s="34"/>
      <c r="F92" s="34"/>
      <c r="G92" s="34"/>
      <c r="H92" s="34"/>
      <c r="I92" s="31">
        <v>1</v>
      </c>
      <c r="J92" s="34">
        <v>0.4</v>
      </c>
      <c r="K92" s="34">
        <v>14</v>
      </c>
      <c r="L92" s="34"/>
      <c r="M92" s="34"/>
      <c r="N92" s="34"/>
      <c r="O92" s="34"/>
      <c r="P92" s="34"/>
      <c r="Q92" s="34">
        <v>0.06</v>
      </c>
      <c r="R92" s="34">
        <v>0.09</v>
      </c>
      <c r="S92" s="31">
        <v>2E-3</v>
      </c>
      <c r="T92" s="34"/>
      <c r="U92" s="34"/>
      <c r="V92" s="34"/>
      <c r="W92" s="34"/>
      <c r="X92" s="34">
        <v>8.1199999999999992</v>
      </c>
      <c r="Y92" s="34">
        <v>7.6</v>
      </c>
      <c r="Z92" s="34"/>
      <c r="AA92" s="34"/>
      <c r="AB92" s="34">
        <v>704.5</v>
      </c>
      <c r="AC92" s="34"/>
      <c r="AD92" s="31">
        <v>20</v>
      </c>
      <c r="AE92" s="34">
        <v>20.2</v>
      </c>
      <c r="AF92" s="31">
        <v>20</v>
      </c>
      <c r="AG92" s="34">
        <f>726.5/1000</f>
        <v>0.72650000000000003</v>
      </c>
      <c r="AH92" s="34">
        <f>13.2/1000</f>
        <v>1.32E-2</v>
      </c>
      <c r="AI92" s="34"/>
      <c r="AJ92" s="34">
        <v>117.2</v>
      </c>
      <c r="AK92" s="31">
        <v>100</v>
      </c>
      <c r="AL92" s="34"/>
      <c r="AM92" s="34"/>
      <c r="AN92" s="34">
        <f>256.2/1000</f>
        <v>0.25619999999999998</v>
      </c>
      <c r="AO92" s="68">
        <f t="shared" si="1"/>
        <v>2.8571428571428574E-2</v>
      </c>
    </row>
    <row r="93" spans="1:41" x14ac:dyDescent="0.2">
      <c r="A93" s="10"/>
      <c r="B93" s="21">
        <v>40897</v>
      </c>
      <c r="C93" s="27" t="s">
        <v>9</v>
      </c>
      <c r="D93" s="34"/>
      <c r="E93" s="34"/>
      <c r="F93" s="34"/>
      <c r="G93" s="34"/>
      <c r="H93" s="34"/>
      <c r="I93" s="31"/>
      <c r="J93" s="34">
        <v>1</v>
      </c>
      <c r="K93" s="34">
        <v>42</v>
      </c>
      <c r="L93" s="34"/>
      <c r="M93" s="34"/>
      <c r="N93" s="34"/>
      <c r="O93" s="34"/>
      <c r="P93" s="34"/>
      <c r="Q93" s="34"/>
      <c r="R93" s="34"/>
      <c r="S93" s="31"/>
      <c r="T93" s="34"/>
      <c r="U93" s="34"/>
      <c r="V93" s="34"/>
      <c r="W93" s="34"/>
      <c r="X93" s="34">
        <v>7.84</v>
      </c>
      <c r="Y93" s="34"/>
      <c r="Z93" s="34"/>
      <c r="AA93" s="34"/>
      <c r="AB93" s="34"/>
      <c r="AC93" s="34"/>
      <c r="AD93" s="31">
        <v>20</v>
      </c>
      <c r="AE93" s="31">
        <v>4</v>
      </c>
      <c r="AF93" s="31">
        <v>20</v>
      </c>
      <c r="AG93" s="34">
        <f>5927/1000</f>
        <v>5.9269999999999996</v>
      </c>
      <c r="AH93" s="34"/>
      <c r="AI93" s="34"/>
      <c r="AJ93" s="37">
        <v>50</v>
      </c>
      <c r="AK93" s="31">
        <v>100</v>
      </c>
      <c r="AL93" s="34"/>
      <c r="AM93" s="34"/>
      <c r="AN93" s="34">
        <f>15.8/1000</f>
        <v>1.5800000000000002E-2</v>
      </c>
      <c r="AO93" s="68">
        <f t="shared" si="1"/>
        <v>2.3809523809523808E-2</v>
      </c>
    </row>
    <row r="94" spans="1:41" x14ac:dyDescent="0.2">
      <c r="A94" s="9"/>
      <c r="B94" s="21">
        <v>40897</v>
      </c>
      <c r="C94" s="74" t="s">
        <v>10</v>
      </c>
      <c r="D94" s="34"/>
      <c r="E94" s="34"/>
      <c r="F94" s="34"/>
      <c r="G94" s="34"/>
      <c r="H94" s="34"/>
      <c r="I94" s="31"/>
      <c r="J94" s="34">
        <v>0.9</v>
      </c>
      <c r="K94" s="34">
        <v>38</v>
      </c>
      <c r="L94" s="34"/>
      <c r="M94" s="34"/>
      <c r="N94" s="34"/>
      <c r="O94" s="34"/>
      <c r="P94" s="34"/>
      <c r="Q94" s="34"/>
      <c r="R94" s="34"/>
      <c r="S94" s="31"/>
      <c r="T94" s="34"/>
      <c r="U94" s="34"/>
      <c r="V94" s="34"/>
      <c r="W94" s="34"/>
      <c r="X94" s="34">
        <v>7.74</v>
      </c>
      <c r="Y94" s="34"/>
      <c r="Z94" s="34"/>
      <c r="AA94" s="34"/>
      <c r="AB94" s="34"/>
      <c r="AC94" s="34"/>
      <c r="AD94" s="31">
        <v>20</v>
      </c>
      <c r="AE94" s="31">
        <v>4</v>
      </c>
      <c r="AF94" s="31">
        <v>20</v>
      </c>
      <c r="AG94" s="34">
        <f>8325/1000</f>
        <v>8.3249999999999993</v>
      </c>
      <c r="AH94" s="34"/>
      <c r="AI94" s="34"/>
      <c r="AJ94" s="37">
        <v>50</v>
      </c>
      <c r="AK94" s="31">
        <v>100</v>
      </c>
      <c r="AL94" s="34"/>
      <c r="AM94" s="34"/>
      <c r="AN94" s="34">
        <f>38.2/1000</f>
        <v>3.8200000000000005E-2</v>
      </c>
      <c r="AO94" s="68">
        <f t="shared" si="1"/>
        <v>2.368421052631579E-2</v>
      </c>
    </row>
    <row r="95" spans="1:41" x14ac:dyDescent="0.2">
      <c r="A95" s="8"/>
      <c r="B95" s="21">
        <v>40897</v>
      </c>
      <c r="C95" s="75" t="s">
        <v>11</v>
      </c>
      <c r="D95" s="34"/>
      <c r="E95" s="34"/>
      <c r="F95" s="34"/>
      <c r="G95" s="34"/>
      <c r="H95" s="34"/>
      <c r="I95" s="31"/>
      <c r="J95" s="34">
        <v>1.4</v>
      </c>
      <c r="K95" s="34">
        <v>40</v>
      </c>
      <c r="L95" s="34"/>
      <c r="M95" s="34"/>
      <c r="N95" s="34"/>
      <c r="O95" s="34"/>
      <c r="P95" s="34"/>
      <c r="Q95" s="34"/>
      <c r="R95" s="34"/>
      <c r="S95" s="31"/>
      <c r="T95" s="34"/>
      <c r="U95" s="34"/>
      <c r="V95" s="34"/>
      <c r="W95" s="34"/>
      <c r="X95" s="34">
        <v>7.72</v>
      </c>
      <c r="Y95" s="34"/>
      <c r="Z95" s="34"/>
      <c r="AA95" s="34"/>
      <c r="AB95" s="34"/>
      <c r="AC95" s="34"/>
      <c r="AD95" s="31">
        <v>20</v>
      </c>
      <c r="AE95" s="34">
        <v>6.1</v>
      </c>
      <c r="AF95" s="31">
        <v>20</v>
      </c>
      <c r="AG95" s="34">
        <f>14580/1000</f>
        <v>14.58</v>
      </c>
      <c r="AH95" s="34"/>
      <c r="AI95" s="34"/>
      <c r="AJ95" s="37">
        <v>50</v>
      </c>
      <c r="AK95" s="31">
        <v>100</v>
      </c>
      <c r="AL95" s="34"/>
      <c r="AM95" s="34"/>
      <c r="AN95" s="34">
        <f>37.7/1000</f>
        <v>3.7700000000000004E-2</v>
      </c>
      <c r="AO95" s="68">
        <f t="shared" si="1"/>
        <v>3.4999999999999996E-2</v>
      </c>
    </row>
    <row r="96" spans="1:41" x14ac:dyDescent="0.2">
      <c r="A96" s="8"/>
      <c r="B96" s="21">
        <v>40897</v>
      </c>
      <c r="C96" s="76" t="s">
        <v>12</v>
      </c>
      <c r="D96" s="34"/>
      <c r="E96" s="34"/>
      <c r="F96" s="34"/>
      <c r="G96" s="34"/>
      <c r="H96" s="34"/>
      <c r="I96" s="31"/>
      <c r="J96" s="34">
        <v>1.1000000000000001</v>
      </c>
      <c r="K96" s="34">
        <v>46</v>
      </c>
      <c r="L96" s="34"/>
      <c r="M96" s="34"/>
      <c r="N96" s="34"/>
      <c r="O96" s="34"/>
      <c r="P96" s="34"/>
      <c r="Q96" s="34"/>
      <c r="R96" s="34"/>
      <c r="S96" s="31"/>
      <c r="T96" s="34"/>
      <c r="U96" s="34"/>
      <c r="V96" s="34"/>
      <c r="W96" s="34"/>
      <c r="X96" s="34">
        <v>7.79</v>
      </c>
      <c r="Y96" s="34"/>
      <c r="Z96" s="34"/>
      <c r="AA96" s="34"/>
      <c r="AB96" s="34"/>
      <c r="AC96" s="34"/>
      <c r="AD96" s="31">
        <v>20</v>
      </c>
      <c r="AE96" s="34">
        <v>11.9</v>
      </c>
      <c r="AF96" s="31">
        <v>25.3</v>
      </c>
      <c r="AG96" s="34">
        <f>20030/1000</f>
        <v>20.03</v>
      </c>
      <c r="AH96" s="34"/>
      <c r="AI96" s="34"/>
      <c r="AJ96" s="37">
        <v>50</v>
      </c>
      <c r="AK96" s="31">
        <v>100</v>
      </c>
      <c r="AL96" s="34"/>
      <c r="AM96" s="34"/>
      <c r="AN96" s="34">
        <f>78.4/1000</f>
        <v>7.8400000000000011E-2</v>
      </c>
      <c r="AO96" s="68">
        <f t="shared" si="1"/>
        <v>2.391304347826087E-2</v>
      </c>
    </row>
    <row r="97" spans="1:41" x14ac:dyDescent="0.2">
      <c r="A97" s="8"/>
      <c r="B97" s="21">
        <v>40897</v>
      </c>
      <c r="C97" s="77" t="s">
        <v>13</v>
      </c>
      <c r="D97" s="34"/>
      <c r="E97" s="34"/>
      <c r="F97" s="34"/>
      <c r="G97" s="34"/>
      <c r="H97" s="34"/>
      <c r="I97" s="31"/>
      <c r="J97" s="34">
        <v>0.8</v>
      </c>
      <c r="K97" s="34">
        <v>32</v>
      </c>
      <c r="L97" s="34"/>
      <c r="M97" s="34"/>
      <c r="N97" s="34"/>
      <c r="O97" s="34"/>
      <c r="P97" s="34"/>
      <c r="Q97" s="34"/>
      <c r="R97" s="34"/>
      <c r="S97" s="31"/>
      <c r="T97" s="34"/>
      <c r="U97" s="34"/>
      <c r="V97" s="34"/>
      <c r="W97" s="34"/>
      <c r="X97" s="34">
        <v>7.8</v>
      </c>
      <c r="Y97" s="34"/>
      <c r="Z97" s="34"/>
      <c r="AA97" s="34"/>
      <c r="AB97" s="34"/>
      <c r="AC97" s="34"/>
      <c r="AD97" s="31">
        <v>20</v>
      </c>
      <c r="AE97" s="31">
        <v>4</v>
      </c>
      <c r="AF97" s="31">
        <v>20</v>
      </c>
      <c r="AG97" s="34">
        <f>8992/1000</f>
        <v>8.9920000000000009</v>
      </c>
      <c r="AH97" s="34"/>
      <c r="AI97" s="34"/>
      <c r="AJ97" s="37">
        <v>50</v>
      </c>
      <c r="AK97" s="31">
        <v>100</v>
      </c>
      <c r="AL97" s="34"/>
      <c r="AM97" s="34"/>
      <c r="AN97" s="34">
        <f>22.6/1000</f>
        <v>2.2600000000000002E-2</v>
      </c>
      <c r="AO97" s="68">
        <f t="shared" si="1"/>
        <v>2.5000000000000001E-2</v>
      </c>
    </row>
    <row r="98" spans="1:41" x14ac:dyDescent="0.2">
      <c r="A98" s="8"/>
      <c r="B98" s="21">
        <v>40897</v>
      </c>
      <c r="C98" s="78" t="s">
        <v>14</v>
      </c>
      <c r="D98" s="34"/>
      <c r="E98" s="34"/>
      <c r="F98" s="34"/>
      <c r="G98" s="34"/>
      <c r="H98" s="34"/>
      <c r="I98" s="31"/>
      <c r="J98" s="34">
        <v>0.2</v>
      </c>
      <c r="K98" s="34">
        <v>12</v>
      </c>
      <c r="L98" s="34"/>
      <c r="M98" s="34"/>
      <c r="N98" s="34"/>
      <c r="O98" s="34"/>
      <c r="P98" s="34"/>
      <c r="Q98" s="34"/>
      <c r="R98" s="34"/>
      <c r="S98" s="31"/>
      <c r="T98" s="34"/>
      <c r="U98" s="34"/>
      <c r="V98" s="34"/>
      <c r="W98" s="34"/>
      <c r="X98" s="34">
        <v>8.11</v>
      </c>
      <c r="Y98" s="34"/>
      <c r="Z98" s="34"/>
      <c r="AA98" s="34"/>
      <c r="AB98" s="34"/>
      <c r="AC98" s="34"/>
      <c r="AD98" s="31">
        <v>20</v>
      </c>
      <c r="AE98" s="34">
        <v>50</v>
      </c>
      <c r="AF98" s="31">
        <v>23.3</v>
      </c>
      <c r="AG98" s="34">
        <f>13210/1000</f>
        <v>13.21</v>
      </c>
      <c r="AH98" s="34"/>
      <c r="AI98" s="34"/>
      <c r="AJ98" s="37">
        <v>50</v>
      </c>
      <c r="AK98" s="31">
        <v>100</v>
      </c>
      <c r="AL98" s="34"/>
      <c r="AM98" s="34"/>
      <c r="AN98" s="34">
        <f>34.3/1000</f>
        <v>3.4299999999999997E-2</v>
      </c>
      <c r="AO98" s="68">
        <f t="shared" si="1"/>
        <v>1.6666666666666666E-2</v>
      </c>
    </row>
    <row r="99" spans="1:41" x14ac:dyDescent="0.2">
      <c r="A99" s="10">
        <v>2012</v>
      </c>
      <c r="B99" s="21">
        <v>41008</v>
      </c>
      <c r="C99" s="27" t="s">
        <v>9</v>
      </c>
      <c r="D99" s="34"/>
      <c r="E99" s="34"/>
      <c r="F99" s="34"/>
      <c r="G99" s="34"/>
      <c r="H99" s="34"/>
      <c r="I99" s="37">
        <v>1</v>
      </c>
      <c r="J99" s="34">
        <v>0.7</v>
      </c>
      <c r="K99" s="34">
        <v>21</v>
      </c>
      <c r="L99" s="34"/>
      <c r="M99" s="34"/>
      <c r="N99" s="34"/>
      <c r="O99" s="34"/>
      <c r="P99" s="34"/>
      <c r="Q99" s="34">
        <v>0.03</v>
      </c>
      <c r="R99" s="34">
        <v>0.02</v>
      </c>
      <c r="S99" s="31">
        <v>2</v>
      </c>
      <c r="T99" s="34"/>
      <c r="U99" s="34"/>
      <c r="V99" s="34"/>
      <c r="W99" s="34"/>
      <c r="X99" s="34">
        <v>8.3000000000000007</v>
      </c>
      <c r="Y99" s="34">
        <v>26</v>
      </c>
      <c r="Z99" s="34"/>
      <c r="AA99" s="34"/>
      <c r="AB99" s="34">
        <v>1149</v>
      </c>
      <c r="AC99" s="34"/>
      <c r="AD99" s="31">
        <v>20</v>
      </c>
      <c r="AE99" s="34">
        <v>501.9</v>
      </c>
      <c r="AF99" s="31">
        <v>20</v>
      </c>
      <c r="AG99" s="34">
        <f>1934/1000</f>
        <v>1.9339999999999999</v>
      </c>
      <c r="AH99" s="34">
        <f>31.4/1000</f>
        <v>3.1399999999999997E-2</v>
      </c>
      <c r="AI99" s="34"/>
      <c r="AJ99" s="37">
        <v>50</v>
      </c>
      <c r="AK99" s="31">
        <v>100</v>
      </c>
      <c r="AL99" s="34"/>
      <c r="AM99" s="34"/>
      <c r="AN99" s="34">
        <f>58.3/1000</f>
        <v>5.8299999999999998E-2</v>
      </c>
      <c r="AO99" s="68">
        <f t="shared" si="1"/>
        <v>3.3333333333333333E-2</v>
      </c>
    </row>
    <row r="100" spans="1:41" x14ac:dyDescent="0.2">
      <c r="A100" s="9"/>
      <c r="B100" s="21">
        <v>41008</v>
      </c>
      <c r="C100" s="74" t="s">
        <v>10</v>
      </c>
      <c r="D100" s="34"/>
      <c r="E100" s="34"/>
      <c r="F100" s="34"/>
      <c r="G100" s="34"/>
      <c r="H100" s="34"/>
      <c r="I100" s="37">
        <v>1</v>
      </c>
      <c r="J100" s="34">
        <v>0.8</v>
      </c>
      <c r="K100" s="34">
        <v>21</v>
      </c>
      <c r="L100" s="34"/>
      <c r="M100" s="34"/>
      <c r="N100" s="34"/>
      <c r="O100" s="34"/>
      <c r="P100" s="34"/>
      <c r="Q100" s="34">
        <v>0.05</v>
      </c>
      <c r="R100" s="31">
        <v>0.01</v>
      </c>
      <c r="S100" s="48">
        <v>6.9</v>
      </c>
      <c r="T100" s="34"/>
      <c r="U100" s="34"/>
      <c r="V100" s="34"/>
      <c r="W100" s="34"/>
      <c r="X100" s="34">
        <v>8.1</v>
      </c>
      <c r="Y100" s="34">
        <v>28</v>
      </c>
      <c r="Z100" s="34"/>
      <c r="AA100" s="34"/>
      <c r="AB100" s="34">
        <v>3296</v>
      </c>
      <c r="AC100" s="34"/>
      <c r="AD100" s="31">
        <v>20</v>
      </c>
      <c r="AE100" s="34">
        <v>12.5</v>
      </c>
      <c r="AF100" s="31">
        <v>20</v>
      </c>
      <c r="AG100" s="34">
        <f>3618/1000</f>
        <v>3.6179999999999999</v>
      </c>
      <c r="AH100" s="34">
        <f>114/1000</f>
        <v>0.114</v>
      </c>
      <c r="AI100" s="34"/>
      <c r="AJ100" s="37">
        <v>50</v>
      </c>
      <c r="AK100" s="31">
        <v>100</v>
      </c>
      <c r="AL100" s="34"/>
      <c r="AM100" s="34"/>
      <c r="AN100" s="34">
        <f>33.6/1000</f>
        <v>3.3600000000000005E-2</v>
      </c>
      <c r="AO100" s="68">
        <f t="shared" si="1"/>
        <v>3.8095238095238099E-2</v>
      </c>
    </row>
    <row r="101" spans="1:41" x14ac:dyDescent="0.2">
      <c r="A101" s="8"/>
      <c r="B101" s="21">
        <v>41008</v>
      </c>
      <c r="C101" s="75" t="s">
        <v>11</v>
      </c>
      <c r="D101" s="34"/>
      <c r="E101" s="34"/>
      <c r="F101" s="34"/>
      <c r="G101" s="34"/>
      <c r="H101" s="34"/>
      <c r="I101" s="37">
        <v>1</v>
      </c>
      <c r="J101" s="34">
        <v>3.1</v>
      </c>
      <c r="K101" s="34">
        <v>107</v>
      </c>
      <c r="L101" s="34"/>
      <c r="M101" s="34"/>
      <c r="N101" s="34"/>
      <c r="O101" s="34"/>
      <c r="P101" s="34"/>
      <c r="Q101" s="34">
        <v>0.69</v>
      </c>
      <c r="R101" s="34">
        <v>0.1</v>
      </c>
      <c r="S101" s="48">
        <v>23.6</v>
      </c>
      <c r="T101" s="34"/>
      <c r="U101" s="34"/>
      <c r="V101" s="34"/>
      <c r="W101" s="34"/>
      <c r="X101" s="34">
        <v>7.91</v>
      </c>
      <c r="Y101" s="34">
        <v>18.670000000000002</v>
      </c>
      <c r="Z101" s="34"/>
      <c r="AA101" s="34"/>
      <c r="AB101" s="34">
        <v>64810</v>
      </c>
      <c r="AC101" s="34"/>
      <c r="AD101" s="31">
        <v>20</v>
      </c>
      <c r="AE101" s="34">
        <v>111.9</v>
      </c>
      <c r="AF101" s="34">
        <v>67.599999999999994</v>
      </c>
      <c r="AG101" s="34">
        <f>78620/1000</f>
        <v>78.62</v>
      </c>
      <c r="AH101" s="34">
        <f>2218/1000</f>
        <v>2.218</v>
      </c>
      <c r="AI101" s="34"/>
      <c r="AJ101" s="34">
        <v>86.6</v>
      </c>
      <c r="AK101" s="31">
        <v>100</v>
      </c>
      <c r="AL101" s="34"/>
      <c r="AM101" s="34"/>
      <c r="AN101" s="34">
        <f>292.5/1000</f>
        <v>0.29249999999999998</v>
      </c>
      <c r="AO101" s="68">
        <f t="shared" si="1"/>
        <v>2.897196261682243E-2</v>
      </c>
    </row>
    <row r="102" spans="1:41" x14ac:dyDescent="0.2">
      <c r="A102" s="8"/>
      <c r="B102" s="21">
        <v>41008</v>
      </c>
      <c r="C102" s="76" t="s">
        <v>12</v>
      </c>
      <c r="D102" s="34"/>
      <c r="E102" s="34"/>
      <c r="F102" s="34"/>
      <c r="G102" s="34"/>
      <c r="H102" s="34"/>
      <c r="I102" s="37">
        <v>1</v>
      </c>
      <c r="J102" s="34">
        <v>0.9</v>
      </c>
      <c r="K102" s="34">
        <v>32</v>
      </c>
      <c r="L102" s="34"/>
      <c r="M102" s="34"/>
      <c r="N102" s="34"/>
      <c r="O102" s="34"/>
      <c r="P102" s="34"/>
      <c r="Q102" s="34">
        <v>0.12</v>
      </c>
      <c r="R102" s="34">
        <v>0.01</v>
      </c>
      <c r="S102" s="48">
        <v>11.9</v>
      </c>
      <c r="T102" s="34"/>
      <c r="U102" s="34"/>
      <c r="V102" s="34"/>
      <c r="W102" s="34"/>
      <c r="X102" s="34">
        <v>8.31</v>
      </c>
      <c r="Y102" s="34">
        <v>61.6</v>
      </c>
      <c r="Z102" s="34"/>
      <c r="AA102" s="34"/>
      <c r="AB102" s="34">
        <v>8639</v>
      </c>
      <c r="AC102" s="34"/>
      <c r="AD102" s="31">
        <v>20</v>
      </c>
      <c r="AE102" s="34">
        <v>160.69999999999999</v>
      </c>
      <c r="AF102" s="31">
        <v>20</v>
      </c>
      <c r="AG102" s="34">
        <f>8047/1000</f>
        <v>8.0470000000000006</v>
      </c>
      <c r="AH102" s="34">
        <f>159.2/1000</f>
        <v>0.15919999999999998</v>
      </c>
      <c r="AI102" s="34"/>
      <c r="AJ102" s="37">
        <v>50</v>
      </c>
      <c r="AK102" s="31">
        <v>100</v>
      </c>
      <c r="AL102" s="34"/>
      <c r="AM102" s="34"/>
      <c r="AN102" s="34">
        <f>43.8/1000</f>
        <v>4.3799999999999999E-2</v>
      </c>
      <c r="AO102" s="68">
        <f t="shared" si="1"/>
        <v>2.8125000000000001E-2</v>
      </c>
    </row>
    <row r="103" spans="1:41" x14ac:dyDescent="0.2">
      <c r="A103" s="8"/>
      <c r="B103" s="21">
        <v>41008</v>
      </c>
      <c r="C103" s="77" t="s">
        <v>13</v>
      </c>
      <c r="D103" s="34"/>
      <c r="E103" s="34"/>
      <c r="F103" s="34"/>
      <c r="G103" s="34"/>
      <c r="H103" s="34"/>
      <c r="I103" s="37">
        <v>1</v>
      </c>
      <c r="J103" s="34">
        <v>1</v>
      </c>
      <c r="K103" s="34">
        <v>19</v>
      </c>
      <c r="L103" s="34"/>
      <c r="M103" s="34"/>
      <c r="N103" s="34"/>
      <c r="O103" s="34"/>
      <c r="P103" s="34"/>
      <c r="Q103" s="34">
        <v>7.0000000000000007E-2</v>
      </c>
      <c r="R103" s="31">
        <v>0.01</v>
      </c>
      <c r="S103" s="48">
        <v>12.5</v>
      </c>
      <c r="T103" s="34"/>
      <c r="U103" s="34"/>
      <c r="V103" s="34"/>
      <c r="W103" s="34"/>
      <c r="X103" s="34">
        <v>8.3000000000000007</v>
      </c>
      <c r="Y103" s="34">
        <v>52</v>
      </c>
      <c r="Z103" s="34"/>
      <c r="AA103" s="34"/>
      <c r="AB103" s="34">
        <v>3998</v>
      </c>
      <c r="AC103" s="34"/>
      <c r="AD103" s="31">
        <v>20</v>
      </c>
      <c r="AE103" s="34">
        <v>244.9</v>
      </c>
      <c r="AF103" s="31">
        <v>20</v>
      </c>
      <c r="AG103" s="34">
        <f>4576/1000</f>
        <v>4.5759999999999996</v>
      </c>
      <c r="AH103" s="34">
        <f>132.3/1000</f>
        <v>0.1323</v>
      </c>
      <c r="AI103" s="34"/>
      <c r="AJ103" s="37">
        <v>50</v>
      </c>
      <c r="AK103" s="31">
        <v>100</v>
      </c>
      <c r="AL103" s="34"/>
      <c r="AM103" s="34"/>
      <c r="AN103" s="34">
        <f>79.6/1000</f>
        <v>7.959999999999999E-2</v>
      </c>
      <c r="AO103" s="68">
        <f t="shared" si="1"/>
        <v>5.2631578947368418E-2</v>
      </c>
    </row>
    <row r="104" spans="1:41" x14ac:dyDescent="0.2">
      <c r="A104" s="8"/>
      <c r="B104" s="21">
        <v>41008</v>
      </c>
      <c r="C104" s="78" t="s">
        <v>14</v>
      </c>
      <c r="D104" s="34"/>
      <c r="E104" s="34"/>
      <c r="F104" s="34"/>
      <c r="G104" s="34"/>
      <c r="H104" s="34"/>
      <c r="I104" s="31">
        <v>1</v>
      </c>
      <c r="J104" s="34">
        <v>0.2</v>
      </c>
      <c r="K104" s="34">
        <v>4</v>
      </c>
      <c r="L104" s="34"/>
      <c r="M104" s="34"/>
      <c r="N104" s="34"/>
      <c r="O104" s="34"/>
      <c r="P104" s="34"/>
      <c r="Q104" s="31">
        <v>0.01</v>
      </c>
      <c r="R104" s="31">
        <v>0.01</v>
      </c>
      <c r="S104" s="48">
        <v>2.5</v>
      </c>
      <c r="T104" s="34"/>
      <c r="U104" s="34"/>
      <c r="V104" s="34"/>
      <c r="W104" s="34"/>
      <c r="X104" s="34">
        <v>8.1</v>
      </c>
      <c r="Y104" s="34">
        <v>34.799999999999997</v>
      </c>
      <c r="Z104" s="34"/>
      <c r="AA104" s="34"/>
      <c r="AB104" s="34">
        <v>144.1</v>
      </c>
      <c r="AC104" s="34"/>
      <c r="AD104" s="31">
        <v>20</v>
      </c>
      <c r="AE104" s="34">
        <v>13.6</v>
      </c>
      <c r="AF104" s="31">
        <v>20</v>
      </c>
      <c r="AG104" s="34">
        <f>161.8/1000</f>
        <v>0.1618</v>
      </c>
      <c r="AH104" s="31">
        <f>9.5/1000</f>
        <v>9.4999999999999998E-3</v>
      </c>
      <c r="AI104" s="34"/>
      <c r="AJ104" s="37">
        <v>50</v>
      </c>
      <c r="AK104" s="31">
        <v>100</v>
      </c>
      <c r="AL104" s="34"/>
      <c r="AM104" s="34"/>
      <c r="AN104" s="34">
        <f>15.9/1000</f>
        <v>1.5900000000000001E-2</v>
      </c>
      <c r="AO104" s="68">
        <f t="shared" si="1"/>
        <v>0.05</v>
      </c>
    </row>
    <row r="105" spans="1:41" x14ac:dyDescent="0.2">
      <c r="A105" s="10"/>
      <c r="B105" s="21">
        <v>41086</v>
      </c>
      <c r="C105" s="27" t="s">
        <v>9</v>
      </c>
      <c r="D105" s="34"/>
      <c r="E105" s="34"/>
      <c r="F105" s="34"/>
      <c r="G105" s="34"/>
      <c r="H105" s="34"/>
      <c r="I105" s="34"/>
      <c r="J105" s="34">
        <v>3.25</v>
      </c>
      <c r="K105" s="34">
        <v>68</v>
      </c>
      <c r="L105" s="34"/>
      <c r="M105" s="34"/>
      <c r="N105" s="34"/>
      <c r="O105" s="34"/>
      <c r="P105" s="34"/>
      <c r="Q105" s="34"/>
      <c r="R105" s="34"/>
      <c r="S105" s="48"/>
      <c r="T105" s="34"/>
      <c r="U105" s="34"/>
      <c r="V105" s="34"/>
      <c r="W105" s="34"/>
      <c r="X105" s="34">
        <v>7.66</v>
      </c>
      <c r="Y105" s="34"/>
      <c r="Z105" s="34"/>
      <c r="AA105" s="34"/>
      <c r="AB105" s="34"/>
      <c r="AC105" s="34"/>
      <c r="AD105" s="31">
        <v>20</v>
      </c>
      <c r="AE105" s="31">
        <v>12.4</v>
      </c>
      <c r="AF105" s="31">
        <v>20</v>
      </c>
      <c r="AG105" s="34">
        <f>6255.7/1000</f>
        <v>6.2557</v>
      </c>
      <c r="AH105" s="34"/>
      <c r="AI105" s="34"/>
      <c r="AJ105" s="37">
        <v>50</v>
      </c>
      <c r="AK105" s="31">
        <v>100</v>
      </c>
      <c r="AL105" s="34"/>
      <c r="AM105" s="34"/>
      <c r="AN105" s="34">
        <f>27.1/1000</f>
        <v>2.7100000000000003E-2</v>
      </c>
      <c r="AO105" s="68">
        <f t="shared" si="1"/>
        <v>4.779411764705882E-2</v>
      </c>
    </row>
    <row r="106" spans="1:41" x14ac:dyDescent="0.2">
      <c r="A106" s="9"/>
      <c r="B106" s="21">
        <v>41086</v>
      </c>
      <c r="C106" s="74" t="s">
        <v>10</v>
      </c>
      <c r="D106" s="34"/>
      <c r="E106" s="34"/>
      <c r="F106" s="34"/>
      <c r="G106" s="34"/>
      <c r="H106" s="34"/>
      <c r="I106" s="34"/>
      <c r="J106" s="34">
        <v>3.5</v>
      </c>
      <c r="K106" s="34">
        <v>62</v>
      </c>
      <c r="L106" s="34"/>
      <c r="M106" s="34"/>
      <c r="N106" s="34"/>
      <c r="O106" s="34"/>
      <c r="P106" s="34"/>
      <c r="Q106" s="34"/>
      <c r="R106" s="34"/>
      <c r="S106" s="48"/>
      <c r="T106" s="34"/>
      <c r="U106" s="34"/>
      <c r="V106" s="34"/>
      <c r="W106" s="34"/>
      <c r="X106" s="34">
        <v>7.47</v>
      </c>
      <c r="Y106" s="34"/>
      <c r="Z106" s="34"/>
      <c r="AA106" s="34"/>
      <c r="AB106" s="34"/>
      <c r="AC106" s="34"/>
      <c r="AD106" s="31">
        <v>20</v>
      </c>
      <c r="AE106" s="34">
        <v>12.7</v>
      </c>
      <c r="AF106" s="31">
        <v>20</v>
      </c>
      <c r="AG106" s="34">
        <f>5831.1/1000</f>
        <v>5.8311000000000002</v>
      </c>
      <c r="AH106" s="34"/>
      <c r="AI106" s="34"/>
      <c r="AJ106" s="37">
        <v>50</v>
      </c>
      <c r="AK106" s="31">
        <v>100</v>
      </c>
      <c r="AL106" s="34"/>
      <c r="AM106" s="34"/>
      <c r="AN106" s="34">
        <f>31.8/1000</f>
        <v>3.1800000000000002E-2</v>
      </c>
      <c r="AO106" s="68">
        <f t="shared" si="1"/>
        <v>5.6451612903225805E-2</v>
      </c>
    </row>
    <row r="107" spans="1:41" x14ac:dyDescent="0.2">
      <c r="A107" s="8"/>
      <c r="B107" s="21">
        <v>41086</v>
      </c>
      <c r="C107" s="75" t="s">
        <v>11</v>
      </c>
      <c r="D107" s="34"/>
      <c r="E107" s="34"/>
      <c r="F107" s="34"/>
      <c r="G107" s="34"/>
      <c r="H107" s="34"/>
      <c r="I107" s="34"/>
      <c r="J107" s="34">
        <v>3.75</v>
      </c>
      <c r="K107" s="34">
        <v>70</v>
      </c>
      <c r="L107" s="34"/>
      <c r="M107" s="34"/>
      <c r="N107" s="34"/>
      <c r="O107" s="34"/>
      <c r="P107" s="34"/>
      <c r="Q107" s="34"/>
      <c r="R107" s="34"/>
      <c r="S107" s="48"/>
      <c r="T107" s="34"/>
      <c r="U107" s="34"/>
      <c r="V107" s="34"/>
      <c r="W107" s="34"/>
      <c r="X107" s="34">
        <v>7.49</v>
      </c>
      <c r="Y107" s="34"/>
      <c r="Z107" s="34"/>
      <c r="AA107" s="34"/>
      <c r="AB107" s="34"/>
      <c r="AC107" s="34"/>
      <c r="AD107" s="31">
        <v>20</v>
      </c>
      <c r="AE107" s="34">
        <v>13.3</v>
      </c>
      <c r="AF107" s="31">
        <v>20</v>
      </c>
      <c r="AG107" s="34">
        <f>7367.8/1000</f>
        <v>7.3677999999999999</v>
      </c>
      <c r="AH107" s="34"/>
      <c r="AI107" s="34"/>
      <c r="AJ107" s="37">
        <v>50</v>
      </c>
      <c r="AK107" s="31">
        <v>100</v>
      </c>
      <c r="AL107" s="34"/>
      <c r="AM107" s="34"/>
      <c r="AN107" s="34">
        <f>44.8/1000</f>
        <v>4.48E-2</v>
      </c>
      <c r="AO107" s="68">
        <f t="shared" si="1"/>
        <v>5.3571428571428568E-2</v>
      </c>
    </row>
    <row r="108" spans="1:41" x14ac:dyDescent="0.2">
      <c r="A108" s="8"/>
      <c r="B108" s="21">
        <v>41086</v>
      </c>
      <c r="C108" s="76" t="s">
        <v>12</v>
      </c>
      <c r="D108" s="34"/>
      <c r="E108" s="34"/>
      <c r="F108" s="34"/>
      <c r="G108" s="34"/>
      <c r="H108" s="34"/>
      <c r="I108" s="34"/>
      <c r="J108" s="34">
        <v>2.5499999999999998</v>
      </c>
      <c r="K108" s="34">
        <v>50</v>
      </c>
      <c r="L108" s="34"/>
      <c r="M108" s="34"/>
      <c r="N108" s="34"/>
      <c r="O108" s="34"/>
      <c r="P108" s="34"/>
      <c r="Q108" s="34"/>
      <c r="R108" s="34"/>
      <c r="S108" s="48"/>
      <c r="T108" s="34"/>
      <c r="U108" s="34"/>
      <c r="V108" s="34"/>
      <c r="W108" s="34"/>
      <c r="X108" s="34">
        <v>7.6</v>
      </c>
      <c r="Y108" s="34"/>
      <c r="Z108" s="34"/>
      <c r="AA108" s="34"/>
      <c r="AB108" s="34"/>
      <c r="AC108" s="34"/>
      <c r="AD108" s="31">
        <v>20</v>
      </c>
      <c r="AE108" s="34">
        <v>10.8</v>
      </c>
      <c r="AF108" s="31">
        <v>20</v>
      </c>
      <c r="AG108" s="34">
        <f>5085.3/1000</f>
        <v>5.0853000000000002</v>
      </c>
      <c r="AH108" s="34"/>
      <c r="AI108" s="34"/>
      <c r="AJ108" s="37">
        <v>50</v>
      </c>
      <c r="AK108" s="31">
        <v>100</v>
      </c>
      <c r="AL108" s="34"/>
      <c r="AM108" s="34"/>
      <c r="AN108" s="34">
        <f>54.1/1000</f>
        <v>5.4100000000000002E-2</v>
      </c>
      <c r="AO108" s="68">
        <f t="shared" si="1"/>
        <v>5.0999999999999997E-2</v>
      </c>
    </row>
    <row r="109" spans="1:41" x14ac:dyDescent="0.2">
      <c r="A109" s="8"/>
      <c r="B109" s="21">
        <v>41086</v>
      </c>
      <c r="C109" s="77" t="s">
        <v>13</v>
      </c>
      <c r="D109" s="34"/>
      <c r="E109" s="34"/>
      <c r="F109" s="34"/>
      <c r="G109" s="34"/>
      <c r="H109" s="34"/>
      <c r="I109" s="34"/>
      <c r="J109" s="34">
        <v>3.45</v>
      </c>
      <c r="K109" s="34">
        <v>60</v>
      </c>
      <c r="L109" s="34"/>
      <c r="M109" s="34"/>
      <c r="N109" s="34"/>
      <c r="O109" s="34"/>
      <c r="P109" s="34"/>
      <c r="Q109" s="34"/>
      <c r="R109" s="34"/>
      <c r="S109" s="48"/>
      <c r="T109" s="34"/>
      <c r="U109" s="34"/>
      <c r="V109" s="34"/>
      <c r="W109" s="34"/>
      <c r="X109" s="34">
        <v>7.58</v>
      </c>
      <c r="Y109" s="34"/>
      <c r="Z109" s="34"/>
      <c r="AA109" s="34"/>
      <c r="AB109" s="34"/>
      <c r="AC109" s="34"/>
      <c r="AD109" s="31">
        <v>20</v>
      </c>
      <c r="AE109" s="34">
        <v>15.2</v>
      </c>
      <c r="AF109" s="31">
        <v>20</v>
      </c>
      <c r="AG109" s="34">
        <f>5956.5/1000</f>
        <v>5.9565000000000001</v>
      </c>
      <c r="AH109" s="34"/>
      <c r="AI109" s="34"/>
      <c r="AJ109" s="37">
        <v>50</v>
      </c>
      <c r="AK109" s="31">
        <v>100</v>
      </c>
      <c r="AL109" s="34"/>
      <c r="AM109" s="34"/>
      <c r="AN109" s="34">
        <f>36.7/1000</f>
        <v>3.6700000000000003E-2</v>
      </c>
      <c r="AO109" s="68">
        <f t="shared" si="1"/>
        <v>5.7500000000000002E-2</v>
      </c>
    </row>
    <row r="110" spans="1:41" x14ac:dyDescent="0.2">
      <c r="A110" s="8"/>
      <c r="B110" s="21">
        <v>41086</v>
      </c>
      <c r="C110" s="78" t="s">
        <v>14</v>
      </c>
      <c r="D110" s="34"/>
      <c r="E110" s="34"/>
      <c r="F110" s="34"/>
      <c r="G110" s="34"/>
      <c r="H110" s="34"/>
      <c r="I110" s="34"/>
      <c r="J110" s="34">
        <v>0.55000000000000004</v>
      </c>
      <c r="K110" s="34">
        <v>27</v>
      </c>
      <c r="L110" s="34"/>
      <c r="M110" s="34"/>
      <c r="N110" s="34"/>
      <c r="O110" s="34"/>
      <c r="P110" s="34"/>
      <c r="Q110" s="34"/>
      <c r="R110" s="34"/>
      <c r="S110" s="48"/>
      <c r="T110" s="34"/>
      <c r="U110" s="34"/>
      <c r="V110" s="34"/>
      <c r="W110" s="34"/>
      <c r="X110" s="34">
        <v>7.51</v>
      </c>
      <c r="Y110" s="34"/>
      <c r="Z110" s="34"/>
      <c r="AA110" s="34"/>
      <c r="AB110" s="34"/>
      <c r="AC110" s="34"/>
      <c r="AD110" s="31">
        <v>20</v>
      </c>
      <c r="AE110" s="34">
        <v>5</v>
      </c>
      <c r="AF110" s="31">
        <v>20</v>
      </c>
      <c r="AG110" s="34">
        <f>260/1000</f>
        <v>0.26</v>
      </c>
      <c r="AH110" s="34"/>
      <c r="AI110" s="34"/>
      <c r="AJ110" s="37">
        <v>50</v>
      </c>
      <c r="AK110" s="31">
        <v>100</v>
      </c>
      <c r="AL110" s="34"/>
      <c r="AM110" s="34"/>
      <c r="AN110" s="34">
        <f>122.5/1000</f>
        <v>0.1225</v>
      </c>
      <c r="AO110" s="68">
        <f t="shared" si="1"/>
        <v>2.0370370370370372E-2</v>
      </c>
    </row>
    <row r="111" spans="1:41" x14ac:dyDescent="0.2">
      <c r="A111" s="10"/>
      <c r="B111" s="21">
        <v>41179</v>
      </c>
      <c r="C111" s="27" t="s">
        <v>9</v>
      </c>
      <c r="D111" s="34"/>
      <c r="E111" s="34"/>
      <c r="F111" s="34"/>
      <c r="G111" s="34"/>
      <c r="H111" s="34"/>
      <c r="I111" s="31">
        <v>0.1</v>
      </c>
      <c r="J111" s="34">
        <v>1.1000000000000001</v>
      </c>
      <c r="K111" s="31">
        <v>25</v>
      </c>
      <c r="L111" s="34"/>
      <c r="M111" s="34"/>
      <c r="N111" s="34"/>
      <c r="O111" s="34"/>
      <c r="P111" s="34"/>
      <c r="Q111" s="34">
        <v>0.03</v>
      </c>
      <c r="R111" s="34">
        <v>0.04</v>
      </c>
      <c r="S111" s="31">
        <v>2E-3</v>
      </c>
      <c r="T111" s="34"/>
      <c r="U111" s="34"/>
      <c r="V111" s="34"/>
      <c r="W111" s="34"/>
      <c r="X111" s="34">
        <v>8.64</v>
      </c>
      <c r="Y111" s="34">
        <v>9.6</v>
      </c>
      <c r="Z111" s="34"/>
      <c r="AA111" s="34"/>
      <c r="AB111" s="34">
        <v>35.1</v>
      </c>
      <c r="AC111" s="34"/>
      <c r="AD111" s="31">
        <v>20</v>
      </c>
      <c r="AE111" s="34">
        <v>9.6</v>
      </c>
      <c r="AF111" s="31">
        <v>20</v>
      </c>
      <c r="AG111" s="34">
        <f>66.6/1000</f>
        <v>6.6599999999999993E-2</v>
      </c>
      <c r="AH111" s="34">
        <f>37.1/1000</f>
        <v>3.7100000000000001E-2</v>
      </c>
      <c r="AI111" s="34"/>
      <c r="AJ111" s="37">
        <v>50</v>
      </c>
      <c r="AK111" s="31">
        <v>100</v>
      </c>
      <c r="AL111" s="34"/>
      <c r="AM111" s="34"/>
      <c r="AN111" s="34">
        <f>12.5/1000</f>
        <v>1.2500000000000001E-2</v>
      </c>
      <c r="AO111" s="68">
        <f t="shared" si="1"/>
        <v>4.4000000000000004E-2</v>
      </c>
    </row>
    <row r="112" spans="1:41" x14ac:dyDescent="0.2">
      <c r="A112" s="9"/>
      <c r="B112" s="21">
        <v>41179</v>
      </c>
      <c r="C112" s="74" t="s">
        <v>10</v>
      </c>
      <c r="D112" s="34"/>
      <c r="E112" s="34"/>
      <c r="F112" s="34"/>
      <c r="G112" s="34"/>
      <c r="H112" s="34"/>
      <c r="I112" s="31">
        <v>0.1</v>
      </c>
      <c r="J112" s="34">
        <v>1.1000000000000001</v>
      </c>
      <c r="K112" s="31">
        <v>25</v>
      </c>
      <c r="L112" s="34"/>
      <c r="M112" s="34"/>
      <c r="N112" s="34"/>
      <c r="O112" s="34"/>
      <c r="P112" s="34"/>
      <c r="Q112" s="31">
        <v>0.03</v>
      </c>
      <c r="R112" s="34">
        <v>0.04</v>
      </c>
      <c r="S112" s="31">
        <v>2E-3</v>
      </c>
      <c r="T112" s="34"/>
      <c r="U112" s="34"/>
      <c r="V112" s="34"/>
      <c r="W112" s="34"/>
      <c r="X112" s="34">
        <v>8.66</v>
      </c>
      <c r="Y112" s="34">
        <v>10.4</v>
      </c>
      <c r="Z112" s="34"/>
      <c r="AA112" s="34"/>
      <c r="AB112" s="34">
        <v>46.9</v>
      </c>
      <c r="AC112" s="34"/>
      <c r="AD112" s="31">
        <v>20</v>
      </c>
      <c r="AE112" s="34">
        <v>8.5</v>
      </c>
      <c r="AF112" s="31">
        <v>20</v>
      </c>
      <c r="AG112" s="34">
        <f>74.8/1000</f>
        <v>7.4799999999999991E-2</v>
      </c>
      <c r="AH112" s="34">
        <f>83.4/1000</f>
        <v>8.3400000000000002E-2</v>
      </c>
      <c r="AI112" s="34"/>
      <c r="AJ112" s="37">
        <v>50</v>
      </c>
      <c r="AK112" s="31">
        <v>100</v>
      </c>
      <c r="AL112" s="34"/>
      <c r="AM112" s="34"/>
      <c r="AN112" s="34">
        <f>15.8/1000</f>
        <v>1.5800000000000002E-2</v>
      </c>
      <c r="AO112" s="68">
        <f t="shared" si="1"/>
        <v>4.4000000000000004E-2</v>
      </c>
    </row>
    <row r="113" spans="1:41" x14ac:dyDescent="0.2">
      <c r="A113" s="8"/>
      <c r="B113" s="21">
        <v>41179</v>
      </c>
      <c r="C113" s="75" t="s">
        <v>11</v>
      </c>
      <c r="D113" s="34"/>
      <c r="E113" s="34"/>
      <c r="F113" s="34"/>
      <c r="G113" s="34"/>
      <c r="H113" s="34"/>
      <c r="I113" s="31">
        <v>0.1</v>
      </c>
      <c r="J113" s="34">
        <v>0.9</v>
      </c>
      <c r="K113" s="31">
        <v>25</v>
      </c>
      <c r="L113" s="34"/>
      <c r="M113" s="34"/>
      <c r="N113" s="34"/>
      <c r="O113" s="34"/>
      <c r="P113" s="34"/>
      <c r="Q113" s="34">
        <v>0.05</v>
      </c>
      <c r="R113" s="34">
        <v>0.04</v>
      </c>
      <c r="S113" s="31">
        <v>2E-3</v>
      </c>
      <c r="T113" s="34"/>
      <c r="U113" s="34"/>
      <c r="V113" s="34"/>
      <c r="W113" s="34"/>
      <c r="X113" s="34">
        <v>8.75</v>
      </c>
      <c r="Y113" s="34">
        <v>2.4</v>
      </c>
      <c r="Z113" s="34"/>
      <c r="AA113" s="34"/>
      <c r="AB113" s="34">
        <v>86.2</v>
      </c>
      <c r="AC113" s="34"/>
      <c r="AD113" s="31">
        <v>20</v>
      </c>
      <c r="AE113" s="34">
        <v>8.6</v>
      </c>
      <c r="AF113" s="31">
        <v>20</v>
      </c>
      <c r="AG113" s="34">
        <f>105.4/1000</f>
        <v>0.10540000000000001</v>
      </c>
      <c r="AH113" s="45">
        <f>33/1000</f>
        <v>3.3000000000000002E-2</v>
      </c>
      <c r="AI113" s="34"/>
      <c r="AJ113" s="37">
        <v>50</v>
      </c>
      <c r="AK113" s="31">
        <v>100</v>
      </c>
      <c r="AL113" s="34"/>
      <c r="AM113" s="34"/>
      <c r="AN113" s="34">
        <f>15.5/1000</f>
        <v>1.55E-2</v>
      </c>
      <c r="AO113" s="68">
        <f t="shared" si="1"/>
        <v>3.6000000000000004E-2</v>
      </c>
    </row>
    <row r="114" spans="1:41" x14ac:dyDescent="0.2">
      <c r="A114" s="8"/>
      <c r="B114" s="21">
        <v>41179</v>
      </c>
      <c r="C114" s="76" t="s">
        <v>12</v>
      </c>
      <c r="D114" s="34"/>
      <c r="E114" s="34"/>
      <c r="F114" s="34"/>
      <c r="G114" s="34"/>
      <c r="H114" s="34"/>
      <c r="I114" s="31">
        <v>0.1</v>
      </c>
      <c r="J114" s="31">
        <v>0.89</v>
      </c>
      <c r="K114" s="31">
        <v>25</v>
      </c>
      <c r="L114" s="34"/>
      <c r="M114" s="34"/>
      <c r="N114" s="34"/>
      <c r="O114" s="34"/>
      <c r="P114" s="34"/>
      <c r="Q114" s="31">
        <v>0.03</v>
      </c>
      <c r="R114" s="34">
        <v>0.04</v>
      </c>
      <c r="S114" s="31">
        <v>2E-3</v>
      </c>
      <c r="T114" s="34"/>
      <c r="U114" s="34"/>
      <c r="V114" s="34"/>
      <c r="W114" s="34"/>
      <c r="X114" s="34">
        <v>8.6300000000000008</v>
      </c>
      <c r="Y114" s="34">
        <v>5.6</v>
      </c>
      <c r="Z114" s="34"/>
      <c r="AA114" s="34"/>
      <c r="AB114" s="34">
        <v>58.1</v>
      </c>
      <c r="AC114" s="34"/>
      <c r="AD114" s="31">
        <v>20</v>
      </c>
      <c r="AE114" s="34">
        <v>49.9</v>
      </c>
      <c r="AF114" s="31">
        <v>20</v>
      </c>
      <c r="AG114" s="34">
        <f>54.8/1000</f>
        <v>5.4799999999999995E-2</v>
      </c>
      <c r="AH114" s="34">
        <f>7.5/1000</f>
        <v>7.4999999999999997E-3</v>
      </c>
      <c r="AI114" s="34"/>
      <c r="AJ114" s="37">
        <v>50</v>
      </c>
      <c r="AK114" s="31">
        <v>100</v>
      </c>
      <c r="AL114" s="34"/>
      <c r="AM114" s="34"/>
      <c r="AN114" s="34">
        <f>15.8/1000</f>
        <v>1.5800000000000002E-2</v>
      </c>
      <c r="AO114" s="68">
        <f t="shared" si="1"/>
        <v>3.56E-2</v>
      </c>
    </row>
    <row r="115" spans="1:41" x14ac:dyDescent="0.2">
      <c r="A115" s="8"/>
      <c r="B115" s="21">
        <v>41179</v>
      </c>
      <c r="C115" s="77" t="s">
        <v>13</v>
      </c>
      <c r="D115" s="34"/>
      <c r="E115" s="34"/>
      <c r="F115" s="34"/>
      <c r="G115" s="34"/>
      <c r="H115" s="34"/>
      <c r="I115" s="31">
        <v>0.1</v>
      </c>
      <c r="J115" s="34">
        <v>1.2</v>
      </c>
      <c r="K115" s="31">
        <v>25</v>
      </c>
      <c r="L115" s="34"/>
      <c r="M115" s="34"/>
      <c r="N115" s="34"/>
      <c r="O115" s="34"/>
      <c r="P115" s="34"/>
      <c r="Q115" s="31">
        <v>0.03</v>
      </c>
      <c r="R115" s="34">
        <v>0.04</v>
      </c>
      <c r="S115" s="31">
        <v>2E-3</v>
      </c>
      <c r="T115" s="34"/>
      <c r="U115" s="34"/>
      <c r="V115" s="34"/>
      <c r="W115" s="34"/>
      <c r="X115" s="34">
        <v>8.65</v>
      </c>
      <c r="Y115" s="34">
        <v>0.8</v>
      </c>
      <c r="Z115" s="34"/>
      <c r="AA115" s="34"/>
      <c r="AB115" s="34">
        <v>79</v>
      </c>
      <c r="AC115" s="34"/>
      <c r="AD115" s="31">
        <v>20</v>
      </c>
      <c r="AE115" s="34">
        <v>7.5</v>
      </c>
      <c r="AF115" s="31">
        <v>20</v>
      </c>
      <c r="AG115" s="34">
        <f>100.4/1000</f>
        <v>0.1004</v>
      </c>
      <c r="AH115" s="34">
        <f>80.5/1000</f>
        <v>8.0500000000000002E-2</v>
      </c>
      <c r="AI115" s="34"/>
      <c r="AJ115" s="37">
        <v>50</v>
      </c>
      <c r="AK115" s="31">
        <v>100</v>
      </c>
      <c r="AL115" s="34"/>
      <c r="AM115" s="34"/>
      <c r="AN115" s="34">
        <f>14.5/1000</f>
        <v>1.4500000000000001E-2</v>
      </c>
      <c r="AO115" s="68">
        <f t="shared" si="1"/>
        <v>4.8000000000000001E-2</v>
      </c>
    </row>
    <row r="116" spans="1:41" x14ac:dyDescent="0.2">
      <c r="A116" s="8"/>
      <c r="B116" s="21">
        <v>41179</v>
      </c>
      <c r="C116" s="78" t="s">
        <v>14</v>
      </c>
      <c r="D116" s="34"/>
      <c r="E116" s="34"/>
      <c r="F116" s="34"/>
      <c r="G116" s="34"/>
      <c r="H116" s="34"/>
      <c r="I116" s="31">
        <v>0.1</v>
      </c>
      <c r="J116" s="31">
        <v>0.89</v>
      </c>
      <c r="K116" s="31">
        <v>25</v>
      </c>
      <c r="L116" s="34"/>
      <c r="M116" s="34"/>
      <c r="N116" s="34"/>
      <c r="O116" s="34"/>
      <c r="P116" s="34"/>
      <c r="Q116" s="31">
        <v>0.03</v>
      </c>
      <c r="R116" s="34">
        <v>0.04</v>
      </c>
      <c r="S116" s="31">
        <v>2E-3</v>
      </c>
      <c r="T116" s="34"/>
      <c r="U116" s="34"/>
      <c r="V116" s="34"/>
      <c r="W116" s="34"/>
      <c r="X116" s="34">
        <v>7.75</v>
      </c>
      <c r="Y116" s="34">
        <v>9.6</v>
      </c>
      <c r="Z116" s="34"/>
      <c r="AA116" s="34"/>
      <c r="AB116" s="34">
        <v>351</v>
      </c>
      <c r="AC116" s="34"/>
      <c r="AD116" s="31">
        <v>20</v>
      </c>
      <c r="AE116" s="31">
        <v>4</v>
      </c>
      <c r="AF116" s="31">
        <v>20</v>
      </c>
      <c r="AG116" s="34">
        <f>322.2/1000</f>
        <v>0.32219999999999999</v>
      </c>
      <c r="AH116" s="34">
        <f>39.9/1000</f>
        <v>3.9899999999999998E-2</v>
      </c>
      <c r="AI116" s="34"/>
      <c r="AJ116" s="37">
        <v>50</v>
      </c>
      <c r="AK116" s="31">
        <v>100</v>
      </c>
      <c r="AL116" s="34"/>
      <c r="AM116" s="34"/>
      <c r="AN116" s="34">
        <f>19.4/1000</f>
        <v>1.9399999999999997E-2</v>
      </c>
      <c r="AO116" s="68">
        <f t="shared" si="1"/>
        <v>3.56E-2</v>
      </c>
    </row>
    <row r="117" spans="1:41" x14ac:dyDescent="0.2">
      <c r="A117" s="10"/>
      <c r="B117" s="21">
        <v>41247</v>
      </c>
      <c r="C117" s="27" t="s">
        <v>9</v>
      </c>
      <c r="D117" s="34"/>
      <c r="E117" s="34"/>
      <c r="F117" s="34"/>
      <c r="G117" s="34"/>
      <c r="H117" s="34"/>
      <c r="I117" s="34"/>
      <c r="J117" s="31">
        <v>0.89</v>
      </c>
      <c r="K117" s="31">
        <v>25</v>
      </c>
      <c r="L117" s="34"/>
      <c r="M117" s="34"/>
      <c r="N117" s="34"/>
      <c r="O117" s="34"/>
      <c r="P117" s="34"/>
      <c r="Q117" s="34"/>
      <c r="R117" s="34"/>
      <c r="S117" s="48"/>
      <c r="T117" s="34"/>
      <c r="U117" s="34"/>
      <c r="V117" s="34"/>
      <c r="W117" s="34"/>
      <c r="X117" s="34">
        <v>8.3699999999999992</v>
      </c>
      <c r="Y117" s="34"/>
      <c r="Z117" s="34"/>
      <c r="AA117" s="34"/>
      <c r="AB117" s="34"/>
      <c r="AC117" s="34"/>
      <c r="AD117" s="31">
        <v>20</v>
      </c>
      <c r="AE117" s="34">
        <v>7.4</v>
      </c>
      <c r="AF117" s="31">
        <v>20</v>
      </c>
      <c r="AG117" s="34">
        <f>406/1000</f>
        <v>0.40600000000000003</v>
      </c>
      <c r="AH117" s="34"/>
      <c r="AI117" s="34"/>
      <c r="AJ117" s="37">
        <v>50</v>
      </c>
      <c r="AK117" s="31">
        <v>100</v>
      </c>
      <c r="AL117" s="34"/>
      <c r="AM117" s="34"/>
      <c r="AN117" s="34">
        <f>25.7/1000</f>
        <v>2.5700000000000001E-2</v>
      </c>
      <c r="AO117" s="68">
        <f t="shared" si="1"/>
        <v>3.56E-2</v>
      </c>
    </row>
    <row r="118" spans="1:41" x14ac:dyDescent="0.2">
      <c r="A118" s="9"/>
      <c r="B118" s="21">
        <v>41247</v>
      </c>
      <c r="C118" s="74" t="s">
        <v>10</v>
      </c>
      <c r="D118" s="34"/>
      <c r="E118" s="34"/>
      <c r="F118" s="34"/>
      <c r="G118" s="34"/>
      <c r="H118" s="34"/>
      <c r="I118" s="34"/>
      <c r="J118" s="31">
        <v>0.89</v>
      </c>
      <c r="K118" s="31">
        <v>25</v>
      </c>
      <c r="L118" s="34"/>
      <c r="M118" s="34"/>
      <c r="N118" s="34"/>
      <c r="O118" s="34"/>
      <c r="P118" s="34"/>
      <c r="Q118" s="34"/>
      <c r="R118" s="34"/>
      <c r="S118" s="48"/>
      <c r="T118" s="34"/>
      <c r="U118" s="34"/>
      <c r="V118" s="34"/>
      <c r="W118" s="34"/>
      <c r="X118" s="34">
        <v>8.31</v>
      </c>
      <c r="Y118" s="34"/>
      <c r="Z118" s="34"/>
      <c r="AA118" s="34"/>
      <c r="AB118" s="34"/>
      <c r="AC118" s="34"/>
      <c r="AD118" s="31">
        <v>20</v>
      </c>
      <c r="AE118" s="34">
        <v>6.2</v>
      </c>
      <c r="AF118" s="31">
        <v>20</v>
      </c>
      <c r="AG118" s="34">
        <f>337.4/1000</f>
        <v>0.33739999999999998</v>
      </c>
      <c r="AH118" s="34"/>
      <c r="AI118" s="34"/>
      <c r="AJ118" s="37">
        <v>50</v>
      </c>
      <c r="AK118" s="31">
        <v>100</v>
      </c>
      <c r="AL118" s="34"/>
      <c r="AM118" s="34"/>
      <c r="AN118" s="34">
        <f>12/1000</f>
        <v>1.2E-2</v>
      </c>
      <c r="AO118" s="68">
        <f t="shared" si="1"/>
        <v>3.56E-2</v>
      </c>
    </row>
    <row r="119" spans="1:41" x14ac:dyDescent="0.2">
      <c r="A119" s="8"/>
      <c r="B119" s="21">
        <v>41247</v>
      </c>
      <c r="C119" s="75" t="s">
        <v>11</v>
      </c>
      <c r="D119" s="34"/>
      <c r="E119" s="34"/>
      <c r="F119" s="34"/>
      <c r="G119" s="34"/>
      <c r="H119" s="34"/>
      <c r="I119" s="34"/>
      <c r="J119" s="31">
        <v>0.89</v>
      </c>
      <c r="K119" s="31">
        <v>25</v>
      </c>
      <c r="L119" s="34"/>
      <c r="M119" s="34"/>
      <c r="N119" s="34"/>
      <c r="O119" s="34"/>
      <c r="P119" s="34"/>
      <c r="Q119" s="34"/>
      <c r="R119" s="34"/>
      <c r="S119" s="48"/>
      <c r="T119" s="34"/>
      <c r="U119" s="34"/>
      <c r="V119" s="34"/>
      <c r="W119" s="34"/>
      <c r="X119" s="34">
        <v>8.3000000000000007</v>
      </c>
      <c r="Y119" s="34"/>
      <c r="Z119" s="34"/>
      <c r="AA119" s="34"/>
      <c r="AB119" s="34"/>
      <c r="AC119" s="34"/>
      <c r="AD119" s="31">
        <v>20</v>
      </c>
      <c r="AE119" s="34">
        <v>5.6</v>
      </c>
      <c r="AF119" s="31">
        <v>20</v>
      </c>
      <c r="AG119" s="34">
        <f>368.9/1000</f>
        <v>0.36889999999999995</v>
      </c>
      <c r="AH119" s="34"/>
      <c r="AI119" s="34"/>
      <c r="AJ119" s="37">
        <v>50</v>
      </c>
      <c r="AK119" s="31">
        <v>100</v>
      </c>
      <c r="AL119" s="34"/>
      <c r="AM119" s="34"/>
      <c r="AN119" s="34">
        <f>30.8/1000</f>
        <v>3.0800000000000001E-2</v>
      </c>
      <c r="AO119" s="68">
        <f t="shared" si="1"/>
        <v>3.56E-2</v>
      </c>
    </row>
    <row r="120" spans="1:41" x14ac:dyDescent="0.2">
      <c r="A120" s="8"/>
      <c r="B120" s="21">
        <v>41247</v>
      </c>
      <c r="C120" s="76" t="s">
        <v>12</v>
      </c>
      <c r="D120" s="34"/>
      <c r="E120" s="34"/>
      <c r="F120" s="34"/>
      <c r="G120" s="34"/>
      <c r="H120" s="34"/>
      <c r="I120" s="34"/>
      <c r="J120" s="31">
        <v>0.89</v>
      </c>
      <c r="K120" s="31">
        <v>25</v>
      </c>
      <c r="L120" s="34"/>
      <c r="M120" s="34"/>
      <c r="N120" s="34"/>
      <c r="O120" s="34"/>
      <c r="P120" s="34"/>
      <c r="Q120" s="34"/>
      <c r="R120" s="34"/>
      <c r="S120" s="48"/>
      <c r="T120" s="34"/>
      <c r="U120" s="34"/>
      <c r="V120" s="34"/>
      <c r="W120" s="34"/>
      <c r="X120" s="34">
        <v>8.32</v>
      </c>
      <c r="Y120" s="34"/>
      <c r="Z120" s="34"/>
      <c r="AA120" s="34"/>
      <c r="AB120" s="34"/>
      <c r="AC120" s="34"/>
      <c r="AD120" s="31">
        <v>20</v>
      </c>
      <c r="AE120" s="34">
        <v>12.9</v>
      </c>
      <c r="AF120" s="31">
        <v>20</v>
      </c>
      <c r="AG120" s="34">
        <f>608.3/1000</f>
        <v>0.60829999999999995</v>
      </c>
      <c r="AH120" s="34"/>
      <c r="AI120" s="34"/>
      <c r="AJ120" s="37">
        <v>50</v>
      </c>
      <c r="AK120" s="31">
        <v>100</v>
      </c>
      <c r="AL120" s="34"/>
      <c r="AM120" s="34"/>
      <c r="AN120" s="34">
        <f>37/1000</f>
        <v>3.6999999999999998E-2</v>
      </c>
      <c r="AO120" s="68">
        <f t="shared" si="1"/>
        <v>3.56E-2</v>
      </c>
    </row>
    <row r="121" spans="1:41" x14ac:dyDescent="0.2">
      <c r="A121" s="8"/>
      <c r="B121" s="21">
        <v>41247</v>
      </c>
      <c r="C121" s="77" t="s">
        <v>13</v>
      </c>
      <c r="D121" s="34"/>
      <c r="E121" s="34"/>
      <c r="F121" s="34"/>
      <c r="G121" s="34"/>
      <c r="H121" s="34"/>
      <c r="I121" s="34"/>
      <c r="J121" s="31">
        <v>0.89</v>
      </c>
      <c r="K121" s="31">
        <v>25</v>
      </c>
      <c r="L121" s="34"/>
      <c r="M121" s="34"/>
      <c r="N121" s="34"/>
      <c r="O121" s="34"/>
      <c r="P121" s="34"/>
      <c r="Q121" s="34"/>
      <c r="R121" s="34"/>
      <c r="S121" s="48"/>
      <c r="T121" s="34"/>
      <c r="U121" s="34"/>
      <c r="V121" s="34"/>
      <c r="W121" s="34"/>
      <c r="X121" s="34">
        <v>8.3000000000000007</v>
      </c>
      <c r="Y121" s="34"/>
      <c r="Z121" s="34"/>
      <c r="AA121" s="34"/>
      <c r="AB121" s="34"/>
      <c r="AC121" s="34"/>
      <c r="AD121" s="31">
        <v>20</v>
      </c>
      <c r="AE121" s="34">
        <v>5.3</v>
      </c>
      <c r="AF121" s="31">
        <v>20</v>
      </c>
      <c r="AG121" s="34">
        <f>413.4/1000</f>
        <v>0.41339999999999999</v>
      </c>
      <c r="AH121" s="34"/>
      <c r="AI121" s="34"/>
      <c r="AJ121" s="37">
        <v>50</v>
      </c>
      <c r="AK121" s="31">
        <v>100</v>
      </c>
      <c r="AL121" s="34"/>
      <c r="AM121" s="34"/>
      <c r="AN121" s="34">
        <f>16.9/1000</f>
        <v>1.6899999999999998E-2</v>
      </c>
      <c r="AO121" s="68">
        <f t="shared" si="1"/>
        <v>3.56E-2</v>
      </c>
    </row>
    <row r="122" spans="1:41" x14ac:dyDescent="0.2">
      <c r="A122" s="8"/>
      <c r="B122" s="21">
        <v>41247</v>
      </c>
      <c r="C122" s="78" t="s">
        <v>14</v>
      </c>
      <c r="D122" s="34"/>
      <c r="E122" s="34"/>
      <c r="F122" s="34"/>
      <c r="G122" s="34"/>
      <c r="H122" s="34"/>
      <c r="I122" s="34"/>
      <c r="J122" s="31">
        <v>0.89</v>
      </c>
      <c r="K122" s="31">
        <v>25</v>
      </c>
      <c r="L122" s="34"/>
      <c r="M122" s="34"/>
      <c r="N122" s="34"/>
      <c r="O122" s="34"/>
      <c r="P122" s="34"/>
      <c r="Q122" s="34"/>
      <c r="R122" s="34"/>
      <c r="S122" s="48"/>
      <c r="T122" s="34"/>
      <c r="U122" s="34"/>
      <c r="V122" s="34"/>
      <c r="W122" s="34"/>
      <c r="X122" s="34">
        <v>7.83</v>
      </c>
      <c r="Y122" s="34"/>
      <c r="Z122" s="34"/>
      <c r="AA122" s="34"/>
      <c r="AB122" s="34"/>
      <c r="AC122" s="34"/>
      <c r="AD122" s="31">
        <v>20</v>
      </c>
      <c r="AE122" s="31">
        <v>4</v>
      </c>
      <c r="AF122" s="31">
        <v>20</v>
      </c>
      <c r="AG122" s="34">
        <f>198/1000</f>
        <v>0.19800000000000001</v>
      </c>
      <c r="AH122" s="34"/>
      <c r="AI122" s="34"/>
      <c r="AJ122" s="37">
        <v>50</v>
      </c>
      <c r="AK122" s="31">
        <v>100</v>
      </c>
      <c r="AL122" s="34"/>
      <c r="AM122" s="34"/>
      <c r="AN122" s="31">
        <f>10/1000</f>
        <v>0.01</v>
      </c>
      <c r="AO122" s="68">
        <f t="shared" si="1"/>
        <v>3.56E-2</v>
      </c>
    </row>
    <row r="123" spans="1:41" x14ac:dyDescent="0.2">
      <c r="A123" s="10">
        <v>2013</v>
      </c>
      <c r="B123" s="21">
        <v>41352</v>
      </c>
      <c r="C123" s="27" t="s">
        <v>9</v>
      </c>
      <c r="D123" s="34"/>
      <c r="E123" s="34"/>
      <c r="F123" s="34"/>
      <c r="G123" s="34"/>
      <c r="H123" s="34"/>
      <c r="I123" s="37">
        <v>1</v>
      </c>
      <c r="J123" s="34">
        <v>5.35</v>
      </c>
      <c r="K123" s="34">
        <v>74</v>
      </c>
      <c r="L123" s="34"/>
      <c r="M123" s="34"/>
      <c r="N123" s="34"/>
      <c r="O123" s="34"/>
      <c r="P123" s="34"/>
      <c r="Q123" s="34">
        <v>0.38</v>
      </c>
      <c r="R123" s="34">
        <v>0.89</v>
      </c>
      <c r="S123" s="31">
        <v>2E-3</v>
      </c>
      <c r="T123" s="34"/>
      <c r="U123" s="34"/>
      <c r="V123" s="34"/>
      <c r="W123" s="34"/>
      <c r="X123" s="34">
        <v>7.51</v>
      </c>
      <c r="Y123" s="34">
        <v>1.2</v>
      </c>
      <c r="Z123" s="34"/>
      <c r="AA123" s="34"/>
      <c r="AB123" s="34">
        <v>13354</v>
      </c>
      <c r="AC123" s="34"/>
      <c r="AD123" s="31">
        <v>20</v>
      </c>
      <c r="AE123" s="34">
        <v>18.5</v>
      </c>
      <c r="AF123" s="31">
        <v>20</v>
      </c>
      <c r="AG123" s="34">
        <f>10321.3/1000</f>
        <v>10.321299999999999</v>
      </c>
      <c r="AH123" s="34">
        <f>204.8/1000</f>
        <v>0.20480000000000001</v>
      </c>
      <c r="AI123" s="34"/>
      <c r="AJ123" s="37">
        <v>50</v>
      </c>
      <c r="AK123" s="31">
        <v>100</v>
      </c>
      <c r="AL123" s="34"/>
      <c r="AM123" s="34"/>
      <c r="AN123" s="34">
        <f>38.1/1000</f>
        <v>3.8100000000000002E-2</v>
      </c>
      <c r="AO123" s="68">
        <f t="shared" si="1"/>
        <v>7.2297297297297294E-2</v>
      </c>
    </row>
    <row r="124" spans="1:41" x14ac:dyDescent="0.2">
      <c r="A124" s="9"/>
      <c r="B124" s="21">
        <v>41352</v>
      </c>
      <c r="C124" s="74" t="s">
        <v>10</v>
      </c>
      <c r="D124" s="34"/>
      <c r="E124" s="34"/>
      <c r="F124" s="34"/>
      <c r="G124" s="34"/>
      <c r="H124" s="34"/>
      <c r="I124" s="37">
        <v>1</v>
      </c>
      <c r="J124" s="34">
        <v>5.55</v>
      </c>
      <c r="K124" s="34">
        <v>56</v>
      </c>
      <c r="L124" s="34"/>
      <c r="M124" s="34"/>
      <c r="N124" s="34"/>
      <c r="O124" s="34"/>
      <c r="P124" s="34"/>
      <c r="Q124" s="34">
        <v>0.35</v>
      </c>
      <c r="R124" s="34">
        <v>0.53</v>
      </c>
      <c r="S124" s="31">
        <v>2E-3</v>
      </c>
      <c r="T124" s="34"/>
      <c r="U124" s="34"/>
      <c r="V124" s="34"/>
      <c r="W124" s="34"/>
      <c r="X124" s="34">
        <v>7.36</v>
      </c>
      <c r="Y124" s="34">
        <v>4</v>
      </c>
      <c r="Z124" s="34"/>
      <c r="AA124" s="34"/>
      <c r="AB124" s="34">
        <v>11264</v>
      </c>
      <c r="AC124" s="34"/>
      <c r="AD124" s="31">
        <v>20</v>
      </c>
      <c r="AE124" s="34">
        <v>16.8</v>
      </c>
      <c r="AF124" s="31">
        <v>20</v>
      </c>
      <c r="AG124" s="34">
        <f>9462.2/1000</f>
        <v>9.4622000000000011</v>
      </c>
      <c r="AH124" s="34">
        <f>200.1/1000</f>
        <v>0.2001</v>
      </c>
      <c r="AI124" s="34"/>
      <c r="AJ124" s="37">
        <v>50</v>
      </c>
      <c r="AK124" s="31">
        <v>100</v>
      </c>
      <c r="AL124" s="34"/>
      <c r="AM124" s="34"/>
      <c r="AN124" s="34">
        <f>35.5/1000</f>
        <v>3.5499999999999997E-2</v>
      </c>
      <c r="AO124" s="68">
        <f t="shared" si="1"/>
        <v>9.9107142857142852E-2</v>
      </c>
    </row>
    <row r="125" spans="1:41" x14ac:dyDescent="0.2">
      <c r="A125" s="8"/>
      <c r="B125" s="21">
        <v>41352</v>
      </c>
      <c r="C125" s="75" t="s">
        <v>11</v>
      </c>
      <c r="D125" s="34"/>
      <c r="E125" s="34"/>
      <c r="F125" s="34"/>
      <c r="G125" s="34"/>
      <c r="H125" s="34"/>
      <c r="I125" s="37">
        <v>1</v>
      </c>
      <c r="J125" s="34">
        <v>5.0999999999999996</v>
      </c>
      <c r="K125" s="34">
        <v>75</v>
      </c>
      <c r="L125" s="34"/>
      <c r="M125" s="34"/>
      <c r="N125" s="34"/>
      <c r="O125" s="34"/>
      <c r="P125" s="34"/>
      <c r="Q125" s="34">
        <v>0.42</v>
      </c>
      <c r="R125" s="34">
        <v>0.14000000000000001</v>
      </c>
      <c r="S125" s="31">
        <v>2E-3</v>
      </c>
      <c r="T125" s="34"/>
      <c r="U125" s="34"/>
      <c r="V125" s="34"/>
      <c r="W125" s="34"/>
      <c r="X125" s="34">
        <v>7.34</v>
      </c>
      <c r="Y125" s="34">
        <v>2</v>
      </c>
      <c r="Z125" s="34"/>
      <c r="AA125" s="34"/>
      <c r="AB125" s="34">
        <v>10413.700000000001</v>
      </c>
      <c r="AC125" s="34"/>
      <c r="AD125" s="31">
        <v>20</v>
      </c>
      <c r="AE125" s="34">
        <v>18.399999999999999</v>
      </c>
      <c r="AF125" s="31">
        <v>20</v>
      </c>
      <c r="AG125" s="34">
        <f>8890.2/1000</f>
        <v>8.8902000000000001</v>
      </c>
      <c r="AH125" s="34">
        <f>183.5/1000</f>
        <v>0.1835</v>
      </c>
      <c r="AI125" s="34"/>
      <c r="AJ125" s="37">
        <v>50</v>
      </c>
      <c r="AK125" s="31">
        <v>100</v>
      </c>
      <c r="AL125" s="34"/>
      <c r="AM125" s="34"/>
      <c r="AN125" s="34">
        <f>37.7/1000</f>
        <v>3.7700000000000004E-2</v>
      </c>
      <c r="AO125" s="68">
        <f t="shared" si="1"/>
        <v>6.7999999999999991E-2</v>
      </c>
    </row>
    <row r="126" spans="1:41" x14ac:dyDescent="0.2">
      <c r="A126" s="8"/>
      <c r="B126" s="21">
        <v>41352</v>
      </c>
      <c r="C126" s="76" t="s">
        <v>12</v>
      </c>
      <c r="D126" s="34"/>
      <c r="E126" s="34"/>
      <c r="F126" s="34"/>
      <c r="G126" s="34"/>
      <c r="H126" s="34"/>
      <c r="I126" s="37">
        <v>1</v>
      </c>
      <c r="J126" s="34">
        <v>5.05</v>
      </c>
      <c r="K126" s="34">
        <v>73</v>
      </c>
      <c r="L126" s="34"/>
      <c r="M126" s="34"/>
      <c r="N126" s="34"/>
      <c r="O126" s="34"/>
      <c r="P126" s="34"/>
      <c r="Q126" s="34">
        <v>0.41</v>
      </c>
      <c r="R126" s="34">
        <v>0.08</v>
      </c>
      <c r="S126" s="31">
        <v>2E-3</v>
      </c>
      <c r="T126" s="34"/>
      <c r="U126" s="34"/>
      <c r="V126" s="34"/>
      <c r="W126" s="34"/>
      <c r="X126" s="34">
        <v>7.42</v>
      </c>
      <c r="Y126" s="34">
        <v>6</v>
      </c>
      <c r="Z126" s="34"/>
      <c r="AA126" s="34"/>
      <c r="AB126" s="34">
        <v>12837</v>
      </c>
      <c r="AC126" s="34"/>
      <c r="AD126" s="31">
        <v>20</v>
      </c>
      <c r="AE126" s="34">
        <v>20.9</v>
      </c>
      <c r="AF126" s="31">
        <v>20</v>
      </c>
      <c r="AG126" s="34">
        <f>11957/1000</f>
        <v>11.957000000000001</v>
      </c>
      <c r="AH126" s="34">
        <f>204.4/1000</f>
        <v>0.2044</v>
      </c>
      <c r="AI126" s="34"/>
      <c r="AJ126" s="37">
        <v>50</v>
      </c>
      <c r="AK126" s="31">
        <v>100</v>
      </c>
      <c r="AL126" s="34"/>
      <c r="AM126" s="34"/>
      <c r="AN126" s="34">
        <f>67.8/1000</f>
        <v>6.7799999999999999E-2</v>
      </c>
      <c r="AO126" s="68">
        <f t="shared" si="1"/>
        <v>6.9178082191780815E-2</v>
      </c>
    </row>
    <row r="127" spans="1:41" x14ac:dyDescent="0.2">
      <c r="A127" s="8"/>
      <c r="B127" s="21">
        <v>41352</v>
      </c>
      <c r="C127" s="77" t="s">
        <v>13</v>
      </c>
      <c r="D127" s="34"/>
      <c r="E127" s="34"/>
      <c r="F127" s="34"/>
      <c r="G127" s="34"/>
      <c r="H127" s="34"/>
      <c r="I127" s="37">
        <v>1</v>
      </c>
      <c r="J127" s="34">
        <v>5.25</v>
      </c>
      <c r="K127" s="34">
        <v>64</v>
      </c>
      <c r="L127" s="34"/>
      <c r="M127" s="34"/>
      <c r="N127" s="34"/>
      <c r="O127" s="34"/>
      <c r="P127" s="34"/>
      <c r="Q127" s="34">
        <v>0.4</v>
      </c>
      <c r="R127" s="34">
        <v>0.06</v>
      </c>
      <c r="S127" s="31">
        <v>2E-3</v>
      </c>
      <c r="T127" s="34"/>
      <c r="U127" s="34"/>
      <c r="V127" s="34"/>
      <c r="W127" s="34"/>
      <c r="X127" s="34">
        <v>7.19</v>
      </c>
      <c r="Y127" s="34">
        <v>1.6</v>
      </c>
      <c r="Z127" s="34"/>
      <c r="AA127" s="34"/>
      <c r="AB127" s="34">
        <v>12815</v>
      </c>
      <c r="AC127" s="34"/>
      <c r="AD127" s="31">
        <v>20</v>
      </c>
      <c r="AE127" s="34">
        <v>18.600000000000001</v>
      </c>
      <c r="AF127" s="31">
        <v>20</v>
      </c>
      <c r="AG127" s="34">
        <f>10533.6/1000</f>
        <v>10.5336</v>
      </c>
      <c r="AH127" s="34">
        <f>214.9/1000</f>
        <v>0.21490000000000001</v>
      </c>
      <c r="AI127" s="34"/>
      <c r="AJ127" s="37">
        <v>50</v>
      </c>
      <c r="AK127" s="31">
        <v>100</v>
      </c>
      <c r="AL127" s="34"/>
      <c r="AM127" s="34"/>
      <c r="AN127" s="34">
        <f>59.6/1000</f>
        <v>5.96E-2</v>
      </c>
      <c r="AO127" s="68">
        <f t="shared" si="1"/>
        <v>8.203125E-2</v>
      </c>
    </row>
    <row r="128" spans="1:41" x14ac:dyDescent="0.2">
      <c r="A128" s="8"/>
      <c r="B128" s="23">
        <v>41352</v>
      </c>
      <c r="C128" s="78" t="s">
        <v>14</v>
      </c>
      <c r="D128" s="34"/>
      <c r="E128" s="34"/>
      <c r="F128" s="34"/>
      <c r="G128" s="34"/>
      <c r="H128" s="34"/>
      <c r="I128" s="37">
        <v>1</v>
      </c>
      <c r="J128" s="34">
        <v>0.35</v>
      </c>
      <c r="K128" s="34">
        <v>60</v>
      </c>
      <c r="L128" s="34"/>
      <c r="M128" s="34"/>
      <c r="N128" s="34"/>
      <c r="O128" s="34"/>
      <c r="P128" s="34"/>
      <c r="Q128" s="31">
        <v>0.03</v>
      </c>
      <c r="R128" s="34">
        <v>0.06</v>
      </c>
      <c r="S128" s="31">
        <v>2E-3</v>
      </c>
      <c r="T128" s="34"/>
      <c r="U128" s="34"/>
      <c r="V128" s="34"/>
      <c r="W128" s="34"/>
      <c r="X128" s="34">
        <v>7.71</v>
      </c>
      <c r="Y128" s="34">
        <v>6.4</v>
      </c>
      <c r="Z128" s="34"/>
      <c r="AA128" s="34"/>
      <c r="AB128" s="34">
        <v>170.2</v>
      </c>
      <c r="AC128" s="34"/>
      <c r="AD128" s="31">
        <v>20</v>
      </c>
      <c r="AE128" s="31">
        <v>4</v>
      </c>
      <c r="AF128" s="31">
        <v>20</v>
      </c>
      <c r="AG128" s="34">
        <f>159/1000</f>
        <v>0.159</v>
      </c>
      <c r="AH128" s="34">
        <f>12.1/1000</f>
        <v>1.21E-2</v>
      </c>
      <c r="AI128" s="34"/>
      <c r="AJ128" s="37">
        <v>50</v>
      </c>
      <c r="AK128" s="31">
        <v>100</v>
      </c>
      <c r="AL128" s="34"/>
      <c r="AM128" s="34"/>
      <c r="AN128" s="31">
        <f>10/1000</f>
        <v>0.01</v>
      </c>
      <c r="AO128" s="68">
        <f t="shared" si="1"/>
        <v>5.8333333333333327E-3</v>
      </c>
    </row>
    <row r="129" spans="1:41" x14ac:dyDescent="0.2">
      <c r="A129" s="10"/>
      <c r="B129" s="21">
        <v>41445</v>
      </c>
      <c r="C129" s="27" t="s">
        <v>9</v>
      </c>
      <c r="D129" s="34"/>
      <c r="E129" s="34"/>
      <c r="F129" s="34"/>
      <c r="G129" s="34"/>
      <c r="H129" s="34"/>
      <c r="I129" s="37"/>
      <c r="J129" s="37">
        <v>1</v>
      </c>
      <c r="K129" s="34">
        <v>26</v>
      </c>
      <c r="L129" s="34"/>
      <c r="M129" s="34"/>
      <c r="N129" s="34"/>
      <c r="O129" s="34"/>
      <c r="P129" s="34"/>
      <c r="Q129" s="34"/>
      <c r="R129" s="34"/>
      <c r="S129" s="48"/>
      <c r="T129" s="34"/>
      <c r="U129" s="34"/>
      <c r="V129" s="34"/>
      <c r="W129" s="34"/>
      <c r="X129" s="34">
        <v>8.3000000000000007</v>
      </c>
      <c r="Y129" s="34"/>
      <c r="Z129" s="34"/>
      <c r="AA129" s="34"/>
      <c r="AB129" s="52"/>
      <c r="AC129" s="34"/>
      <c r="AD129" s="37">
        <v>10</v>
      </c>
      <c r="AE129" s="34">
        <v>37.5</v>
      </c>
      <c r="AF129" s="31">
        <v>20</v>
      </c>
      <c r="AG129" s="34">
        <f>214.8/1000</f>
        <v>0.21480000000000002</v>
      </c>
      <c r="AH129" s="34"/>
      <c r="AI129" s="34"/>
      <c r="AJ129" s="37">
        <v>50</v>
      </c>
      <c r="AK129" s="37">
        <v>50</v>
      </c>
      <c r="AL129" s="34"/>
      <c r="AM129" s="34"/>
      <c r="AN129" s="34">
        <f>26.3/1000</f>
        <v>2.63E-2</v>
      </c>
      <c r="AO129" s="68">
        <f t="shared" si="1"/>
        <v>3.8461538461538464E-2</v>
      </c>
    </row>
    <row r="130" spans="1:41" x14ac:dyDescent="0.2">
      <c r="A130" s="9"/>
      <c r="B130" s="23">
        <v>41445</v>
      </c>
      <c r="C130" s="74" t="s">
        <v>10</v>
      </c>
      <c r="D130" s="34"/>
      <c r="E130" s="34"/>
      <c r="F130" s="34"/>
      <c r="G130" s="34"/>
      <c r="H130" s="34"/>
      <c r="I130" s="37"/>
      <c r="J130" s="37">
        <v>1</v>
      </c>
      <c r="K130" s="37">
        <v>25</v>
      </c>
      <c r="L130" s="34"/>
      <c r="M130" s="34"/>
      <c r="N130" s="34"/>
      <c r="O130" s="34"/>
      <c r="P130" s="34"/>
      <c r="Q130" s="34"/>
      <c r="R130" s="34"/>
      <c r="S130" s="48"/>
      <c r="T130" s="34"/>
      <c r="U130" s="34"/>
      <c r="V130" s="34"/>
      <c r="W130" s="34"/>
      <c r="X130" s="34">
        <v>8.24</v>
      </c>
      <c r="Y130" s="34"/>
      <c r="Z130" s="34"/>
      <c r="AA130" s="34"/>
      <c r="AB130" s="52"/>
      <c r="AC130" s="34"/>
      <c r="AD130" s="37">
        <v>10</v>
      </c>
      <c r="AE130" s="34">
        <v>20.8</v>
      </c>
      <c r="AF130" s="31">
        <v>20</v>
      </c>
      <c r="AG130" s="34">
        <f>213.7/1000</f>
        <v>0.2137</v>
      </c>
      <c r="AH130" s="34"/>
      <c r="AI130" s="34"/>
      <c r="AJ130" s="37">
        <v>50</v>
      </c>
      <c r="AK130" s="37">
        <v>50</v>
      </c>
      <c r="AL130" s="34"/>
      <c r="AM130" s="34"/>
      <c r="AN130" s="34">
        <f>21.3/1000</f>
        <v>2.1299999999999999E-2</v>
      </c>
      <c r="AO130" s="68">
        <f t="shared" si="1"/>
        <v>0.04</v>
      </c>
    </row>
    <row r="131" spans="1:41" x14ac:dyDescent="0.2">
      <c r="A131" s="8"/>
      <c r="B131" s="21">
        <v>41445</v>
      </c>
      <c r="C131" s="75" t="s">
        <v>11</v>
      </c>
      <c r="D131" s="34"/>
      <c r="E131" s="34"/>
      <c r="F131" s="34"/>
      <c r="G131" s="34"/>
      <c r="H131" s="34"/>
      <c r="I131" s="37"/>
      <c r="J131" s="37">
        <v>1</v>
      </c>
      <c r="K131" s="37">
        <v>35</v>
      </c>
      <c r="L131" s="34"/>
      <c r="M131" s="34"/>
      <c r="N131" s="34"/>
      <c r="O131" s="34"/>
      <c r="P131" s="34"/>
      <c r="Q131" s="34"/>
      <c r="R131" s="34"/>
      <c r="S131" s="48"/>
      <c r="T131" s="34"/>
      <c r="U131" s="34"/>
      <c r="V131" s="34"/>
      <c r="W131" s="34"/>
      <c r="X131" s="34">
        <v>8.31</v>
      </c>
      <c r="Y131" s="34"/>
      <c r="Z131" s="34"/>
      <c r="AA131" s="34"/>
      <c r="AB131" s="34"/>
      <c r="AC131" s="34"/>
      <c r="AD131" s="37">
        <v>10</v>
      </c>
      <c r="AE131" s="34">
        <v>21</v>
      </c>
      <c r="AF131" s="31">
        <v>20</v>
      </c>
      <c r="AG131" s="34">
        <f>274.9/1000</f>
        <v>0.27489999999999998</v>
      </c>
      <c r="AH131" s="34"/>
      <c r="AI131" s="34"/>
      <c r="AJ131" s="37">
        <v>50</v>
      </c>
      <c r="AK131" s="37">
        <v>50</v>
      </c>
      <c r="AL131" s="34"/>
      <c r="AM131" s="34"/>
      <c r="AN131" s="34">
        <f>94.5/1000</f>
        <v>9.4500000000000001E-2</v>
      </c>
      <c r="AO131" s="68">
        <f t="shared" si="1"/>
        <v>2.8571428571428571E-2</v>
      </c>
    </row>
    <row r="132" spans="1:41" x14ac:dyDescent="0.2">
      <c r="A132" s="8"/>
      <c r="B132" s="21">
        <v>41445</v>
      </c>
      <c r="C132" s="76" t="s">
        <v>12</v>
      </c>
      <c r="D132" s="34"/>
      <c r="E132" s="34"/>
      <c r="F132" s="34"/>
      <c r="G132" s="34"/>
      <c r="H132" s="34"/>
      <c r="I132" s="37"/>
      <c r="J132" s="37">
        <v>1</v>
      </c>
      <c r="K132" s="37">
        <v>25</v>
      </c>
      <c r="L132" s="34"/>
      <c r="M132" s="34"/>
      <c r="N132" s="34"/>
      <c r="O132" s="34"/>
      <c r="P132" s="34"/>
      <c r="Q132" s="34"/>
      <c r="R132" s="34"/>
      <c r="S132" s="48"/>
      <c r="T132" s="34"/>
      <c r="U132" s="34"/>
      <c r="V132" s="34"/>
      <c r="W132" s="34"/>
      <c r="X132" s="34">
        <v>8.32</v>
      </c>
      <c r="Y132" s="34"/>
      <c r="Z132" s="34"/>
      <c r="AA132" s="34"/>
      <c r="AB132" s="34"/>
      <c r="AC132" s="34"/>
      <c r="AD132" s="37">
        <v>10</v>
      </c>
      <c r="AE132" s="34">
        <v>28</v>
      </c>
      <c r="AF132" s="31">
        <v>20</v>
      </c>
      <c r="AG132" s="34">
        <f>2372.7/1000</f>
        <v>2.3727</v>
      </c>
      <c r="AH132" s="34"/>
      <c r="AI132" s="34"/>
      <c r="AJ132" s="37">
        <v>50</v>
      </c>
      <c r="AK132" s="37">
        <v>50</v>
      </c>
      <c r="AL132" s="34"/>
      <c r="AM132" s="34"/>
      <c r="AN132" s="34">
        <f>63.9/1000</f>
        <v>6.3899999999999998E-2</v>
      </c>
      <c r="AO132" s="68">
        <f t="shared" si="1"/>
        <v>0.04</v>
      </c>
    </row>
    <row r="133" spans="1:41" x14ac:dyDescent="0.2">
      <c r="A133" s="8"/>
      <c r="B133" s="21">
        <v>41445</v>
      </c>
      <c r="C133" s="77" t="s">
        <v>13</v>
      </c>
      <c r="D133" s="34"/>
      <c r="E133" s="34"/>
      <c r="F133" s="34"/>
      <c r="G133" s="34"/>
      <c r="H133" s="34"/>
      <c r="I133" s="37"/>
      <c r="J133" s="37">
        <v>1</v>
      </c>
      <c r="K133" s="37">
        <v>25</v>
      </c>
      <c r="L133" s="34"/>
      <c r="M133" s="34"/>
      <c r="N133" s="34"/>
      <c r="O133" s="34"/>
      <c r="P133" s="34"/>
      <c r="Q133" s="34"/>
      <c r="R133" s="34"/>
      <c r="S133" s="48"/>
      <c r="T133" s="34"/>
      <c r="U133" s="34"/>
      <c r="V133" s="34"/>
      <c r="W133" s="34"/>
      <c r="X133" s="34">
        <v>8.26</v>
      </c>
      <c r="Y133" s="34"/>
      <c r="Z133" s="34"/>
      <c r="AA133" s="34"/>
      <c r="AB133" s="34"/>
      <c r="AC133" s="34"/>
      <c r="AD133" s="37">
        <v>10</v>
      </c>
      <c r="AE133" s="34">
        <v>22.1</v>
      </c>
      <c r="AF133" s="31">
        <v>20</v>
      </c>
      <c r="AG133" s="34">
        <f>229.5/1000</f>
        <v>0.22950000000000001</v>
      </c>
      <c r="AH133" s="34"/>
      <c r="AI133" s="34"/>
      <c r="AJ133" s="37">
        <v>50</v>
      </c>
      <c r="AK133" s="37">
        <v>50</v>
      </c>
      <c r="AL133" s="34"/>
      <c r="AM133" s="34"/>
      <c r="AN133" s="34">
        <f>29.6/1000</f>
        <v>2.9600000000000001E-2</v>
      </c>
      <c r="AO133" s="68">
        <f t="shared" si="1"/>
        <v>0.04</v>
      </c>
    </row>
    <row r="134" spans="1:41" x14ac:dyDescent="0.2">
      <c r="A134" s="8"/>
      <c r="B134" s="21">
        <v>41445</v>
      </c>
      <c r="C134" s="78" t="s">
        <v>14</v>
      </c>
      <c r="D134" s="34"/>
      <c r="E134" s="34"/>
      <c r="F134" s="34"/>
      <c r="G134" s="34"/>
      <c r="H134" s="34"/>
      <c r="I134" s="37"/>
      <c r="J134" s="37">
        <v>1</v>
      </c>
      <c r="K134" s="37">
        <v>25</v>
      </c>
      <c r="L134" s="34"/>
      <c r="M134" s="34"/>
      <c r="N134" s="34"/>
      <c r="O134" s="34"/>
      <c r="P134" s="34"/>
      <c r="Q134" s="34"/>
      <c r="R134" s="34"/>
      <c r="S134" s="48"/>
      <c r="T134" s="34"/>
      <c r="U134" s="34"/>
      <c r="V134" s="34"/>
      <c r="W134" s="34"/>
      <c r="X134" s="34">
        <v>7.58</v>
      </c>
      <c r="Y134" s="34"/>
      <c r="Z134" s="34"/>
      <c r="AA134" s="34"/>
      <c r="AB134" s="34"/>
      <c r="AC134" s="34"/>
      <c r="AD134" s="37">
        <v>10</v>
      </c>
      <c r="AE134" s="34">
        <v>24.9</v>
      </c>
      <c r="AF134" s="31">
        <v>20</v>
      </c>
      <c r="AG134" s="34">
        <f>100.9/1000</f>
        <v>0.1009</v>
      </c>
      <c r="AH134" s="34"/>
      <c r="AI134" s="34"/>
      <c r="AJ134" s="37">
        <v>50</v>
      </c>
      <c r="AK134" s="37">
        <v>50</v>
      </c>
      <c r="AL134" s="34"/>
      <c r="AM134" s="34"/>
      <c r="AN134" s="34">
        <f>13/1000</f>
        <v>1.2999999999999999E-2</v>
      </c>
      <c r="AO134" s="68">
        <f t="shared" si="1"/>
        <v>0.04</v>
      </c>
    </row>
    <row r="135" spans="1:41" x14ac:dyDescent="0.2">
      <c r="A135" s="10"/>
      <c r="B135" s="21">
        <v>41528</v>
      </c>
      <c r="C135" s="27" t="s">
        <v>9</v>
      </c>
      <c r="D135" s="34"/>
      <c r="E135" s="34"/>
      <c r="F135" s="34"/>
      <c r="G135" s="34"/>
      <c r="H135" s="34"/>
      <c r="I135" s="37">
        <v>1</v>
      </c>
      <c r="J135" s="34">
        <v>1.7</v>
      </c>
      <c r="K135" s="37">
        <v>25</v>
      </c>
      <c r="L135" s="34"/>
      <c r="M135" s="34"/>
      <c r="N135" s="34"/>
      <c r="O135" s="34"/>
      <c r="P135" s="34"/>
      <c r="Q135" s="31">
        <v>0.03</v>
      </c>
      <c r="R135" s="34">
        <v>0.01</v>
      </c>
      <c r="S135" s="31">
        <v>2E-3</v>
      </c>
      <c r="T135" s="34"/>
      <c r="U135" s="34"/>
      <c r="V135" s="34"/>
      <c r="W135" s="34"/>
      <c r="X135" s="34">
        <v>8.64</v>
      </c>
      <c r="Y135" s="34">
        <v>12.8</v>
      </c>
      <c r="Z135" s="34"/>
      <c r="AA135" s="34"/>
      <c r="AB135" s="34">
        <v>93.6</v>
      </c>
      <c r="AC135" s="34"/>
      <c r="AD135" s="37">
        <v>10</v>
      </c>
      <c r="AE135" s="31">
        <v>4</v>
      </c>
      <c r="AF135" s="31">
        <v>20</v>
      </c>
      <c r="AG135" s="34">
        <f>129/1000</f>
        <v>0.129</v>
      </c>
      <c r="AH135" s="34">
        <f>27.1/1000</f>
        <v>2.7100000000000003E-2</v>
      </c>
      <c r="AI135" s="34"/>
      <c r="AJ135" s="37">
        <v>50</v>
      </c>
      <c r="AK135" s="37">
        <v>50</v>
      </c>
      <c r="AL135" s="34"/>
      <c r="AM135" s="34"/>
      <c r="AN135" s="34">
        <f>19.5/1000</f>
        <v>1.95E-2</v>
      </c>
      <c r="AO135" s="68">
        <f t="shared" si="1"/>
        <v>6.8000000000000005E-2</v>
      </c>
    </row>
    <row r="136" spans="1:41" x14ac:dyDescent="0.2">
      <c r="A136" s="9"/>
      <c r="B136" s="23">
        <v>41528</v>
      </c>
      <c r="C136" s="74" t="s">
        <v>10</v>
      </c>
      <c r="D136" s="34"/>
      <c r="E136" s="34"/>
      <c r="F136" s="34"/>
      <c r="G136" s="34"/>
      <c r="H136" s="34"/>
      <c r="I136" s="37">
        <v>1</v>
      </c>
      <c r="J136" s="34">
        <v>1.75</v>
      </c>
      <c r="K136" s="37">
        <v>25</v>
      </c>
      <c r="L136" s="34"/>
      <c r="M136" s="34"/>
      <c r="N136" s="34"/>
      <c r="O136" s="34"/>
      <c r="P136" s="34"/>
      <c r="Q136" s="31">
        <v>0.03</v>
      </c>
      <c r="R136" s="31">
        <v>0.01</v>
      </c>
      <c r="S136" s="31">
        <v>2E-3</v>
      </c>
      <c r="T136" s="34"/>
      <c r="U136" s="34"/>
      <c r="V136" s="34"/>
      <c r="W136" s="34"/>
      <c r="X136" s="34">
        <v>8.6199999999999992</v>
      </c>
      <c r="Y136" s="34">
        <v>51.6</v>
      </c>
      <c r="Z136" s="34"/>
      <c r="AA136" s="34"/>
      <c r="AB136" s="34">
        <v>98.7</v>
      </c>
      <c r="AC136" s="34"/>
      <c r="AD136" s="37">
        <v>10</v>
      </c>
      <c r="AE136" s="31">
        <v>4</v>
      </c>
      <c r="AF136" s="31">
        <v>20</v>
      </c>
      <c r="AG136" s="34">
        <f>12.3/1000</f>
        <v>1.23E-2</v>
      </c>
      <c r="AH136" s="34">
        <f>56/1000</f>
        <v>5.6000000000000001E-2</v>
      </c>
      <c r="AI136" s="34"/>
      <c r="AJ136" s="37">
        <v>50</v>
      </c>
      <c r="AK136" s="37">
        <v>50</v>
      </c>
      <c r="AL136" s="34"/>
      <c r="AM136" s="34"/>
      <c r="AN136" s="31">
        <f>10/1000</f>
        <v>0.01</v>
      </c>
      <c r="AO136" s="68">
        <f t="shared" si="1"/>
        <v>7.0000000000000007E-2</v>
      </c>
    </row>
    <row r="137" spans="1:41" x14ac:dyDescent="0.2">
      <c r="A137" s="8"/>
      <c r="B137" s="23">
        <v>41528</v>
      </c>
      <c r="C137" s="75" t="s">
        <v>11</v>
      </c>
      <c r="D137" s="34"/>
      <c r="E137" s="34"/>
      <c r="F137" s="34"/>
      <c r="G137" s="34"/>
      <c r="H137" s="34"/>
      <c r="I137" s="37">
        <v>1</v>
      </c>
      <c r="J137" s="34">
        <v>1.35</v>
      </c>
      <c r="K137" s="37">
        <v>25</v>
      </c>
      <c r="L137" s="34"/>
      <c r="M137" s="34"/>
      <c r="N137" s="34"/>
      <c r="O137" s="34"/>
      <c r="P137" s="34"/>
      <c r="Q137" s="31">
        <v>0.03</v>
      </c>
      <c r="R137" s="34">
        <v>0.01</v>
      </c>
      <c r="S137" s="31">
        <v>2E-3</v>
      </c>
      <c r="T137" s="34"/>
      <c r="U137" s="34"/>
      <c r="V137" s="34"/>
      <c r="W137" s="34"/>
      <c r="X137" s="34">
        <v>8.81</v>
      </c>
      <c r="Y137" s="34">
        <v>45.2</v>
      </c>
      <c r="Z137" s="34"/>
      <c r="AA137" s="34"/>
      <c r="AB137" s="34">
        <v>55.6</v>
      </c>
      <c r="AC137" s="34"/>
      <c r="AD137" s="37">
        <v>10</v>
      </c>
      <c r="AE137" s="31">
        <v>4</v>
      </c>
      <c r="AF137" s="31">
        <v>20</v>
      </c>
      <c r="AG137" s="34">
        <f>69/1000</f>
        <v>6.9000000000000006E-2</v>
      </c>
      <c r="AH137" s="34">
        <f>10.3/1000</f>
        <v>1.03E-2</v>
      </c>
      <c r="AI137" s="34"/>
      <c r="AJ137" s="37">
        <v>50</v>
      </c>
      <c r="AK137" s="37">
        <v>50</v>
      </c>
      <c r="AL137" s="34"/>
      <c r="AM137" s="34"/>
      <c r="AN137" s="31">
        <f>10/1000</f>
        <v>0.01</v>
      </c>
      <c r="AO137" s="68">
        <f t="shared" si="1"/>
        <v>5.4000000000000006E-2</v>
      </c>
    </row>
    <row r="138" spans="1:41" x14ac:dyDescent="0.2">
      <c r="A138" s="8"/>
      <c r="B138" s="23">
        <v>41528</v>
      </c>
      <c r="C138" s="76" t="s">
        <v>12</v>
      </c>
      <c r="D138" s="34"/>
      <c r="E138" s="34"/>
      <c r="F138" s="34"/>
      <c r="G138" s="34"/>
      <c r="H138" s="34"/>
      <c r="I138" s="37">
        <v>1</v>
      </c>
      <c r="J138" s="34">
        <v>0.7</v>
      </c>
      <c r="K138" s="37">
        <v>25</v>
      </c>
      <c r="L138" s="34"/>
      <c r="M138" s="34"/>
      <c r="N138" s="34"/>
      <c r="O138" s="34"/>
      <c r="P138" s="34"/>
      <c r="Q138" s="31">
        <v>0.03</v>
      </c>
      <c r="R138" s="31">
        <v>0.01</v>
      </c>
      <c r="S138" s="31">
        <v>2E-3</v>
      </c>
      <c r="T138" s="34"/>
      <c r="U138" s="34"/>
      <c r="V138" s="34"/>
      <c r="W138" s="34"/>
      <c r="X138" s="34">
        <v>8.32</v>
      </c>
      <c r="Y138" s="34">
        <v>18.8</v>
      </c>
      <c r="Z138" s="34"/>
      <c r="AA138" s="34"/>
      <c r="AB138" s="34">
        <v>102.3</v>
      </c>
      <c r="AC138" s="34"/>
      <c r="AD138" s="37">
        <v>10</v>
      </c>
      <c r="AE138" s="31">
        <v>4</v>
      </c>
      <c r="AF138" s="31">
        <v>20</v>
      </c>
      <c r="AG138" s="34">
        <f>90.1/1000</f>
        <v>9.01E-2</v>
      </c>
      <c r="AH138" s="34">
        <f>8.3/1000</f>
        <v>8.3000000000000001E-3</v>
      </c>
      <c r="AI138" s="34"/>
      <c r="AJ138" s="37">
        <v>50</v>
      </c>
      <c r="AK138" s="37">
        <v>50</v>
      </c>
      <c r="AL138" s="34"/>
      <c r="AM138" s="34"/>
      <c r="AN138" s="31">
        <f>10/1000</f>
        <v>0.01</v>
      </c>
      <c r="AO138" s="68">
        <f t="shared" si="1"/>
        <v>2.7999999999999997E-2</v>
      </c>
    </row>
    <row r="139" spans="1:41" x14ac:dyDescent="0.2">
      <c r="A139" s="8"/>
      <c r="B139" s="23">
        <v>41528</v>
      </c>
      <c r="C139" s="77" t="s">
        <v>13</v>
      </c>
      <c r="D139" s="34"/>
      <c r="E139" s="34"/>
      <c r="F139" s="34"/>
      <c r="G139" s="34"/>
      <c r="H139" s="34"/>
      <c r="I139" s="37">
        <v>1</v>
      </c>
      <c r="J139" s="34">
        <v>1.45</v>
      </c>
      <c r="K139" s="37">
        <v>25</v>
      </c>
      <c r="L139" s="34"/>
      <c r="M139" s="34"/>
      <c r="N139" s="34"/>
      <c r="O139" s="34"/>
      <c r="P139" s="34"/>
      <c r="Q139" s="34">
        <v>0.03</v>
      </c>
      <c r="R139" s="31">
        <v>0.01</v>
      </c>
      <c r="S139" s="31">
        <v>2E-3</v>
      </c>
      <c r="T139" s="34"/>
      <c r="U139" s="34"/>
      <c r="V139" s="34"/>
      <c r="W139" s="34"/>
      <c r="X139" s="34">
        <v>8.65</v>
      </c>
      <c r="Y139" s="34">
        <v>20</v>
      </c>
      <c r="Z139" s="34"/>
      <c r="AA139" s="34"/>
      <c r="AB139" s="34">
        <v>244.2</v>
      </c>
      <c r="AC139" s="34"/>
      <c r="AD139" s="37">
        <v>10</v>
      </c>
      <c r="AE139" s="31">
        <v>4</v>
      </c>
      <c r="AF139" s="31">
        <v>20</v>
      </c>
      <c r="AG139" s="34">
        <f>242.7/1000</f>
        <v>0.2427</v>
      </c>
      <c r="AH139" s="34">
        <f>87.2/1000</f>
        <v>8.72E-2</v>
      </c>
      <c r="AI139" s="34"/>
      <c r="AJ139" s="37">
        <v>50</v>
      </c>
      <c r="AK139" s="37">
        <v>50</v>
      </c>
      <c r="AL139" s="34"/>
      <c r="AM139" s="34"/>
      <c r="AN139" s="31">
        <f>10/1000</f>
        <v>0.01</v>
      </c>
      <c r="AO139" s="68">
        <f t="shared" si="1"/>
        <v>5.7999999999999996E-2</v>
      </c>
    </row>
    <row r="140" spans="1:41" x14ac:dyDescent="0.2">
      <c r="A140" s="8"/>
      <c r="B140" s="23">
        <v>41528</v>
      </c>
      <c r="C140" s="78" t="s">
        <v>14</v>
      </c>
      <c r="D140" s="34"/>
      <c r="E140" s="34"/>
      <c r="F140" s="34"/>
      <c r="G140" s="34"/>
      <c r="H140" s="34"/>
      <c r="I140" s="37">
        <v>1</v>
      </c>
      <c r="J140" s="34">
        <v>0.65</v>
      </c>
      <c r="K140" s="37">
        <v>25</v>
      </c>
      <c r="L140" s="34"/>
      <c r="M140" s="34"/>
      <c r="N140" s="34"/>
      <c r="O140" s="34"/>
      <c r="P140" s="34"/>
      <c r="Q140" s="31">
        <v>0.03</v>
      </c>
      <c r="R140" s="34">
        <v>0.01</v>
      </c>
      <c r="S140" s="31">
        <v>2E-3</v>
      </c>
      <c r="T140" s="34"/>
      <c r="U140" s="34"/>
      <c r="V140" s="34"/>
      <c r="W140" s="34"/>
      <c r="X140" s="34">
        <v>7.83</v>
      </c>
      <c r="Y140" s="34">
        <v>62.4</v>
      </c>
      <c r="Z140" s="34"/>
      <c r="AA140" s="34"/>
      <c r="AB140" s="34">
        <v>58.1</v>
      </c>
      <c r="AC140" s="34"/>
      <c r="AD140" s="37">
        <v>10</v>
      </c>
      <c r="AE140" s="31">
        <v>4</v>
      </c>
      <c r="AF140" s="31">
        <v>20</v>
      </c>
      <c r="AG140" s="34">
        <f>26.2/1000</f>
        <v>2.6199999999999998E-2</v>
      </c>
      <c r="AH140" s="34">
        <f>25.1/1000</f>
        <v>2.5100000000000001E-2</v>
      </c>
      <c r="AI140" s="34"/>
      <c r="AJ140" s="37">
        <v>50</v>
      </c>
      <c r="AK140" s="37">
        <v>50</v>
      </c>
      <c r="AL140" s="34"/>
      <c r="AM140" s="34"/>
      <c r="AN140" s="31">
        <f>10/1000</f>
        <v>0.01</v>
      </c>
      <c r="AO140" s="68">
        <f t="shared" si="1"/>
        <v>2.6000000000000002E-2</v>
      </c>
    </row>
    <row r="141" spans="1:41" x14ac:dyDescent="0.2">
      <c r="A141" s="10">
        <v>2014</v>
      </c>
      <c r="B141" s="23">
        <v>41670</v>
      </c>
      <c r="C141" s="27" t="s">
        <v>9</v>
      </c>
      <c r="D141" s="34"/>
      <c r="E141" s="34"/>
      <c r="F141" s="34"/>
      <c r="G141" s="34"/>
      <c r="H141" s="34"/>
      <c r="I141" s="34"/>
      <c r="J141" s="34">
        <v>3.6</v>
      </c>
      <c r="K141" s="34">
        <v>46</v>
      </c>
      <c r="L141" s="34"/>
      <c r="M141" s="34"/>
      <c r="N141" s="34"/>
      <c r="O141" s="34"/>
      <c r="P141" s="34"/>
      <c r="Q141" s="34"/>
      <c r="R141" s="34"/>
      <c r="S141" s="48"/>
      <c r="T141" s="34"/>
      <c r="U141" s="34"/>
      <c r="V141" s="34"/>
      <c r="W141" s="34"/>
      <c r="X141" s="34">
        <v>7.84</v>
      </c>
      <c r="Y141" s="34"/>
      <c r="Z141" s="34"/>
      <c r="AA141" s="34"/>
      <c r="AB141" s="34"/>
      <c r="AC141" s="34"/>
      <c r="AD141" s="37">
        <v>10</v>
      </c>
      <c r="AE141" s="34">
        <v>45.5</v>
      </c>
      <c r="AF141" s="34">
        <v>46.4</v>
      </c>
      <c r="AG141" s="34">
        <f>28281/10000</f>
        <v>2.8281000000000001</v>
      </c>
      <c r="AH141" s="34"/>
      <c r="AI141" s="34"/>
      <c r="AJ141" s="37">
        <v>50</v>
      </c>
      <c r="AK141" s="37">
        <v>50</v>
      </c>
      <c r="AL141" s="34"/>
      <c r="AM141" s="34"/>
      <c r="AN141" s="34">
        <f>147.2/1000</f>
        <v>0.1472</v>
      </c>
      <c r="AO141" s="68">
        <f t="shared" ref="AO141:AO204" si="2">+J141/K141</f>
        <v>7.8260869565217397E-2</v>
      </c>
    </row>
    <row r="142" spans="1:41" x14ac:dyDescent="0.2">
      <c r="A142" s="9"/>
      <c r="B142" s="23">
        <v>41670</v>
      </c>
      <c r="C142" s="74" t="s">
        <v>10</v>
      </c>
      <c r="D142" s="34"/>
      <c r="E142" s="34"/>
      <c r="F142" s="34"/>
      <c r="G142" s="34"/>
      <c r="H142" s="34"/>
      <c r="I142" s="34"/>
      <c r="J142" s="34">
        <v>3.4</v>
      </c>
      <c r="K142" s="34">
        <v>47</v>
      </c>
      <c r="L142" s="34"/>
      <c r="M142" s="34"/>
      <c r="N142" s="34"/>
      <c r="O142" s="34"/>
      <c r="P142" s="34"/>
      <c r="Q142" s="34"/>
      <c r="R142" s="34"/>
      <c r="S142" s="48"/>
      <c r="T142" s="34"/>
      <c r="U142" s="34"/>
      <c r="V142" s="34"/>
      <c r="W142" s="34"/>
      <c r="X142" s="34">
        <v>7.79</v>
      </c>
      <c r="Y142" s="34"/>
      <c r="Z142" s="34"/>
      <c r="AA142" s="34"/>
      <c r="AB142" s="34"/>
      <c r="AC142" s="34"/>
      <c r="AD142" s="37">
        <v>10</v>
      </c>
      <c r="AE142" s="34">
        <v>57.6</v>
      </c>
      <c r="AF142" s="34">
        <v>65.7</v>
      </c>
      <c r="AG142" s="34">
        <f>42691/1000</f>
        <v>42.691000000000003</v>
      </c>
      <c r="AH142" s="34"/>
      <c r="AI142" s="34"/>
      <c r="AJ142" s="37">
        <v>50</v>
      </c>
      <c r="AK142" s="37">
        <v>50</v>
      </c>
      <c r="AL142" s="34"/>
      <c r="AM142" s="34"/>
      <c r="AN142" s="34">
        <f>154.1/1000</f>
        <v>0.15409999999999999</v>
      </c>
      <c r="AO142" s="68">
        <f t="shared" si="2"/>
        <v>7.2340425531914887E-2</v>
      </c>
    </row>
    <row r="143" spans="1:41" x14ac:dyDescent="0.2">
      <c r="A143" s="8"/>
      <c r="B143" s="23">
        <v>41670</v>
      </c>
      <c r="C143" s="75" t="s">
        <v>11</v>
      </c>
      <c r="D143" s="34"/>
      <c r="E143" s="34"/>
      <c r="F143" s="34"/>
      <c r="G143" s="34"/>
      <c r="H143" s="34"/>
      <c r="I143" s="34"/>
      <c r="J143" s="34">
        <v>2.7</v>
      </c>
      <c r="K143" s="34">
        <v>37</v>
      </c>
      <c r="L143" s="34"/>
      <c r="M143" s="34"/>
      <c r="N143" s="34"/>
      <c r="O143" s="34"/>
      <c r="P143" s="34"/>
      <c r="Q143" s="34"/>
      <c r="R143" s="34"/>
      <c r="S143" s="48"/>
      <c r="T143" s="34"/>
      <c r="U143" s="34"/>
      <c r="V143" s="34"/>
      <c r="W143" s="34"/>
      <c r="X143" s="34">
        <v>7.81</v>
      </c>
      <c r="Y143" s="34"/>
      <c r="Z143" s="34"/>
      <c r="AA143" s="34"/>
      <c r="AB143" s="34"/>
      <c r="AC143" s="34"/>
      <c r="AD143" s="37">
        <v>10</v>
      </c>
      <c r="AE143" s="34">
        <v>51.6</v>
      </c>
      <c r="AF143" s="34">
        <v>59.1</v>
      </c>
      <c r="AG143" s="34">
        <f>35576/1000</f>
        <v>35.576000000000001</v>
      </c>
      <c r="AH143" s="34"/>
      <c r="AI143" s="34"/>
      <c r="AJ143" s="37">
        <v>50</v>
      </c>
      <c r="AK143" s="37">
        <v>50</v>
      </c>
      <c r="AL143" s="34"/>
      <c r="AM143" s="34"/>
      <c r="AN143" s="34">
        <f>194.3/1000</f>
        <v>0.1943</v>
      </c>
      <c r="AO143" s="68">
        <f t="shared" si="2"/>
        <v>7.2972972972972977E-2</v>
      </c>
    </row>
    <row r="144" spans="1:41" x14ac:dyDescent="0.2">
      <c r="A144" s="8"/>
      <c r="B144" s="23">
        <v>41670</v>
      </c>
      <c r="C144" s="76" t="s">
        <v>12</v>
      </c>
      <c r="D144" s="34"/>
      <c r="E144" s="34"/>
      <c r="F144" s="34"/>
      <c r="G144" s="34"/>
      <c r="H144" s="34"/>
      <c r="I144" s="34"/>
      <c r="J144" s="34">
        <v>2.6</v>
      </c>
      <c r="K144" s="34">
        <v>91</v>
      </c>
      <c r="L144" s="34"/>
      <c r="M144" s="34"/>
      <c r="N144" s="34"/>
      <c r="O144" s="34"/>
      <c r="P144" s="34"/>
      <c r="Q144" s="34"/>
      <c r="R144" s="34"/>
      <c r="S144" s="48"/>
      <c r="T144" s="34"/>
      <c r="U144" s="34"/>
      <c r="V144" s="34"/>
      <c r="W144" s="34"/>
      <c r="X144" s="34">
        <v>7.8</v>
      </c>
      <c r="Y144" s="34"/>
      <c r="Z144" s="34"/>
      <c r="AA144" s="34"/>
      <c r="AB144" s="34"/>
      <c r="AC144" s="34"/>
      <c r="AD144" s="37">
        <v>10</v>
      </c>
      <c r="AE144" s="34">
        <v>68.5</v>
      </c>
      <c r="AF144" s="34">
        <v>91.7</v>
      </c>
      <c r="AG144" s="34">
        <f>56342/1000</f>
        <v>56.341999999999999</v>
      </c>
      <c r="AH144" s="34"/>
      <c r="AI144" s="34"/>
      <c r="AJ144" s="37">
        <v>59.7</v>
      </c>
      <c r="AK144" s="37">
        <v>50</v>
      </c>
      <c r="AL144" s="34"/>
      <c r="AM144" s="34"/>
      <c r="AN144" s="34">
        <f>202.6/1000</f>
        <v>0.2026</v>
      </c>
      <c r="AO144" s="68">
        <f t="shared" si="2"/>
        <v>2.8571428571428574E-2</v>
      </c>
    </row>
    <row r="145" spans="1:41" x14ac:dyDescent="0.2">
      <c r="A145" s="8"/>
      <c r="B145" s="23">
        <v>41670</v>
      </c>
      <c r="C145" s="77" t="s">
        <v>13</v>
      </c>
      <c r="D145" s="34"/>
      <c r="E145" s="34"/>
      <c r="F145" s="34"/>
      <c r="G145" s="34"/>
      <c r="H145" s="34"/>
      <c r="I145" s="34"/>
      <c r="J145" s="34">
        <v>3.4</v>
      </c>
      <c r="K145" s="34">
        <v>43</v>
      </c>
      <c r="L145" s="34"/>
      <c r="M145" s="34"/>
      <c r="N145" s="34"/>
      <c r="O145" s="34"/>
      <c r="P145" s="34"/>
      <c r="Q145" s="34"/>
      <c r="R145" s="34"/>
      <c r="S145" s="48"/>
      <c r="T145" s="34"/>
      <c r="U145" s="34"/>
      <c r="V145" s="34"/>
      <c r="W145" s="34"/>
      <c r="X145" s="34">
        <v>7.74</v>
      </c>
      <c r="Y145" s="34"/>
      <c r="Z145" s="34"/>
      <c r="AA145" s="34"/>
      <c r="AB145" s="34"/>
      <c r="AC145" s="34"/>
      <c r="AD145" s="37">
        <v>10</v>
      </c>
      <c r="AE145" s="34">
        <v>60</v>
      </c>
      <c r="AF145" s="34">
        <v>81.599999999999994</v>
      </c>
      <c r="AG145" s="34">
        <f>50171/1000</f>
        <v>50.170999999999999</v>
      </c>
      <c r="AH145" s="34"/>
      <c r="AI145" s="34"/>
      <c r="AJ145" s="34">
        <v>52.7</v>
      </c>
      <c r="AK145" s="37">
        <v>50</v>
      </c>
      <c r="AL145" s="34"/>
      <c r="AM145" s="34"/>
      <c r="AN145" s="34">
        <f>185.9/1000</f>
        <v>0.18590000000000001</v>
      </c>
      <c r="AO145" s="68">
        <f t="shared" si="2"/>
        <v>7.9069767441860464E-2</v>
      </c>
    </row>
    <row r="146" spans="1:41" x14ac:dyDescent="0.2">
      <c r="A146" s="8"/>
      <c r="B146" s="23">
        <v>41670</v>
      </c>
      <c r="C146" s="78" t="s">
        <v>14</v>
      </c>
      <c r="D146" s="34"/>
      <c r="E146" s="34"/>
      <c r="F146" s="34"/>
      <c r="G146" s="34"/>
      <c r="H146" s="34"/>
      <c r="I146" s="34"/>
      <c r="J146" s="37">
        <v>1</v>
      </c>
      <c r="K146" s="37">
        <v>25</v>
      </c>
      <c r="L146" s="34"/>
      <c r="M146" s="34"/>
      <c r="N146" s="34"/>
      <c r="O146" s="34"/>
      <c r="P146" s="34"/>
      <c r="Q146" s="34"/>
      <c r="R146" s="34"/>
      <c r="S146" s="48"/>
      <c r="T146" s="34"/>
      <c r="U146" s="34"/>
      <c r="V146" s="34"/>
      <c r="W146" s="34"/>
      <c r="X146" s="34">
        <v>7.84</v>
      </c>
      <c r="Y146" s="34"/>
      <c r="Z146" s="34"/>
      <c r="AA146" s="34"/>
      <c r="AB146" s="34"/>
      <c r="AC146" s="34"/>
      <c r="AD146" s="37">
        <v>10</v>
      </c>
      <c r="AE146" s="34">
        <v>59.1</v>
      </c>
      <c r="AF146" s="34">
        <v>96.5</v>
      </c>
      <c r="AG146" s="34">
        <f>47751/1000</f>
        <v>47.750999999999998</v>
      </c>
      <c r="AH146" s="34"/>
      <c r="AI146" s="34"/>
      <c r="AJ146" s="34">
        <v>55.2</v>
      </c>
      <c r="AK146" s="37">
        <v>50</v>
      </c>
      <c r="AL146" s="34"/>
      <c r="AM146" s="34"/>
      <c r="AN146" s="34">
        <f>151.4/1000</f>
        <v>0.15140000000000001</v>
      </c>
      <c r="AO146" s="68">
        <f t="shared" si="2"/>
        <v>0.04</v>
      </c>
    </row>
    <row r="147" spans="1:41" x14ac:dyDescent="0.2">
      <c r="A147" s="10"/>
      <c r="B147" s="23">
        <v>41758</v>
      </c>
      <c r="C147" s="27" t="s">
        <v>9</v>
      </c>
      <c r="D147" s="34"/>
      <c r="E147" s="34"/>
      <c r="F147" s="34"/>
      <c r="G147" s="34"/>
      <c r="H147" s="34"/>
      <c r="I147" s="37">
        <v>1</v>
      </c>
      <c r="J147" s="37">
        <v>0.9</v>
      </c>
      <c r="K147" s="37">
        <v>41</v>
      </c>
      <c r="L147" s="37"/>
      <c r="M147" s="37"/>
      <c r="N147" s="34"/>
      <c r="O147" s="34"/>
      <c r="P147" s="34"/>
      <c r="Q147" s="37">
        <v>0.1</v>
      </c>
      <c r="R147" s="37">
        <v>0</v>
      </c>
      <c r="S147" s="48">
        <v>1.4E-2</v>
      </c>
      <c r="T147" s="37"/>
      <c r="U147" s="37"/>
      <c r="V147" s="37"/>
      <c r="W147" s="37"/>
      <c r="X147" s="37">
        <v>8.19</v>
      </c>
      <c r="Y147" s="37">
        <v>10.4</v>
      </c>
      <c r="Z147" s="37"/>
      <c r="AA147" s="34"/>
      <c r="AB147" s="37">
        <v>827</v>
      </c>
      <c r="AC147" s="34"/>
      <c r="AD147" s="37">
        <v>10</v>
      </c>
      <c r="AE147" s="37">
        <v>10</v>
      </c>
      <c r="AF147" s="31">
        <v>20</v>
      </c>
      <c r="AG147" s="37">
        <f>1364/1000</f>
        <v>1.3640000000000001</v>
      </c>
      <c r="AH147" s="37">
        <f>47.1/1000</f>
        <v>4.7100000000000003E-2</v>
      </c>
      <c r="AI147" s="37"/>
      <c r="AJ147" s="37">
        <v>50</v>
      </c>
      <c r="AK147" s="37">
        <v>50</v>
      </c>
      <c r="AL147" s="37"/>
      <c r="AM147" s="37"/>
      <c r="AN147" s="37">
        <f>31.6/1000</f>
        <v>3.1600000000000003E-2</v>
      </c>
      <c r="AO147" s="68">
        <f t="shared" si="2"/>
        <v>2.1951219512195124E-2</v>
      </c>
    </row>
    <row r="148" spans="1:41" x14ac:dyDescent="0.2">
      <c r="A148" s="9"/>
      <c r="B148" s="23">
        <v>41758</v>
      </c>
      <c r="C148" s="74" t="s">
        <v>10</v>
      </c>
      <c r="D148" s="34"/>
      <c r="E148" s="34"/>
      <c r="F148" s="34"/>
      <c r="G148" s="34"/>
      <c r="H148" s="34"/>
      <c r="I148" s="37">
        <v>1</v>
      </c>
      <c r="J148" s="37">
        <v>1.05</v>
      </c>
      <c r="K148" s="37">
        <v>33</v>
      </c>
      <c r="L148" s="37"/>
      <c r="M148" s="37"/>
      <c r="N148" s="34"/>
      <c r="O148" s="34"/>
      <c r="P148" s="34"/>
      <c r="Q148" s="37">
        <v>0.1</v>
      </c>
      <c r="R148" s="37">
        <v>0</v>
      </c>
      <c r="S148" s="48">
        <v>8.9999999999999993E-3</v>
      </c>
      <c r="T148" s="37"/>
      <c r="U148" s="37"/>
      <c r="V148" s="37"/>
      <c r="W148" s="37"/>
      <c r="X148" s="37">
        <v>8.3000000000000007</v>
      </c>
      <c r="Y148" s="37">
        <v>10</v>
      </c>
      <c r="Z148" s="37"/>
      <c r="AA148" s="34"/>
      <c r="AB148" s="37">
        <v>805.9</v>
      </c>
      <c r="AC148" s="34"/>
      <c r="AD148" s="37">
        <v>10</v>
      </c>
      <c r="AE148" s="37">
        <v>10</v>
      </c>
      <c r="AF148" s="31">
        <v>20</v>
      </c>
      <c r="AG148" s="37">
        <f>1292.5/1000</f>
        <v>1.2925</v>
      </c>
      <c r="AH148" s="37">
        <f>73.6/1000</f>
        <v>7.3599999999999999E-2</v>
      </c>
      <c r="AI148" s="37"/>
      <c r="AJ148" s="37">
        <v>50</v>
      </c>
      <c r="AK148" s="37">
        <v>50</v>
      </c>
      <c r="AL148" s="37"/>
      <c r="AM148" s="37"/>
      <c r="AN148" s="37">
        <f>131.8/1000</f>
        <v>0.1318</v>
      </c>
      <c r="AO148" s="68">
        <f t="shared" si="2"/>
        <v>3.1818181818181822E-2</v>
      </c>
    </row>
    <row r="149" spans="1:41" x14ac:dyDescent="0.2">
      <c r="A149" s="8"/>
      <c r="B149" s="23">
        <v>41758</v>
      </c>
      <c r="C149" s="75" t="s">
        <v>11</v>
      </c>
      <c r="D149" s="34"/>
      <c r="E149" s="34"/>
      <c r="F149" s="34"/>
      <c r="G149" s="34"/>
      <c r="H149" s="34"/>
      <c r="I149" s="37">
        <v>1</v>
      </c>
      <c r="J149" s="37">
        <v>0.9</v>
      </c>
      <c r="K149" s="37">
        <v>41</v>
      </c>
      <c r="L149" s="37"/>
      <c r="M149" s="37"/>
      <c r="N149" s="34"/>
      <c r="O149" s="34"/>
      <c r="P149" s="34"/>
      <c r="Q149" s="37">
        <v>0.1</v>
      </c>
      <c r="R149" s="37">
        <v>0</v>
      </c>
      <c r="S149" s="48">
        <v>5.0000000000000001E-3</v>
      </c>
      <c r="T149" s="37"/>
      <c r="U149" s="37"/>
      <c r="V149" s="37"/>
      <c r="W149" s="37"/>
      <c r="X149" s="37">
        <v>8.4</v>
      </c>
      <c r="Y149" s="37">
        <v>11.6</v>
      </c>
      <c r="Z149" s="37"/>
      <c r="AA149" s="34"/>
      <c r="AB149" s="37">
        <v>916.2</v>
      </c>
      <c r="AC149" s="34"/>
      <c r="AD149" s="37">
        <v>10</v>
      </c>
      <c r="AE149" s="37">
        <v>10</v>
      </c>
      <c r="AF149" s="31">
        <v>20</v>
      </c>
      <c r="AG149" s="37">
        <f>1430/1000</f>
        <v>1.43</v>
      </c>
      <c r="AH149" s="37">
        <f>58.4/1000</f>
        <v>5.8400000000000001E-2</v>
      </c>
      <c r="AI149" s="37"/>
      <c r="AJ149" s="37">
        <v>50</v>
      </c>
      <c r="AK149" s="37">
        <v>50</v>
      </c>
      <c r="AL149" s="37"/>
      <c r="AM149" s="37"/>
      <c r="AN149" s="37">
        <f>83.5/1000</f>
        <v>8.3500000000000005E-2</v>
      </c>
      <c r="AO149" s="68">
        <f t="shared" si="2"/>
        <v>2.1951219512195124E-2</v>
      </c>
    </row>
    <row r="150" spans="1:41" x14ac:dyDescent="0.2">
      <c r="A150" s="8"/>
      <c r="B150" s="23">
        <v>41758</v>
      </c>
      <c r="C150" s="76" t="s">
        <v>12</v>
      </c>
      <c r="D150" s="34"/>
      <c r="E150" s="34"/>
      <c r="F150" s="34"/>
      <c r="G150" s="34"/>
      <c r="H150" s="34"/>
      <c r="I150" s="37">
        <v>1</v>
      </c>
      <c r="J150" s="37">
        <v>1.35</v>
      </c>
      <c r="K150" s="37">
        <v>31</v>
      </c>
      <c r="L150" s="37"/>
      <c r="M150" s="37"/>
      <c r="N150" s="34"/>
      <c r="O150" s="34"/>
      <c r="P150" s="34"/>
      <c r="Q150" s="37">
        <v>0.18</v>
      </c>
      <c r="R150" s="37">
        <v>0</v>
      </c>
      <c r="S150" s="48">
        <v>5.0000000000000001E-3</v>
      </c>
      <c r="T150" s="37"/>
      <c r="U150" s="37"/>
      <c r="V150" s="37"/>
      <c r="W150" s="37"/>
      <c r="X150" s="37">
        <v>8.43</v>
      </c>
      <c r="Y150" s="37">
        <v>12.4</v>
      </c>
      <c r="Z150" s="37"/>
      <c r="AA150" s="34"/>
      <c r="AB150" s="37">
        <v>2808.3</v>
      </c>
      <c r="AC150" s="34"/>
      <c r="AD150" s="37">
        <v>10</v>
      </c>
      <c r="AE150" s="37">
        <v>24.2</v>
      </c>
      <c r="AF150" s="31">
        <v>20</v>
      </c>
      <c r="AG150" s="37">
        <f>4106.3/1000</f>
        <v>4.1063000000000001</v>
      </c>
      <c r="AH150" s="37">
        <f>156.5/1000</f>
        <v>0.1565</v>
      </c>
      <c r="AI150" s="37"/>
      <c r="AJ150" s="37">
        <v>50</v>
      </c>
      <c r="AK150" s="37">
        <v>50</v>
      </c>
      <c r="AL150" s="37"/>
      <c r="AM150" s="37"/>
      <c r="AN150" s="37">
        <f>80.4/1000</f>
        <v>8.0399999999999999E-2</v>
      </c>
      <c r="AO150" s="68">
        <f t="shared" si="2"/>
        <v>4.3548387096774194E-2</v>
      </c>
    </row>
    <row r="151" spans="1:41" x14ac:dyDescent="0.2">
      <c r="A151" s="8"/>
      <c r="B151" s="23">
        <v>41758</v>
      </c>
      <c r="C151" s="77" t="s">
        <v>13</v>
      </c>
      <c r="D151" s="34"/>
      <c r="E151" s="34"/>
      <c r="F151" s="34"/>
      <c r="G151" s="34"/>
      <c r="H151" s="34"/>
      <c r="I151" s="37">
        <v>1</v>
      </c>
      <c r="J151" s="37">
        <v>0.95</v>
      </c>
      <c r="K151" s="37">
        <v>27</v>
      </c>
      <c r="L151" s="37"/>
      <c r="M151" s="37"/>
      <c r="N151" s="34"/>
      <c r="O151" s="34"/>
      <c r="P151" s="34"/>
      <c r="Q151" s="37">
        <v>0.1</v>
      </c>
      <c r="R151" s="37">
        <v>0</v>
      </c>
      <c r="S151" s="48">
        <v>7.0000000000000001E-3</v>
      </c>
      <c r="T151" s="37"/>
      <c r="U151" s="37"/>
      <c r="V151" s="37"/>
      <c r="W151" s="37"/>
      <c r="X151" s="37">
        <v>8.2899999999999991</v>
      </c>
      <c r="Y151" s="37">
        <v>10.4</v>
      </c>
      <c r="Z151" s="37"/>
      <c r="AA151" s="34"/>
      <c r="AB151" s="37">
        <f>1683/1</f>
        <v>1683</v>
      </c>
      <c r="AC151" s="34"/>
      <c r="AD151" s="37">
        <v>10</v>
      </c>
      <c r="AE151" s="37">
        <v>12.2</v>
      </c>
      <c r="AF151" s="31">
        <v>20</v>
      </c>
      <c r="AG151" s="37">
        <f>2236.3/1000</f>
        <v>2.2363000000000004</v>
      </c>
      <c r="AH151" s="37">
        <f>78.3/1000</f>
        <v>7.8299999999999995E-2</v>
      </c>
      <c r="AI151" s="37"/>
      <c r="AJ151" s="37">
        <v>50</v>
      </c>
      <c r="AK151" s="37">
        <v>50</v>
      </c>
      <c r="AL151" s="37"/>
      <c r="AM151" s="37"/>
      <c r="AN151" s="37">
        <f>62.8/1000</f>
        <v>6.2799999999999995E-2</v>
      </c>
      <c r="AO151" s="68">
        <f t="shared" si="2"/>
        <v>3.518518518518518E-2</v>
      </c>
    </row>
    <row r="152" spans="1:41" x14ac:dyDescent="0.2">
      <c r="A152" s="8"/>
      <c r="B152" s="23">
        <v>41758</v>
      </c>
      <c r="C152" s="78" t="s">
        <v>14</v>
      </c>
      <c r="D152" s="34"/>
      <c r="E152" s="34"/>
      <c r="F152" s="34"/>
      <c r="G152" s="34"/>
      <c r="H152" s="34"/>
      <c r="I152" s="37">
        <v>1</v>
      </c>
      <c r="J152" s="37">
        <v>0.15</v>
      </c>
      <c r="K152" s="37">
        <v>25</v>
      </c>
      <c r="L152" s="37"/>
      <c r="M152" s="37"/>
      <c r="N152" s="34"/>
      <c r="O152" s="34"/>
      <c r="P152" s="34"/>
      <c r="Q152" s="37">
        <v>0.05</v>
      </c>
      <c r="R152" s="37">
        <v>0</v>
      </c>
      <c r="S152" s="48">
        <v>4.0000000000000001E-3</v>
      </c>
      <c r="T152" s="37"/>
      <c r="U152" s="37"/>
      <c r="V152" s="37"/>
      <c r="W152" s="37"/>
      <c r="X152" s="37">
        <v>8.1300000000000008</v>
      </c>
      <c r="Y152" s="37">
        <v>6</v>
      </c>
      <c r="Z152" s="37"/>
      <c r="AA152" s="34"/>
      <c r="AB152" s="37">
        <v>1334.3</v>
      </c>
      <c r="AC152" s="34"/>
      <c r="AD152" s="37">
        <v>10</v>
      </c>
      <c r="AE152" s="37">
        <v>15.5</v>
      </c>
      <c r="AF152" s="31">
        <v>20</v>
      </c>
      <c r="AG152" s="37">
        <f>1894.2/1000</f>
        <v>1.8942000000000001</v>
      </c>
      <c r="AH152" s="37">
        <f>28.8/1000</f>
        <v>2.8799999999999999E-2</v>
      </c>
      <c r="AI152" s="37"/>
      <c r="AJ152" s="37">
        <v>50</v>
      </c>
      <c r="AK152" s="37">
        <v>50</v>
      </c>
      <c r="AL152" s="37"/>
      <c r="AM152" s="37"/>
      <c r="AN152" s="37">
        <f>54.7/1000</f>
        <v>5.4700000000000006E-2</v>
      </c>
      <c r="AO152" s="68">
        <f t="shared" si="2"/>
        <v>6.0000000000000001E-3</v>
      </c>
    </row>
    <row r="153" spans="1:41" x14ac:dyDescent="0.2">
      <c r="A153" s="10"/>
      <c r="B153" s="23">
        <v>41835</v>
      </c>
      <c r="C153" s="27" t="s">
        <v>9</v>
      </c>
      <c r="D153" s="34"/>
      <c r="E153" s="34"/>
      <c r="F153" s="34"/>
      <c r="G153" s="34"/>
      <c r="H153" s="34"/>
      <c r="I153" s="37"/>
      <c r="J153" s="37">
        <v>0.4</v>
      </c>
      <c r="K153" s="37">
        <v>25</v>
      </c>
      <c r="L153" s="37"/>
      <c r="M153" s="37"/>
      <c r="N153" s="34"/>
      <c r="O153" s="34"/>
      <c r="P153" s="34"/>
      <c r="Q153" s="37"/>
      <c r="R153" s="37"/>
      <c r="S153" s="37"/>
      <c r="T153" s="37"/>
      <c r="U153" s="37"/>
      <c r="V153" s="37"/>
      <c r="W153" s="37"/>
      <c r="X153" s="37">
        <v>8.27</v>
      </c>
      <c r="Y153" s="37"/>
      <c r="Z153" s="37"/>
      <c r="AA153" s="34"/>
      <c r="AB153" s="37"/>
      <c r="AC153" s="34"/>
      <c r="AD153" s="37">
        <v>10</v>
      </c>
      <c r="AE153" s="37">
        <v>10</v>
      </c>
      <c r="AF153" s="31">
        <v>20</v>
      </c>
      <c r="AG153" s="37">
        <f>216/1000</f>
        <v>0.216</v>
      </c>
      <c r="AH153" s="37"/>
      <c r="AI153" s="37"/>
      <c r="AJ153" s="37">
        <v>50</v>
      </c>
      <c r="AK153" s="37">
        <v>50</v>
      </c>
      <c r="AL153" s="37"/>
      <c r="AM153" s="37"/>
      <c r="AN153" s="37">
        <f>59.5/1000</f>
        <v>5.9499999999999997E-2</v>
      </c>
      <c r="AO153" s="68">
        <f t="shared" si="2"/>
        <v>1.6E-2</v>
      </c>
    </row>
    <row r="154" spans="1:41" x14ac:dyDescent="0.2">
      <c r="A154" s="9"/>
      <c r="B154" s="23">
        <v>41835</v>
      </c>
      <c r="C154" s="74" t="s">
        <v>10</v>
      </c>
      <c r="D154" s="34"/>
      <c r="E154" s="34"/>
      <c r="F154" s="34"/>
      <c r="G154" s="34"/>
      <c r="H154" s="34"/>
      <c r="I154" s="37"/>
      <c r="J154" s="37">
        <v>0.5</v>
      </c>
      <c r="K154" s="37">
        <v>25</v>
      </c>
      <c r="L154" s="37"/>
      <c r="M154" s="37"/>
      <c r="N154" s="34"/>
      <c r="O154" s="34"/>
      <c r="P154" s="34"/>
      <c r="Q154" s="37"/>
      <c r="R154" s="37"/>
      <c r="S154" s="37"/>
      <c r="T154" s="37"/>
      <c r="U154" s="37"/>
      <c r="V154" s="37"/>
      <c r="W154" s="37"/>
      <c r="X154" s="37">
        <v>8.2899999999999991</v>
      </c>
      <c r="Y154" s="37"/>
      <c r="Z154" s="37"/>
      <c r="AA154" s="34"/>
      <c r="AB154" s="37"/>
      <c r="AC154" s="34"/>
      <c r="AD154" s="37">
        <v>10</v>
      </c>
      <c r="AE154" s="37">
        <v>10</v>
      </c>
      <c r="AF154" s="31">
        <v>20</v>
      </c>
      <c r="AG154" s="37">
        <f>206.4/1000</f>
        <v>0.2064</v>
      </c>
      <c r="AH154" s="37"/>
      <c r="AI154" s="37"/>
      <c r="AJ154" s="37">
        <v>50</v>
      </c>
      <c r="AK154" s="37">
        <v>50</v>
      </c>
      <c r="AL154" s="37"/>
      <c r="AM154" s="37"/>
      <c r="AN154" s="37">
        <f>75.1/1000</f>
        <v>7.51E-2</v>
      </c>
      <c r="AO154" s="68">
        <f t="shared" si="2"/>
        <v>0.02</v>
      </c>
    </row>
    <row r="155" spans="1:41" x14ac:dyDescent="0.2">
      <c r="A155" s="8"/>
      <c r="B155" s="23">
        <v>41835</v>
      </c>
      <c r="C155" s="75" t="s">
        <v>11</v>
      </c>
      <c r="D155" s="34"/>
      <c r="E155" s="34"/>
      <c r="F155" s="34"/>
      <c r="G155" s="34"/>
      <c r="H155" s="34"/>
      <c r="I155" s="37"/>
      <c r="J155" s="37">
        <v>0.35</v>
      </c>
      <c r="K155" s="37">
        <v>25</v>
      </c>
      <c r="L155" s="37"/>
      <c r="M155" s="37"/>
      <c r="N155" s="34"/>
      <c r="O155" s="34"/>
      <c r="P155" s="34"/>
      <c r="Q155" s="37"/>
      <c r="R155" s="37"/>
      <c r="S155" s="37"/>
      <c r="T155" s="37"/>
      <c r="U155" s="37"/>
      <c r="V155" s="37"/>
      <c r="W155" s="37"/>
      <c r="X155" s="37">
        <v>8.41</v>
      </c>
      <c r="Y155" s="37"/>
      <c r="Z155" s="37"/>
      <c r="AA155" s="34"/>
      <c r="AB155" s="37"/>
      <c r="AC155" s="34"/>
      <c r="AD155" s="37">
        <v>10</v>
      </c>
      <c r="AE155" s="37">
        <v>10</v>
      </c>
      <c r="AF155" s="31">
        <v>20</v>
      </c>
      <c r="AG155" s="37">
        <f>186.3/1000</f>
        <v>0.18630000000000002</v>
      </c>
      <c r="AH155" s="37"/>
      <c r="AI155" s="37"/>
      <c r="AJ155" s="37">
        <v>50</v>
      </c>
      <c r="AK155" s="37">
        <v>50</v>
      </c>
      <c r="AL155" s="37"/>
      <c r="AM155" s="37"/>
      <c r="AN155" s="37">
        <f>50/1000</f>
        <v>0.05</v>
      </c>
      <c r="AO155" s="68">
        <f t="shared" si="2"/>
        <v>1.3999999999999999E-2</v>
      </c>
    </row>
    <row r="156" spans="1:41" x14ac:dyDescent="0.2">
      <c r="A156" s="8"/>
      <c r="B156" s="23">
        <v>41835</v>
      </c>
      <c r="C156" s="76" t="s">
        <v>12</v>
      </c>
      <c r="D156" s="34"/>
      <c r="E156" s="34"/>
      <c r="F156" s="34"/>
      <c r="G156" s="34"/>
      <c r="H156" s="34"/>
      <c r="I156" s="37"/>
      <c r="J156" s="37">
        <v>0.95</v>
      </c>
      <c r="K156" s="37">
        <v>25</v>
      </c>
      <c r="L156" s="37"/>
      <c r="M156" s="37"/>
      <c r="N156" s="34"/>
      <c r="O156" s="34"/>
      <c r="P156" s="34"/>
      <c r="Q156" s="37"/>
      <c r="R156" s="37"/>
      <c r="S156" s="37"/>
      <c r="T156" s="37"/>
      <c r="U156" s="37"/>
      <c r="V156" s="37"/>
      <c r="W156" s="37"/>
      <c r="X156" s="37">
        <v>8.52</v>
      </c>
      <c r="Y156" s="37"/>
      <c r="Z156" s="37"/>
      <c r="AA156" s="34"/>
      <c r="AB156" s="37"/>
      <c r="AC156" s="34"/>
      <c r="AD156" s="37">
        <v>10</v>
      </c>
      <c r="AE156" s="37">
        <v>96.7</v>
      </c>
      <c r="AF156" s="31">
        <v>20</v>
      </c>
      <c r="AG156" s="37">
        <f>305.4/1000</f>
        <v>0.3054</v>
      </c>
      <c r="AH156" s="37"/>
      <c r="AI156" s="37"/>
      <c r="AJ156" s="37">
        <v>50</v>
      </c>
      <c r="AK156" s="37">
        <v>50</v>
      </c>
      <c r="AL156" s="37"/>
      <c r="AM156" s="37"/>
      <c r="AN156" s="37">
        <f>50/1000</f>
        <v>0.05</v>
      </c>
      <c r="AO156" s="68">
        <f t="shared" si="2"/>
        <v>3.7999999999999999E-2</v>
      </c>
    </row>
    <row r="157" spans="1:41" x14ac:dyDescent="0.2">
      <c r="A157" s="8"/>
      <c r="B157" s="23">
        <v>41835</v>
      </c>
      <c r="C157" s="77" t="s">
        <v>13</v>
      </c>
      <c r="D157" s="34"/>
      <c r="E157" s="34"/>
      <c r="F157" s="34"/>
      <c r="G157" s="34"/>
      <c r="H157" s="34"/>
      <c r="I157" s="37"/>
      <c r="J157" s="37">
        <v>0.6</v>
      </c>
      <c r="K157" s="37">
        <v>25</v>
      </c>
      <c r="L157" s="37"/>
      <c r="M157" s="37"/>
      <c r="N157" s="34"/>
      <c r="O157" s="34"/>
      <c r="P157" s="34"/>
      <c r="Q157" s="37"/>
      <c r="R157" s="37"/>
      <c r="S157" s="37"/>
      <c r="T157" s="37"/>
      <c r="U157" s="37"/>
      <c r="V157" s="37"/>
      <c r="W157" s="37"/>
      <c r="X157" s="37">
        <v>8.4</v>
      </c>
      <c r="Y157" s="37"/>
      <c r="Z157" s="37"/>
      <c r="AA157" s="34"/>
      <c r="AB157" s="37"/>
      <c r="AC157" s="34"/>
      <c r="AD157" s="37">
        <v>10</v>
      </c>
      <c r="AE157" s="37">
        <v>10</v>
      </c>
      <c r="AF157" s="31">
        <v>20</v>
      </c>
      <c r="AG157" s="37">
        <f>697.3/1000</f>
        <v>0.69729999999999992</v>
      </c>
      <c r="AH157" s="37"/>
      <c r="AI157" s="37"/>
      <c r="AJ157" s="37">
        <v>50</v>
      </c>
      <c r="AK157" s="37">
        <v>50</v>
      </c>
      <c r="AL157" s="37"/>
      <c r="AM157" s="37"/>
      <c r="AN157" s="37">
        <f>50/1000</f>
        <v>0.05</v>
      </c>
      <c r="AO157" s="68">
        <f t="shared" si="2"/>
        <v>2.4E-2</v>
      </c>
    </row>
    <row r="158" spans="1:41" x14ac:dyDescent="0.2">
      <c r="A158" s="8"/>
      <c r="B158" s="23">
        <v>41835</v>
      </c>
      <c r="C158" s="78" t="s">
        <v>14</v>
      </c>
      <c r="D158" s="34"/>
      <c r="E158" s="34"/>
      <c r="F158" s="34"/>
      <c r="G158" s="34"/>
      <c r="H158" s="34"/>
      <c r="I158" s="37"/>
      <c r="J158" s="37">
        <v>0.4</v>
      </c>
      <c r="K158" s="37">
        <v>25</v>
      </c>
      <c r="L158" s="37"/>
      <c r="M158" s="37"/>
      <c r="N158" s="34"/>
      <c r="O158" s="34"/>
      <c r="P158" s="34"/>
      <c r="Q158" s="37"/>
      <c r="R158" s="37"/>
      <c r="S158" s="37"/>
      <c r="T158" s="37"/>
      <c r="U158" s="37"/>
      <c r="V158" s="37"/>
      <c r="W158" s="37"/>
      <c r="X158" s="37">
        <v>8.02</v>
      </c>
      <c r="Y158" s="37"/>
      <c r="Z158" s="37"/>
      <c r="AA158" s="34"/>
      <c r="AB158" s="37"/>
      <c r="AC158" s="34"/>
      <c r="AD158" s="37">
        <v>10</v>
      </c>
      <c r="AE158" s="37">
        <v>10</v>
      </c>
      <c r="AF158" s="31">
        <v>20</v>
      </c>
      <c r="AG158" s="37">
        <f>130.9/1000</f>
        <v>0.13090000000000002</v>
      </c>
      <c r="AH158" s="37"/>
      <c r="AI158" s="37"/>
      <c r="AJ158" s="37">
        <v>50</v>
      </c>
      <c r="AK158" s="37">
        <v>50</v>
      </c>
      <c r="AL158" s="37"/>
      <c r="AM158" s="37"/>
      <c r="AN158" s="37">
        <f>50/1000</f>
        <v>0.05</v>
      </c>
      <c r="AO158" s="68">
        <f t="shared" si="2"/>
        <v>1.6E-2</v>
      </c>
    </row>
    <row r="159" spans="1:41" x14ac:dyDescent="0.2">
      <c r="A159" s="10">
        <v>2015</v>
      </c>
      <c r="B159" s="23">
        <v>42031</v>
      </c>
      <c r="C159" s="27" t="s">
        <v>9</v>
      </c>
      <c r="D159" s="34"/>
      <c r="E159" s="34"/>
      <c r="F159" s="34"/>
      <c r="G159" s="34"/>
      <c r="H159" s="34"/>
      <c r="I159" s="37"/>
      <c r="J159" s="37">
        <v>1.05</v>
      </c>
      <c r="K159" s="37">
        <v>34</v>
      </c>
      <c r="L159" s="37"/>
      <c r="M159" s="37"/>
      <c r="N159" s="34"/>
      <c r="O159" s="34"/>
      <c r="P159" s="34"/>
      <c r="Q159" s="37"/>
      <c r="R159" s="37"/>
      <c r="S159" s="37"/>
      <c r="T159" s="37"/>
      <c r="U159" s="37"/>
      <c r="V159" s="37"/>
      <c r="W159" s="37"/>
      <c r="X159" s="37">
        <v>8.74</v>
      </c>
      <c r="Y159" s="37"/>
      <c r="Z159" s="37"/>
      <c r="AA159" s="34"/>
      <c r="AB159" s="37"/>
      <c r="AC159" s="34"/>
      <c r="AD159" s="37">
        <v>10</v>
      </c>
      <c r="AE159" s="37">
        <v>18.3</v>
      </c>
      <c r="AF159" s="31">
        <v>20</v>
      </c>
      <c r="AG159" s="37">
        <f>2698.3/1000</f>
        <v>2.6983000000000001</v>
      </c>
      <c r="AH159" s="37"/>
      <c r="AI159" s="37"/>
      <c r="AJ159" s="37">
        <v>50</v>
      </c>
      <c r="AK159" s="37">
        <v>50</v>
      </c>
      <c r="AL159" s="37"/>
      <c r="AM159" s="37"/>
      <c r="AN159" s="37">
        <f>267.6/1000</f>
        <v>0.2676</v>
      </c>
      <c r="AO159" s="68">
        <f t="shared" si="2"/>
        <v>3.0882352941176472E-2</v>
      </c>
    </row>
    <row r="160" spans="1:41" x14ac:dyDescent="0.2">
      <c r="A160" s="9"/>
      <c r="B160" s="23">
        <v>42031</v>
      </c>
      <c r="C160" s="74" t="s">
        <v>10</v>
      </c>
      <c r="D160" s="34"/>
      <c r="E160" s="34"/>
      <c r="F160" s="34"/>
      <c r="G160" s="34"/>
      <c r="H160" s="34"/>
      <c r="I160" s="37"/>
      <c r="J160" s="37">
        <v>1.1000000000000001</v>
      </c>
      <c r="K160" s="37">
        <v>36</v>
      </c>
      <c r="L160" s="37"/>
      <c r="M160" s="37"/>
      <c r="N160" s="34"/>
      <c r="O160" s="34"/>
      <c r="P160" s="34"/>
      <c r="Q160" s="37"/>
      <c r="R160" s="37"/>
      <c r="S160" s="37"/>
      <c r="T160" s="37"/>
      <c r="U160" s="37"/>
      <c r="V160" s="37"/>
      <c r="W160" s="37"/>
      <c r="X160" s="37">
        <v>8.7200000000000006</v>
      </c>
      <c r="Y160" s="37"/>
      <c r="Z160" s="37"/>
      <c r="AA160" s="34"/>
      <c r="AB160" s="37"/>
      <c r="AC160" s="34"/>
      <c r="AD160" s="37">
        <v>10</v>
      </c>
      <c r="AE160" s="37">
        <v>10.3</v>
      </c>
      <c r="AF160" s="31">
        <v>20</v>
      </c>
      <c r="AG160" s="37">
        <f>2653.2/1000</f>
        <v>2.6532</v>
      </c>
      <c r="AH160" s="37"/>
      <c r="AI160" s="37"/>
      <c r="AJ160" s="37">
        <v>50</v>
      </c>
      <c r="AK160" s="37">
        <v>50</v>
      </c>
      <c r="AL160" s="37"/>
      <c r="AM160" s="37"/>
      <c r="AN160" s="37">
        <f>50.4/1000</f>
        <v>5.04E-2</v>
      </c>
      <c r="AO160" s="68">
        <f t="shared" si="2"/>
        <v>3.0555555555555558E-2</v>
      </c>
    </row>
    <row r="161" spans="1:41" x14ac:dyDescent="0.2">
      <c r="A161" s="8"/>
      <c r="B161" s="23">
        <v>42031</v>
      </c>
      <c r="C161" s="75" t="s">
        <v>11</v>
      </c>
      <c r="D161" s="34"/>
      <c r="E161" s="34"/>
      <c r="F161" s="34"/>
      <c r="G161" s="34"/>
      <c r="H161" s="34"/>
      <c r="I161" s="37"/>
      <c r="J161" s="37">
        <v>1.1000000000000001</v>
      </c>
      <c r="K161" s="37">
        <v>32</v>
      </c>
      <c r="L161" s="37"/>
      <c r="M161" s="37"/>
      <c r="N161" s="34"/>
      <c r="O161" s="34"/>
      <c r="P161" s="34"/>
      <c r="Q161" s="37"/>
      <c r="R161" s="37"/>
      <c r="S161" s="37"/>
      <c r="T161" s="37"/>
      <c r="U161" s="37"/>
      <c r="V161" s="37"/>
      <c r="W161" s="37"/>
      <c r="X161" s="37">
        <v>8.81</v>
      </c>
      <c r="Y161" s="37"/>
      <c r="Z161" s="37"/>
      <c r="AA161" s="34"/>
      <c r="AB161" s="37"/>
      <c r="AC161" s="34"/>
      <c r="AD161" s="37">
        <v>10</v>
      </c>
      <c r="AE161" s="37">
        <v>13.3</v>
      </c>
      <c r="AF161" s="31">
        <v>20</v>
      </c>
      <c r="AG161" s="37">
        <f>3498/1000</f>
        <v>3.4980000000000002</v>
      </c>
      <c r="AH161" s="37"/>
      <c r="AI161" s="37"/>
      <c r="AJ161" s="37">
        <v>50</v>
      </c>
      <c r="AK161" s="37">
        <v>50</v>
      </c>
      <c r="AL161" s="37"/>
      <c r="AM161" s="37"/>
      <c r="AN161" s="37">
        <f>147.7/1000</f>
        <v>0.1477</v>
      </c>
      <c r="AO161" s="68">
        <f t="shared" si="2"/>
        <v>3.4375000000000003E-2</v>
      </c>
    </row>
    <row r="162" spans="1:41" x14ac:dyDescent="0.2">
      <c r="A162" s="8"/>
      <c r="B162" s="23">
        <v>42031</v>
      </c>
      <c r="C162" s="76" t="s">
        <v>12</v>
      </c>
      <c r="D162" s="34"/>
      <c r="E162" s="34"/>
      <c r="F162" s="34"/>
      <c r="G162" s="34"/>
      <c r="H162" s="34"/>
      <c r="I162" s="37"/>
      <c r="J162" s="37">
        <v>4.0999999999999996</v>
      </c>
      <c r="K162" s="37">
        <v>45</v>
      </c>
      <c r="L162" s="37"/>
      <c r="M162" s="37"/>
      <c r="N162" s="34"/>
      <c r="O162" s="34"/>
      <c r="P162" s="34"/>
      <c r="Q162" s="37"/>
      <c r="R162" s="37"/>
      <c r="S162" s="37"/>
      <c r="T162" s="37"/>
      <c r="U162" s="37"/>
      <c r="V162" s="37"/>
      <c r="W162" s="37"/>
      <c r="X162" s="37">
        <v>8.61</v>
      </c>
      <c r="Y162" s="37"/>
      <c r="Z162" s="37"/>
      <c r="AA162" s="34"/>
      <c r="AB162" s="37"/>
      <c r="AC162" s="34"/>
      <c r="AD162" s="37">
        <v>10</v>
      </c>
      <c r="AE162" s="37">
        <v>77.099999999999994</v>
      </c>
      <c r="AF162" s="37">
        <v>68.400000000000006</v>
      </c>
      <c r="AG162" s="37">
        <f>51557/1000</f>
        <v>51.557000000000002</v>
      </c>
      <c r="AH162" s="37"/>
      <c r="AI162" s="37"/>
      <c r="AJ162" s="37">
        <v>62.7</v>
      </c>
      <c r="AK162" s="37">
        <v>50</v>
      </c>
      <c r="AL162" s="37"/>
      <c r="AM162" s="37"/>
      <c r="AN162" s="37">
        <f>202.2/1000</f>
        <v>0.20219999999999999</v>
      </c>
      <c r="AO162" s="68">
        <f t="shared" si="2"/>
        <v>9.1111111111111101E-2</v>
      </c>
    </row>
    <row r="163" spans="1:41" x14ac:dyDescent="0.2">
      <c r="A163" s="8"/>
      <c r="B163" s="23">
        <v>42031</v>
      </c>
      <c r="C163" s="77" t="s">
        <v>13</v>
      </c>
      <c r="D163" s="34"/>
      <c r="E163" s="34"/>
      <c r="F163" s="34"/>
      <c r="G163" s="34"/>
      <c r="H163" s="34"/>
      <c r="I163" s="37"/>
      <c r="J163" s="37">
        <v>0.7</v>
      </c>
      <c r="K163" s="37">
        <v>29</v>
      </c>
      <c r="L163" s="37"/>
      <c r="M163" s="37"/>
      <c r="N163" s="34"/>
      <c r="O163" s="34"/>
      <c r="P163" s="34"/>
      <c r="Q163" s="37"/>
      <c r="R163" s="37"/>
      <c r="S163" s="37"/>
      <c r="T163" s="37"/>
      <c r="U163" s="37"/>
      <c r="V163" s="37"/>
      <c r="W163" s="37"/>
      <c r="X163" s="37">
        <v>8.77</v>
      </c>
      <c r="Y163" s="37"/>
      <c r="Z163" s="37"/>
      <c r="AA163" s="34"/>
      <c r="AB163" s="37"/>
      <c r="AC163" s="34"/>
      <c r="AD163" s="37">
        <v>10</v>
      </c>
      <c r="AE163" s="37">
        <v>11.1</v>
      </c>
      <c r="AF163" s="31">
        <v>20</v>
      </c>
      <c r="AG163" s="37">
        <f>5128.2/1000</f>
        <v>5.1281999999999996</v>
      </c>
      <c r="AH163" s="37"/>
      <c r="AI163" s="37"/>
      <c r="AJ163" s="37">
        <v>50</v>
      </c>
      <c r="AK163" s="37">
        <v>50</v>
      </c>
      <c r="AL163" s="37"/>
      <c r="AM163" s="37"/>
      <c r="AN163" s="37">
        <f>31.1/1000</f>
        <v>3.1100000000000003E-2</v>
      </c>
      <c r="AO163" s="68">
        <f t="shared" si="2"/>
        <v>2.4137931034482758E-2</v>
      </c>
    </row>
    <row r="164" spans="1:41" x14ac:dyDescent="0.2">
      <c r="A164" s="8"/>
      <c r="B164" s="23">
        <v>42031</v>
      </c>
      <c r="C164" s="78" t="s">
        <v>14</v>
      </c>
      <c r="D164" s="34"/>
      <c r="E164" s="34"/>
      <c r="F164" s="34"/>
      <c r="G164" s="34"/>
      <c r="H164" s="34"/>
      <c r="I164" s="37"/>
      <c r="J164" s="37">
        <v>0.5</v>
      </c>
      <c r="K164" s="37">
        <v>25</v>
      </c>
      <c r="L164" s="37"/>
      <c r="M164" s="37"/>
      <c r="N164" s="34"/>
      <c r="O164" s="34"/>
      <c r="P164" s="34"/>
      <c r="Q164" s="37"/>
      <c r="R164" s="37"/>
      <c r="S164" s="37"/>
      <c r="T164" s="37"/>
      <c r="U164" s="37"/>
      <c r="V164" s="37"/>
      <c r="W164" s="37"/>
      <c r="X164" s="37">
        <v>8.7799999999999994</v>
      </c>
      <c r="Y164" s="37"/>
      <c r="Z164" s="37"/>
      <c r="AA164" s="34"/>
      <c r="AB164" s="37"/>
      <c r="AC164" s="34"/>
      <c r="AD164" s="37">
        <v>10</v>
      </c>
      <c r="AE164" s="37">
        <v>63.5</v>
      </c>
      <c r="AF164" s="37">
        <v>85.9</v>
      </c>
      <c r="AG164" s="37">
        <f>44550/1000</f>
        <v>44.55</v>
      </c>
      <c r="AH164" s="37"/>
      <c r="AI164" s="37"/>
      <c r="AJ164" s="37">
        <v>54.5</v>
      </c>
      <c r="AK164" s="37">
        <v>50</v>
      </c>
      <c r="AL164" s="37"/>
      <c r="AM164" s="37"/>
      <c r="AN164" s="37">
        <f>126.4/1000</f>
        <v>0.12640000000000001</v>
      </c>
      <c r="AO164" s="68">
        <f t="shared" si="2"/>
        <v>0.02</v>
      </c>
    </row>
    <row r="165" spans="1:41" x14ac:dyDescent="0.2">
      <c r="A165" s="10"/>
      <c r="B165" s="23">
        <v>42094</v>
      </c>
      <c r="C165" s="27" t="s">
        <v>9</v>
      </c>
      <c r="D165" s="34"/>
      <c r="E165" s="34"/>
      <c r="F165" s="34"/>
      <c r="G165" s="34"/>
      <c r="H165" s="34"/>
      <c r="I165" s="37">
        <v>1</v>
      </c>
      <c r="J165" s="37">
        <v>1.25</v>
      </c>
      <c r="K165" s="41">
        <v>40</v>
      </c>
      <c r="L165" s="37"/>
      <c r="M165" s="37"/>
      <c r="N165" s="34"/>
      <c r="O165" s="34"/>
      <c r="P165" s="34"/>
      <c r="Q165" s="37">
        <v>0.13</v>
      </c>
      <c r="R165" s="37">
        <v>7.0000000000000007E-2</v>
      </c>
      <c r="S165" s="48">
        <v>2E-3</v>
      </c>
      <c r="T165" s="37"/>
      <c r="U165" s="37"/>
      <c r="V165" s="37"/>
      <c r="W165" s="37"/>
      <c r="X165" s="37">
        <v>8.09</v>
      </c>
      <c r="Y165" s="37">
        <v>34</v>
      </c>
      <c r="Z165" s="37"/>
      <c r="AA165" s="34"/>
      <c r="AB165" s="37">
        <v>4583.7</v>
      </c>
      <c r="AC165" s="34"/>
      <c r="AD165" s="37">
        <v>10</v>
      </c>
      <c r="AE165" s="37">
        <v>13.4</v>
      </c>
      <c r="AF165" s="37">
        <v>20</v>
      </c>
      <c r="AG165" s="37">
        <f>4648.6/1000</f>
        <v>4.6486000000000001</v>
      </c>
      <c r="AH165" s="37">
        <f>83.8/1000</f>
        <v>8.3799999999999999E-2</v>
      </c>
      <c r="AI165" s="37"/>
      <c r="AJ165" s="37">
        <v>50</v>
      </c>
      <c r="AK165" s="37">
        <v>50</v>
      </c>
      <c r="AL165" s="37"/>
      <c r="AM165" s="37"/>
      <c r="AN165" s="37">
        <f>38.6/1000</f>
        <v>3.8600000000000002E-2</v>
      </c>
      <c r="AO165" s="68">
        <f t="shared" si="2"/>
        <v>3.125E-2</v>
      </c>
    </row>
    <row r="166" spans="1:41" x14ac:dyDescent="0.2">
      <c r="A166" s="9"/>
      <c r="B166" s="22">
        <v>42094</v>
      </c>
      <c r="C166" s="74" t="s">
        <v>10</v>
      </c>
      <c r="D166" s="34"/>
      <c r="E166" s="34"/>
      <c r="F166" s="34"/>
      <c r="G166" s="34"/>
      <c r="H166" s="34"/>
      <c r="I166" s="37">
        <v>1</v>
      </c>
      <c r="J166" s="37">
        <v>0.4</v>
      </c>
      <c r="K166" s="41">
        <v>44</v>
      </c>
      <c r="L166" s="37"/>
      <c r="M166" s="37"/>
      <c r="N166" s="34"/>
      <c r="O166" s="34"/>
      <c r="P166" s="34"/>
      <c r="Q166" s="37">
        <v>0.12</v>
      </c>
      <c r="R166" s="37">
        <v>0.21</v>
      </c>
      <c r="S166" s="48">
        <v>2E-3</v>
      </c>
      <c r="T166" s="37"/>
      <c r="U166" s="37"/>
      <c r="V166" s="37"/>
      <c r="W166" s="37"/>
      <c r="X166" s="37">
        <v>8.31</v>
      </c>
      <c r="Y166" s="37">
        <v>2.4</v>
      </c>
      <c r="Z166" s="37"/>
      <c r="AA166" s="34"/>
      <c r="AB166" s="37">
        <v>4760.8</v>
      </c>
      <c r="AC166" s="34"/>
      <c r="AD166" s="37">
        <v>10</v>
      </c>
      <c r="AE166" s="37">
        <v>12.3</v>
      </c>
      <c r="AF166" s="37">
        <v>20</v>
      </c>
      <c r="AG166" s="37">
        <f>4742.1/1000</f>
        <v>4.7421000000000006</v>
      </c>
      <c r="AH166" s="37">
        <f>91.4/1000</f>
        <v>9.1400000000000009E-2</v>
      </c>
      <c r="AI166" s="37"/>
      <c r="AJ166" s="37">
        <v>50</v>
      </c>
      <c r="AK166" s="37">
        <v>50</v>
      </c>
      <c r="AL166" s="37"/>
      <c r="AM166" s="37"/>
      <c r="AN166" s="37">
        <f>37.1/1000</f>
        <v>3.7100000000000001E-2</v>
      </c>
      <c r="AO166" s="68">
        <f t="shared" si="2"/>
        <v>9.0909090909090922E-3</v>
      </c>
    </row>
    <row r="167" spans="1:41" x14ac:dyDescent="0.2">
      <c r="A167" s="8"/>
      <c r="B167" s="22">
        <v>42094</v>
      </c>
      <c r="C167" s="75" t="s">
        <v>11</v>
      </c>
      <c r="D167" s="34"/>
      <c r="E167" s="34"/>
      <c r="F167" s="34"/>
      <c r="G167" s="34"/>
      <c r="H167" s="34"/>
      <c r="I167" s="37">
        <v>1</v>
      </c>
      <c r="J167" s="37">
        <v>0.55000000000000004</v>
      </c>
      <c r="K167" s="37">
        <v>26</v>
      </c>
      <c r="L167" s="37"/>
      <c r="M167" s="37"/>
      <c r="N167" s="34"/>
      <c r="O167" s="34"/>
      <c r="P167" s="34"/>
      <c r="Q167" s="37">
        <v>0.23</v>
      </c>
      <c r="R167" s="37">
        <v>0.08</v>
      </c>
      <c r="S167" s="48">
        <v>2E-3</v>
      </c>
      <c r="T167" s="37"/>
      <c r="U167" s="37"/>
      <c r="V167" s="37"/>
      <c r="W167" s="37"/>
      <c r="X167" s="37">
        <v>8.3000000000000007</v>
      </c>
      <c r="Y167" s="37">
        <v>6</v>
      </c>
      <c r="Z167" s="37"/>
      <c r="AA167" s="34"/>
      <c r="AB167" s="37">
        <v>9566.7000000000007</v>
      </c>
      <c r="AC167" s="34"/>
      <c r="AD167" s="37">
        <v>10</v>
      </c>
      <c r="AE167" s="37">
        <v>36.700000000000003</v>
      </c>
      <c r="AF167" s="31">
        <v>20</v>
      </c>
      <c r="AG167" s="37">
        <f>9909.9/1000</f>
        <v>9.9099000000000004</v>
      </c>
      <c r="AH167" s="37">
        <f>152.7/1000</f>
        <v>0.1527</v>
      </c>
      <c r="AI167" s="37"/>
      <c r="AJ167" s="37">
        <v>50</v>
      </c>
      <c r="AK167" s="37">
        <v>50</v>
      </c>
      <c r="AL167" s="37"/>
      <c r="AM167" s="37"/>
      <c r="AN167" s="37">
        <f>45.4/1000</f>
        <v>4.5399999999999996E-2</v>
      </c>
      <c r="AO167" s="68">
        <f t="shared" si="2"/>
        <v>2.1153846153846155E-2</v>
      </c>
    </row>
    <row r="168" spans="1:41" x14ac:dyDescent="0.2">
      <c r="A168" s="8"/>
      <c r="B168" s="22">
        <v>42094</v>
      </c>
      <c r="C168" s="76" t="s">
        <v>12</v>
      </c>
      <c r="D168" s="34"/>
      <c r="E168" s="34"/>
      <c r="F168" s="34"/>
      <c r="G168" s="34"/>
      <c r="H168" s="34"/>
      <c r="I168" s="37">
        <v>1</v>
      </c>
      <c r="J168" s="37">
        <v>0.55000000000000004</v>
      </c>
      <c r="K168" s="37">
        <v>37</v>
      </c>
      <c r="L168" s="37"/>
      <c r="M168" s="37"/>
      <c r="N168" s="34"/>
      <c r="O168" s="34"/>
      <c r="P168" s="34"/>
      <c r="Q168" s="37">
        <v>0.28999999999999998</v>
      </c>
      <c r="R168" s="37">
        <v>0.09</v>
      </c>
      <c r="S168" s="48">
        <v>2E-3</v>
      </c>
      <c r="T168" s="37"/>
      <c r="U168" s="37"/>
      <c r="V168" s="37"/>
      <c r="W168" s="37"/>
      <c r="X168" s="37">
        <v>8.33</v>
      </c>
      <c r="Y168" s="37">
        <v>40.4</v>
      </c>
      <c r="Z168" s="37"/>
      <c r="AA168" s="34"/>
      <c r="AB168" s="37">
        <v>19096</v>
      </c>
      <c r="AC168" s="34"/>
      <c r="AD168" s="37">
        <v>10</v>
      </c>
      <c r="AE168" s="37">
        <v>28.9</v>
      </c>
      <c r="AF168" s="37">
        <v>28.8</v>
      </c>
      <c r="AG168" s="37">
        <f>21043/1000</f>
        <v>21.042999999999999</v>
      </c>
      <c r="AH168" s="37">
        <f>305.3/1000</f>
        <v>0.30530000000000002</v>
      </c>
      <c r="AI168" s="37"/>
      <c r="AJ168" s="37">
        <v>50</v>
      </c>
      <c r="AK168" s="37">
        <v>50</v>
      </c>
      <c r="AL168" s="37"/>
      <c r="AM168" s="37"/>
      <c r="AN168" s="37">
        <f>74/1000</f>
        <v>7.3999999999999996E-2</v>
      </c>
      <c r="AO168" s="68">
        <f t="shared" si="2"/>
        <v>1.4864864864864866E-2</v>
      </c>
    </row>
    <row r="169" spans="1:41" x14ac:dyDescent="0.2">
      <c r="A169" s="8"/>
      <c r="B169" s="22">
        <v>42094</v>
      </c>
      <c r="C169" s="77" t="s">
        <v>13</v>
      </c>
      <c r="D169" s="34"/>
      <c r="E169" s="34"/>
      <c r="F169" s="34"/>
      <c r="G169" s="34"/>
      <c r="H169" s="34"/>
      <c r="I169" s="37">
        <v>1</v>
      </c>
      <c r="J169" s="37">
        <v>0.45</v>
      </c>
      <c r="K169" s="37">
        <v>32</v>
      </c>
      <c r="L169" s="37"/>
      <c r="M169" s="37"/>
      <c r="N169" s="34"/>
      <c r="O169" s="34"/>
      <c r="P169" s="34"/>
      <c r="Q169" s="37">
        <v>0.14000000000000001</v>
      </c>
      <c r="R169" s="48">
        <v>7.0000000000000007E-2</v>
      </c>
      <c r="S169" s="48">
        <v>2E-3</v>
      </c>
      <c r="T169" s="37"/>
      <c r="U169" s="37"/>
      <c r="V169" s="37"/>
      <c r="W169" s="37"/>
      <c r="X169" s="37">
        <v>8.3000000000000007</v>
      </c>
      <c r="Y169" s="37">
        <v>8.4</v>
      </c>
      <c r="Z169" s="37"/>
      <c r="AA169" s="34"/>
      <c r="AB169" s="37">
        <v>9013.4</v>
      </c>
      <c r="AC169" s="34"/>
      <c r="AD169" s="37">
        <v>10</v>
      </c>
      <c r="AE169" s="37">
        <v>13.5</v>
      </c>
      <c r="AF169" s="31">
        <v>20</v>
      </c>
      <c r="AG169" s="37">
        <f>7759.4/1000</f>
        <v>7.7593999999999994</v>
      </c>
      <c r="AH169" s="37">
        <f>102.1/1000</f>
        <v>0.1021</v>
      </c>
      <c r="AI169" s="37"/>
      <c r="AJ169" s="37">
        <v>50</v>
      </c>
      <c r="AK169" s="37">
        <v>50</v>
      </c>
      <c r="AL169" s="37"/>
      <c r="AM169" s="37"/>
      <c r="AN169" s="37">
        <f>45.5/1000</f>
        <v>4.5499999999999999E-2</v>
      </c>
      <c r="AO169" s="68">
        <f t="shared" si="2"/>
        <v>1.40625E-2</v>
      </c>
    </row>
    <row r="170" spans="1:41" x14ac:dyDescent="0.2">
      <c r="A170" s="8"/>
      <c r="B170" s="22">
        <v>42094</v>
      </c>
      <c r="C170" s="78" t="s">
        <v>14</v>
      </c>
      <c r="D170" s="34"/>
      <c r="E170" s="34"/>
      <c r="F170" s="34"/>
      <c r="G170" s="34"/>
      <c r="H170" s="34"/>
      <c r="I170" s="37">
        <v>1</v>
      </c>
      <c r="J170" s="37">
        <v>0.1</v>
      </c>
      <c r="K170" s="37">
        <v>25</v>
      </c>
      <c r="L170" s="37"/>
      <c r="M170" s="37"/>
      <c r="N170" s="34"/>
      <c r="O170" s="34"/>
      <c r="P170" s="34"/>
      <c r="Q170" s="43">
        <v>0.1</v>
      </c>
      <c r="R170" s="48">
        <v>7.0000000000000007E-2</v>
      </c>
      <c r="S170" s="48">
        <v>2E-3</v>
      </c>
      <c r="T170" s="37"/>
      <c r="U170" s="37"/>
      <c r="V170" s="37"/>
      <c r="W170" s="37"/>
      <c r="X170" s="37">
        <v>8.3699999999999992</v>
      </c>
      <c r="Y170" s="37">
        <v>55.6</v>
      </c>
      <c r="Z170" s="37"/>
      <c r="AA170" s="34"/>
      <c r="AB170" s="37">
        <v>4251.5</v>
      </c>
      <c r="AC170" s="34"/>
      <c r="AD170" s="37">
        <v>10</v>
      </c>
      <c r="AE170" s="37">
        <v>10</v>
      </c>
      <c r="AF170" s="31">
        <v>20</v>
      </c>
      <c r="AG170" s="37">
        <f>5088.6/1000</f>
        <v>5.0886000000000005</v>
      </c>
      <c r="AH170" s="37">
        <f>55.2/1000</f>
        <v>5.5200000000000006E-2</v>
      </c>
      <c r="AI170" s="37"/>
      <c r="AJ170" s="37">
        <v>50</v>
      </c>
      <c r="AK170" s="37">
        <v>50</v>
      </c>
      <c r="AL170" s="37"/>
      <c r="AM170" s="37"/>
      <c r="AN170" s="37">
        <f>59.4/1000</f>
        <v>5.9400000000000001E-2</v>
      </c>
      <c r="AO170" s="68">
        <f t="shared" si="2"/>
        <v>4.0000000000000001E-3</v>
      </c>
    </row>
    <row r="171" spans="1:41" x14ac:dyDescent="0.2">
      <c r="A171" s="10"/>
      <c r="B171" s="22">
        <v>42192</v>
      </c>
      <c r="C171" s="27" t="s">
        <v>9</v>
      </c>
      <c r="D171" s="31"/>
      <c r="E171" s="31"/>
      <c r="F171" s="31"/>
      <c r="G171" s="31"/>
      <c r="H171" s="31"/>
      <c r="I171" s="37"/>
      <c r="J171" s="37">
        <v>0.6</v>
      </c>
      <c r="K171" s="37">
        <v>25</v>
      </c>
      <c r="L171" s="37"/>
      <c r="M171" s="37"/>
      <c r="N171" s="34"/>
      <c r="O171" s="34"/>
      <c r="P171" s="34"/>
      <c r="Q171" s="37"/>
      <c r="R171" s="37"/>
      <c r="S171" s="48"/>
      <c r="T171" s="37"/>
      <c r="U171" s="37"/>
      <c r="V171" s="37"/>
      <c r="W171" s="37"/>
      <c r="X171" s="37">
        <v>7.55</v>
      </c>
      <c r="Y171" s="37"/>
      <c r="Z171" s="37"/>
      <c r="AA171" s="34"/>
      <c r="AB171" s="37"/>
      <c r="AC171" s="34"/>
      <c r="AD171" s="37">
        <v>10</v>
      </c>
      <c r="AE171" s="37">
        <v>10</v>
      </c>
      <c r="AF171" s="37">
        <v>20</v>
      </c>
      <c r="AG171" s="37">
        <f>1785.3/1000</f>
        <v>1.7852999999999999</v>
      </c>
      <c r="AH171" s="37"/>
      <c r="AI171" s="37"/>
      <c r="AJ171" s="37">
        <v>50</v>
      </c>
      <c r="AK171" s="37">
        <v>50</v>
      </c>
      <c r="AL171" s="37"/>
      <c r="AM171" s="37"/>
      <c r="AN171" s="37">
        <f>20/1000</f>
        <v>0.02</v>
      </c>
      <c r="AO171" s="68">
        <f t="shared" si="2"/>
        <v>2.4E-2</v>
      </c>
    </row>
    <row r="172" spans="1:41" x14ac:dyDescent="0.2">
      <c r="A172" s="9"/>
      <c r="B172" s="21">
        <v>42192</v>
      </c>
      <c r="C172" s="74" t="s">
        <v>10</v>
      </c>
      <c r="D172" s="31"/>
      <c r="E172" s="31"/>
      <c r="F172" s="31"/>
      <c r="G172" s="31"/>
      <c r="H172" s="31"/>
      <c r="I172" s="37"/>
      <c r="J172" s="37">
        <v>0.65</v>
      </c>
      <c r="K172" s="37">
        <v>25</v>
      </c>
      <c r="L172" s="37"/>
      <c r="M172" s="37"/>
      <c r="N172" s="34"/>
      <c r="O172" s="34"/>
      <c r="P172" s="34"/>
      <c r="Q172" s="37"/>
      <c r="R172" s="37"/>
      <c r="S172" s="48"/>
      <c r="T172" s="37"/>
      <c r="U172" s="37"/>
      <c r="V172" s="37"/>
      <c r="W172" s="37"/>
      <c r="X172" s="37">
        <v>7.84</v>
      </c>
      <c r="Y172" s="37"/>
      <c r="Z172" s="37"/>
      <c r="AA172" s="34"/>
      <c r="AB172" s="37"/>
      <c r="AC172" s="34"/>
      <c r="AD172" s="37">
        <v>10</v>
      </c>
      <c r="AE172" s="37">
        <v>10</v>
      </c>
      <c r="AF172" s="37">
        <v>20</v>
      </c>
      <c r="AG172" s="37">
        <f>1973.4/1000</f>
        <v>1.9734</v>
      </c>
      <c r="AH172" s="37"/>
      <c r="AI172" s="37"/>
      <c r="AJ172" s="37">
        <v>50</v>
      </c>
      <c r="AK172" s="37">
        <v>50</v>
      </c>
      <c r="AL172" s="37"/>
      <c r="AM172" s="37"/>
      <c r="AN172" s="37">
        <f>20/1000</f>
        <v>0.02</v>
      </c>
      <c r="AO172" s="68">
        <f t="shared" si="2"/>
        <v>2.6000000000000002E-2</v>
      </c>
    </row>
    <row r="173" spans="1:41" x14ac:dyDescent="0.2">
      <c r="A173" s="8"/>
      <c r="B173" s="21">
        <v>42192</v>
      </c>
      <c r="C173" s="75" t="s">
        <v>11</v>
      </c>
      <c r="D173" s="31"/>
      <c r="E173" s="31"/>
      <c r="F173" s="31"/>
      <c r="G173" s="31"/>
      <c r="H173" s="31"/>
      <c r="I173" s="37"/>
      <c r="J173" s="37">
        <v>0.5</v>
      </c>
      <c r="K173" s="37">
        <v>25</v>
      </c>
      <c r="L173" s="37"/>
      <c r="M173" s="37"/>
      <c r="N173" s="34"/>
      <c r="O173" s="34"/>
      <c r="P173" s="34"/>
      <c r="Q173" s="37"/>
      <c r="R173" s="37"/>
      <c r="S173" s="48"/>
      <c r="T173" s="37"/>
      <c r="U173" s="37"/>
      <c r="V173" s="37"/>
      <c r="W173" s="37"/>
      <c r="X173" s="37">
        <v>7.92</v>
      </c>
      <c r="Y173" s="37"/>
      <c r="Z173" s="37"/>
      <c r="AA173" s="34"/>
      <c r="AB173" s="37"/>
      <c r="AC173" s="34"/>
      <c r="AD173" s="37">
        <v>10</v>
      </c>
      <c r="AE173" s="37">
        <v>10</v>
      </c>
      <c r="AF173" s="37">
        <v>20</v>
      </c>
      <c r="AG173" s="37">
        <f>1903/1000</f>
        <v>1.903</v>
      </c>
      <c r="AH173" s="37"/>
      <c r="AI173" s="37"/>
      <c r="AJ173" s="37">
        <v>50</v>
      </c>
      <c r="AK173" s="37">
        <v>50</v>
      </c>
      <c r="AL173" s="37"/>
      <c r="AM173" s="37"/>
      <c r="AN173" s="37">
        <f>20/1000</f>
        <v>0.02</v>
      </c>
      <c r="AO173" s="68">
        <f t="shared" si="2"/>
        <v>0.02</v>
      </c>
    </row>
    <row r="174" spans="1:41" x14ac:dyDescent="0.2">
      <c r="A174" s="8"/>
      <c r="B174" s="21">
        <v>42192</v>
      </c>
      <c r="C174" s="76" t="s">
        <v>12</v>
      </c>
      <c r="D174" s="31"/>
      <c r="E174" s="31"/>
      <c r="F174" s="31"/>
      <c r="G174" s="31"/>
      <c r="H174" s="31"/>
      <c r="I174" s="37"/>
      <c r="J174" s="37">
        <v>0.65</v>
      </c>
      <c r="K174" s="37">
        <v>25</v>
      </c>
      <c r="L174" s="37"/>
      <c r="M174" s="37"/>
      <c r="N174" s="34"/>
      <c r="O174" s="34"/>
      <c r="P174" s="34"/>
      <c r="Q174" s="37"/>
      <c r="R174" s="37"/>
      <c r="S174" s="37"/>
      <c r="T174" s="37"/>
      <c r="U174" s="37"/>
      <c r="V174" s="37"/>
      <c r="W174" s="37"/>
      <c r="X174" s="37">
        <v>7.97</v>
      </c>
      <c r="Y174" s="37"/>
      <c r="Z174" s="37"/>
      <c r="AA174" s="34"/>
      <c r="AB174" s="37"/>
      <c r="AC174" s="34"/>
      <c r="AD174" s="37">
        <v>10</v>
      </c>
      <c r="AE174" s="37">
        <v>10</v>
      </c>
      <c r="AF174" s="37">
        <v>20</v>
      </c>
      <c r="AG174" s="37">
        <f>1311.2/1000</f>
        <v>1.3112000000000001</v>
      </c>
      <c r="AH174" s="37"/>
      <c r="AI174" s="37"/>
      <c r="AJ174" s="37">
        <v>50</v>
      </c>
      <c r="AK174" s="37">
        <v>50</v>
      </c>
      <c r="AL174" s="37"/>
      <c r="AM174" s="37"/>
      <c r="AN174" s="37">
        <f>20/1000</f>
        <v>0.02</v>
      </c>
      <c r="AO174" s="68">
        <f t="shared" si="2"/>
        <v>2.6000000000000002E-2</v>
      </c>
    </row>
    <row r="175" spans="1:41" x14ac:dyDescent="0.2">
      <c r="A175" s="8"/>
      <c r="B175" s="21">
        <v>42192</v>
      </c>
      <c r="C175" s="77" t="s">
        <v>13</v>
      </c>
      <c r="D175" s="31"/>
      <c r="E175" s="31"/>
      <c r="F175" s="31"/>
      <c r="G175" s="31"/>
      <c r="H175" s="31"/>
      <c r="I175" s="37"/>
      <c r="J175" s="37">
        <v>0.55000000000000004</v>
      </c>
      <c r="K175" s="37">
        <v>25</v>
      </c>
      <c r="L175" s="37"/>
      <c r="M175" s="37"/>
      <c r="N175" s="34"/>
      <c r="O175" s="34"/>
      <c r="P175" s="34"/>
      <c r="Q175" s="37"/>
      <c r="R175" s="37"/>
      <c r="S175" s="37"/>
      <c r="T175" s="37"/>
      <c r="U175" s="37"/>
      <c r="V175" s="37"/>
      <c r="W175" s="37"/>
      <c r="X175" s="37">
        <v>7.94</v>
      </c>
      <c r="Y175" s="37"/>
      <c r="Z175" s="37"/>
      <c r="AA175" s="34"/>
      <c r="AB175" s="37"/>
      <c r="AC175" s="34"/>
      <c r="AD175" s="37">
        <v>10</v>
      </c>
      <c r="AE175" s="37">
        <v>10</v>
      </c>
      <c r="AF175" s="37">
        <v>20</v>
      </c>
      <c r="AG175" s="37">
        <f>2039.4/1000</f>
        <v>2.0394000000000001</v>
      </c>
      <c r="AH175" s="37"/>
      <c r="AI175" s="37"/>
      <c r="AJ175" s="37">
        <v>50</v>
      </c>
      <c r="AK175" s="37">
        <v>50</v>
      </c>
      <c r="AL175" s="37"/>
      <c r="AM175" s="37"/>
      <c r="AN175" s="37">
        <f>20.5/1000</f>
        <v>2.0500000000000001E-2</v>
      </c>
      <c r="AO175" s="68">
        <f t="shared" si="2"/>
        <v>2.2000000000000002E-2</v>
      </c>
    </row>
    <row r="176" spans="1:41" x14ac:dyDescent="0.2">
      <c r="A176" s="8"/>
      <c r="B176" s="21">
        <v>42192</v>
      </c>
      <c r="C176" s="78" t="s">
        <v>14</v>
      </c>
      <c r="D176" s="31"/>
      <c r="E176" s="31"/>
      <c r="F176" s="31"/>
      <c r="G176" s="31"/>
      <c r="H176" s="31"/>
      <c r="I176" s="37"/>
      <c r="J176" s="37">
        <v>0.2</v>
      </c>
      <c r="K176" s="37">
        <v>25</v>
      </c>
      <c r="L176" s="37"/>
      <c r="M176" s="37"/>
      <c r="N176" s="34"/>
      <c r="O176" s="34"/>
      <c r="P176" s="34"/>
      <c r="Q176" s="37"/>
      <c r="R176" s="37"/>
      <c r="S176" s="37"/>
      <c r="T176" s="37"/>
      <c r="U176" s="37"/>
      <c r="V176" s="37"/>
      <c r="W176" s="37"/>
      <c r="X176" s="37">
        <v>7.55</v>
      </c>
      <c r="Y176" s="37"/>
      <c r="Z176" s="37"/>
      <c r="AA176" s="34"/>
      <c r="AB176" s="37"/>
      <c r="AC176" s="34"/>
      <c r="AD176" s="37">
        <v>10</v>
      </c>
      <c r="AE176" s="37">
        <v>47</v>
      </c>
      <c r="AF176" s="37">
        <v>20</v>
      </c>
      <c r="AG176" s="37">
        <v>0.84899999999999998</v>
      </c>
      <c r="AH176" s="37"/>
      <c r="AI176" s="37"/>
      <c r="AJ176" s="37">
        <v>50</v>
      </c>
      <c r="AK176" s="37">
        <v>50</v>
      </c>
      <c r="AL176" s="37"/>
      <c r="AM176" s="37"/>
      <c r="AN176" s="37">
        <f>213.2/1000</f>
        <v>0.2132</v>
      </c>
      <c r="AO176" s="68">
        <f t="shared" si="2"/>
        <v>8.0000000000000002E-3</v>
      </c>
    </row>
    <row r="177" spans="1:41" x14ac:dyDescent="0.2">
      <c r="A177" s="10"/>
      <c r="B177" s="21">
        <v>42290</v>
      </c>
      <c r="C177" s="27" t="s">
        <v>9</v>
      </c>
      <c r="D177" s="31"/>
      <c r="E177" s="31"/>
      <c r="F177" s="31"/>
      <c r="G177" s="31"/>
      <c r="H177" s="31"/>
      <c r="I177" s="37">
        <v>1</v>
      </c>
      <c r="J177" s="37">
        <v>0.85</v>
      </c>
      <c r="K177" s="37">
        <v>50</v>
      </c>
      <c r="L177" s="37"/>
      <c r="M177" s="37"/>
      <c r="N177" s="34"/>
      <c r="O177" s="34"/>
      <c r="P177" s="34"/>
      <c r="Q177" s="37">
        <v>0.1</v>
      </c>
      <c r="R177" s="37">
        <v>0.01</v>
      </c>
      <c r="S177" s="48">
        <v>2E-3</v>
      </c>
      <c r="T177" s="37"/>
      <c r="U177" s="37"/>
      <c r="V177" s="37"/>
      <c r="W177" s="37"/>
      <c r="X177" s="37">
        <v>8.39</v>
      </c>
      <c r="Y177" s="37">
        <v>11.6</v>
      </c>
      <c r="Z177" s="37"/>
      <c r="AA177" s="34"/>
      <c r="AB177" s="37">
        <v>119.1</v>
      </c>
      <c r="AC177" s="34"/>
      <c r="AD177" s="37">
        <v>10</v>
      </c>
      <c r="AE177" s="37">
        <v>10</v>
      </c>
      <c r="AF177" s="37">
        <v>20</v>
      </c>
      <c r="AG177" s="37">
        <f>113.1/1000</f>
        <v>0.11309999999999999</v>
      </c>
      <c r="AH177" s="37">
        <f>28.8/1000</f>
        <v>2.8799999999999999E-2</v>
      </c>
      <c r="AI177" s="37"/>
      <c r="AJ177" s="37">
        <v>50</v>
      </c>
      <c r="AK177" s="37">
        <v>50</v>
      </c>
      <c r="AL177" s="37"/>
      <c r="AM177" s="37"/>
      <c r="AN177" s="37">
        <f>20/1000</f>
        <v>0.02</v>
      </c>
      <c r="AO177" s="68">
        <f t="shared" si="2"/>
        <v>1.7000000000000001E-2</v>
      </c>
    </row>
    <row r="178" spans="1:41" x14ac:dyDescent="0.2">
      <c r="A178" s="9"/>
      <c r="B178" s="22">
        <v>42290</v>
      </c>
      <c r="C178" s="74" t="s">
        <v>10</v>
      </c>
      <c r="D178" s="31"/>
      <c r="E178" s="31"/>
      <c r="F178" s="31"/>
      <c r="G178" s="31"/>
      <c r="H178" s="31"/>
      <c r="I178" s="37">
        <v>1</v>
      </c>
      <c r="J178" s="37">
        <v>1.1000000000000001</v>
      </c>
      <c r="K178" s="37">
        <v>32</v>
      </c>
      <c r="L178" s="37"/>
      <c r="M178" s="37"/>
      <c r="N178" s="34"/>
      <c r="O178" s="34"/>
      <c r="P178" s="34"/>
      <c r="Q178" s="37">
        <v>0.1</v>
      </c>
      <c r="R178" s="37">
        <v>0.01</v>
      </c>
      <c r="S178" s="48">
        <v>2E-3</v>
      </c>
      <c r="T178" s="37"/>
      <c r="U178" s="37"/>
      <c r="V178" s="37"/>
      <c r="W178" s="37"/>
      <c r="X178" s="37">
        <v>8.42</v>
      </c>
      <c r="Y178" s="37">
        <v>7.2</v>
      </c>
      <c r="Z178" s="37"/>
      <c r="AA178" s="34"/>
      <c r="AB178" s="37">
        <v>235.1</v>
      </c>
      <c r="AC178" s="34"/>
      <c r="AD178" s="37">
        <v>10</v>
      </c>
      <c r="AE178" s="37">
        <v>10</v>
      </c>
      <c r="AF178" s="37">
        <v>20</v>
      </c>
      <c r="AG178" s="37">
        <f>224.3/1000</f>
        <v>0.2243</v>
      </c>
      <c r="AH178" s="37">
        <f>73.5/1000</f>
        <v>7.3499999999999996E-2</v>
      </c>
      <c r="AI178" s="37"/>
      <c r="AJ178" s="37">
        <v>50</v>
      </c>
      <c r="AK178" s="37">
        <v>50</v>
      </c>
      <c r="AL178" s="37"/>
      <c r="AM178" s="37"/>
      <c r="AN178" s="37">
        <f>20/1000</f>
        <v>0.02</v>
      </c>
      <c r="AO178" s="68">
        <f t="shared" si="2"/>
        <v>3.4375000000000003E-2</v>
      </c>
    </row>
    <row r="179" spans="1:41" x14ac:dyDescent="0.2">
      <c r="A179" s="8"/>
      <c r="B179" s="22">
        <v>42290</v>
      </c>
      <c r="C179" s="75" t="s">
        <v>11</v>
      </c>
      <c r="D179" s="31"/>
      <c r="E179" s="31"/>
      <c r="F179" s="31"/>
      <c r="G179" s="31"/>
      <c r="H179" s="31"/>
      <c r="I179" s="37">
        <v>1</v>
      </c>
      <c r="J179" s="37">
        <v>0.9</v>
      </c>
      <c r="K179" s="37">
        <v>25</v>
      </c>
      <c r="L179" s="37"/>
      <c r="M179" s="37"/>
      <c r="N179" s="34"/>
      <c r="O179" s="34"/>
      <c r="P179" s="34"/>
      <c r="Q179" s="37">
        <v>0.1</v>
      </c>
      <c r="R179" s="37">
        <v>0.01</v>
      </c>
      <c r="S179" s="48">
        <v>2E-3</v>
      </c>
      <c r="T179" s="37"/>
      <c r="U179" s="37"/>
      <c r="V179" s="37"/>
      <c r="W179" s="37"/>
      <c r="X179" s="37">
        <v>8.58</v>
      </c>
      <c r="Y179" s="37">
        <v>8</v>
      </c>
      <c r="Z179" s="37"/>
      <c r="AA179" s="34"/>
      <c r="AB179" s="37">
        <v>302.10000000000002</v>
      </c>
      <c r="AC179" s="34"/>
      <c r="AD179" s="37">
        <v>10</v>
      </c>
      <c r="AE179" s="37">
        <v>10</v>
      </c>
      <c r="AF179" s="37">
        <v>20</v>
      </c>
      <c r="AG179" s="37">
        <f>243.1/1000</f>
        <v>0.24309999999999998</v>
      </c>
      <c r="AH179" s="37">
        <f>49.9/1000</f>
        <v>4.99E-2</v>
      </c>
      <c r="AI179" s="37"/>
      <c r="AJ179" s="37">
        <v>50</v>
      </c>
      <c r="AK179" s="37">
        <v>50</v>
      </c>
      <c r="AL179" s="37"/>
      <c r="AM179" s="37"/>
      <c r="AN179" s="37">
        <f>78.4/1000</f>
        <v>7.8400000000000011E-2</v>
      </c>
      <c r="AO179" s="68">
        <f t="shared" si="2"/>
        <v>3.6000000000000004E-2</v>
      </c>
    </row>
    <row r="180" spans="1:41" x14ac:dyDescent="0.2">
      <c r="A180" s="8"/>
      <c r="B180" s="22">
        <v>42290</v>
      </c>
      <c r="C180" s="76" t="s">
        <v>12</v>
      </c>
      <c r="D180" s="31"/>
      <c r="E180" s="31"/>
      <c r="F180" s="31"/>
      <c r="G180" s="31"/>
      <c r="H180" s="31"/>
      <c r="I180" s="37">
        <v>1</v>
      </c>
      <c r="J180" s="37">
        <v>0.8</v>
      </c>
      <c r="K180" s="37">
        <v>25</v>
      </c>
      <c r="L180" s="37"/>
      <c r="M180" s="37"/>
      <c r="N180" s="34"/>
      <c r="O180" s="34"/>
      <c r="P180" s="34"/>
      <c r="Q180" s="37">
        <v>0.1</v>
      </c>
      <c r="R180" s="37">
        <v>0.01</v>
      </c>
      <c r="S180" s="48">
        <v>2E-3</v>
      </c>
      <c r="T180" s="37"/>
      <c r="U180" s="37"/>
      <c r="V180" s="37"/>
      <c r="W180" s="37"/>
      <c r="X180" s="37">
        <v>8.59</v>
      </c>
      <c r="Y180" s="37">
        <v>10</v>
      </c>
      <c r="Z180" s="37"/>
      <c r="AA180" s="34"/>
      <c r="AB180" s="37">
        <v>200.5</v>
      </c>
      <c r="AC180" s="34"/>
      <c r="AD180" s="37">
        <v>10</v>
      </c>
      <c r="AE180" s="37">
        <v>10</v>
      </c>
      <c r="AF180" s="37">
        <v>20</v>
      </c>
      <c r="AG180" s="37">
        <f>197.5/1000</f>
        <v>0.19750000000000001</v>
      </c>
      <c r="AH180" s="37">
        <f>44.1/1000</f>
        <v>4.41E-2</v>
      </c>
      <c r="AI180" s="37"/>
      <c r="AJ180" s="37">
        <v>50</v>
      </c>
      <c r="AK180" s="37">
        <v>50</v>
      </c>
      <c r="AL180" s="37"/>
      <c r="AM180" s="37"/>
      <c r="AN180" s="37">
        <f>23.9/1000</f>
        <v>2.3899999999999998E-2</v>
      </c>
      <c r="AO180" s="68">
        <f t="shared" si="2"/>
        <v>3.2000000000000001E-2</v>
      </c>
    </row>
    <row r="181" spans="1:41" x14ac:dyDescent="0.2">
      <c r="A181" s="8"/>
      <c r="B181" s="22">
        <v>42290</v>
      </c>
      <c r="C181" s="77" t="s">
        <v>13</v>
      </c>
      <c r="D181" s="31"/>
      <c r="E181" s="31"/>
      <c r="F181" s="31"/>
      <c r="G181" s="31"/>
      <c r="H181" s="31"/>
      <c r="I181" s="37">
        <v>1</v>
      </c>
      <c r="J181" s="37">
        <v>0.95</v>
      </c>
      <c r="K181" s="37">
        <v>25</v>
      </c>
      <c r="L181" s="37"/>
      <c r="M181" s="37"/>
      <c r="N181" s="34"/>
      <c r="O181" s="34"/>
      <c r="P181" s="34"/>
      <c r="Q181" s="37">
        <v>0.1</v>
      </c>
      <c r="R181" s="37">
        <v>0.02</v>
      </c>
      <c r="S181" s="48">
        <v>2E-3</v>
      </c>
      <c r="T181" s="37"/>
      <c r="U181" s="37"/>
      <c r="V181" s="37"/>
      <c r="W181" s="37"/>
      <c r="X181" s="37">
        <v>8.4600000000000009</v>
      </c>
      <c r="Y181" s="37">
        <v>7.2</v>
      </c>
      <c r="Z181" s="37"/>
      <c r="AA181" s="34"/>
      <c r="AB181" s="37">
        <v>246.1</v>
      </c>
      <c r="AC181" s="34"/>
      <c r="AD181" s="37">
        <v>10</v>
      </c>
      <c r="AE181" s="37">
        <v>10</v>
      </c>
      <c r="AF181" s="37">
        <v>20</v>
      </c>
      <c r="AG181" s="37">
        <f>219.6/1000</f>
        <v>0.21959999999999999</v>
      </c>
      <c r="AH181" s="37">
        <f>84.7/1000</f>
        <v>8.4699999999999998E-2</v>
      </c>
      <c r="AI181" s="37"/>
      <c r="AJ181" s="37">
        <v>50</v>
      </c>
      <c r="AK181" s="37">
        <v>50</v>
      </c>
      <c r="AL181" s="37"/>
      <c r="AM181" s="37"/>
      <c r="AN181" s="37">
        <f>20/1000</f>
        <v>0.02</v>
      </c>
      <c r="AO181" s="68">
        <f t="shared" si="2"/>
        <v>3.7999999999999999E-2</v>
      </c>
    </row>
    <row r="182" spans="1:41" x14ac:dyDescent="0.2">
      <c r="A182" s="8"/>
      <c r="B182" s="22">
        <v>42290</v>
      </c>
      <c r="C182" s="78" t="s">
        <v>14</v>
      </c>
      <c r="D182" s="31"/>
      <c r="E182" s="31"/>
      <c r="F182" s="31"/>
      <c r="G182" s="31"/>
      <c r="H182" s="31"/>
      <c r="I182" s="37"/>
      <c r="J182" s="37"/>
      <c r="K182" s="37"/>
      <c r="L182" s="37"/>
      <c r="M182" s="37"/>
      <c r="N182" s="34"/>
      <c r="O182" s="34"/>
      <c r="P182" s="34"/>
      <c r="Q182" s="37"/>
      <c r="R182" s="37"/>
      <c r="S182" s="48"/>
      <c r="T182" s="37"/>
      <c r="U182" s="37"/>
      <c r="V182" s="37"/>
      <c r="W182" s="37"/>
      <c r="X182" s="37"/>
      <c r="Y182" s="37"/>
      <c r="Z182" s="37"/>
      <c r="AA182" s="34"/>
      <c r="AB182" s="37"/>
      <c r="AC182" s="34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68" t="e">
        <f t="shared" si="2"/>
        <v>#DIV/0!</v>
      </c>
    </row>
    <row r="183" spans="1:41" x14ac:dyDescent="0.2">
      <c r="A183" s="10">
        <v>2016</v>
      </c>
      <c r="B183" s="22">
        <v>42381</v>
      </c>
      <c r="C183" s="27" t="s">
        <v>9</v>
      </c>
      <c r="D183" s="31"/>
      <c r="E183" s="31"/>
      <c r="F183" s="31"/>
      <c r="G183" s="31"/>
      <c r="H183" s="31"/>
      <c r="I183" s="37"/>
      <c r="J183" s="37">
        <v>1.7</v>
      </c>
      <c r="K183" s="37">
        <v>30</v>
      </c>
      <c r="L183" s="37"/>
      <c r="M183" s="37"/>
      <c r="N183" s="34"/>
      <c r="O183" s="34"/>
      <c r="P183" s="34"/>
      <c r="Q183" s="37"/>
      <c r="R183" s="37"/>
      <c r="S183" s="48"/>
      <c r="T183" s="37"/>
      <c r="U183" s="37"/>
      <c r="V183" s="37"/>
      <c r="W183" s="37"/>
      <c r="X183" s="37">
        <v>8.3000000000000007</v>
      </c>
      <c r="Y183" s="37"/>
      <c r="Z183" s="37"/>
      <c r="AA183" s="34"/>
      <c r="AB183" s="37"/>
      <c r="AC183" s="34"/>
      <c r="AD183" s="37">
        <v>10</v>
      </c>
      <c r="AE183" s="37">
        <v>10</v>
      </c>
      <c r="AF183" s="37">
        <v>20</v>
      </c>
      <c r="AG183" s="37">
        <f>2425.5/1000</f>
        <v>2.4255</v>
      </c>
      <c r="AH183" s="37"/>
      <c r="AI183" s="37"/>
      <c r="AJ183" s="37">
        <v>50</v>
      </c>
      <c r="AK183" s="37">
        <v>50</v>
      </c>
      <c r="AL183" s="37"/>
      <c r="AM183" s="37"/>
      <c r="AN183" s="37">
        <f>29.3/1000</f>
        <v>2.93E-2</v>
      </c>
      <c r="AO183" s="68">
        <f t="shared" si="2"/>
        <v>5.6666666666666664E-2</v>
      </c>
    </row>
    <row r="184" spans="1:41" x14ac:dyDescent="0.2">
      <c r="A184" s="9"/>
      <c r="B184" s="22">
        <v>42381</v>
      </c>
      <c r="C184" s="74" t="s">
        <v>10</v>
      </c>
      <c r="D184" s="31"/>
      <c r="E184" s="31"/>
      <c r="F184" s="31"/>
      <c r="G184" s="31"/>
      <c r="H184" s="31"/>
      <c r="I184" s="37"/>
      <c r="J184" s="37">
        <v>2</v>
      </c>
      <c r="K184" s="37">
        <v>37</v>
      </c>
      <c r="L184" s="37"/>
      <c r="M184" s="37"/>
      <c r="N184" s="34"/>
      <c r="O184" s="34"/>
      <c r="P184" s="34"/>
      <c r="Q184" s="37"/>
      <c r="R184" s="37"/>
      <c r="S184" s="48"/>
      <c r="T184" s="37"/>
      <c r="U184" s="37"/>
      <c r="V184" s="37"/>
      <c r="W184" s="37"/>
      <c r="X184" s="37">
        <v>7.98</v>
      </c>
      <c r="Y184" s="37"/>
      <c r="Z184" s="37"/>
      <c r="AA184" s="34"/>
      <c r="AB184" s="37"/>
      <c r="AC184" s="34"/>
      <c r="AD184" s="37">
        <v>10</v>
      </c>
      <c r="AE184" s="37">
        <v>10</v>
      </c>
      <c r="AF184" s="37">
        <v>20</v>
      </c>
      <c r="AG184" s="37">
        <f>2332/1000</f>
        <v>2.3319999999999999</v>
      </c>
      <c r="AH184" s="37"/>
      <c r="AI184" s="37"/>
      <c r="AJ184" s="37">
        <v>50</v>
      </c>
      <c r="AK184" s="37">
        <v>50</v>
      </c>
      <c r="AL184" s="37"/>
      <c r="AM184" s="37"/>
      <c r="AN184" s="37">
        <f>42.5/1000</f>
        <v>4.2500000000000003E-2</v>
      </c>
      <c r="AO184" s="68">
        <f t="shared" si="2"/>
        <v>5.4054054054054057E-2</v>
      </c>
    </row>
    <row r="185" spans="1:41" x14ac:dyDescent="0.2">
      <c r="A185" s="8"/>
      <c r="B185" s="22">
        <v>42381</v>
      </c>
      <c r="C185" s="75" t="s">
        <v>11</v>
      </c>
      <c r="D185" s="31"/>
      <c r="E185" s="31"/>
      <c r="F185" s="31"/>
      <c r="G185" s="31"/>
      <c r="H185" s="31"/>
      <c r="I185" s="37"/>
      <c r="J185" s="37">
        <v>1.8</v>
      </c>
      <c r="K185" s="37">
        <v>25</v>
      </c>
      <c r="L185" s="37"/>
      <c r="M185" s="37"/>
      <c r="N185" s="34"/>
      <c r="O185" s="34"/>
      <c r="P185" s="34"/>
      <c r="Q185" s="37"/>
      <c r="R185" s="37"/>
      <c r="S185" s="48"/>
      <c r="T185" s="37"/>
      <c r="U185" s="37"/>
      <c r="V185" s="37"/>
      <c r="W185" s="37"/>
      <c r="X185" s="37">
        <v>8.31</v>
      </c>
      <c r="Y185" s="37"/>
      <c r="Z185" s="37"/>
      <c r="AA185" s="34"/>
      <c r="AB185" s="37"/>
      <c r="AC185" s="34"/>
      <c r="AD185" s="37">
        <v>10</v>
      </c>
      <c r="AE185" s="37">
        <v>10</v>
      </c>
      <c r="AF185" s="37">
        <v>21.6</v>
      </c>
      <c r="AG185" s="37">
        <f>2449.7/1000</f>
        <v>2.4497</v>
      </c>
      <c r="AH185" s="37"/>
      <c r="AI185" s="37"/>
      <c r="AJ185" s="37">
        <v>50</v>
      </c>
      <c r="AK185" s="37">
        <v>50</v>
      </c>
      <c r="AL185" s="37"/>
      <c r="AM185" s="37"/>
      <c r="AN185" s="37">
        <f>26.1/1000</f>
        <v>2.6100000000000002E-2</v>
      </c>
      <c r="AO185" s="68">
        <f t="shared" si="2"/>
        <v>7.2000000000000008E-2</v>
      </c>
    </row>
    <row r="186" spans="1:41" x14ac:dyDescent="0.2">
      <c r="A186" s="8"/>
      <c r="B186" s="22">
        <v>42381</v>
      </c>
      <c r="C186" s="76" t="s">
        <v>12</v>
      </c>
      <c r="D186" s="31"/>
      <c r="E186" s="31"/>
      <c r="F186" s="31"/>
      <c r="G186" s="31"/>
      <c r="H186" s="31"/>
      <c r="I186" s="37"/>
      <c r="J186" s="37">
        <v>1.6</v>
      </c>
      <c r="K186" s="37">
        <v>25</v>
      </c>
      <c r="L186" s="37"/>
      <c r="M186" s="37"/>
      <c r="N186" s="34"/>
      <c r="O186" s="34"/>
      <c r="P186" s="34"/>
      <c r="Q186" s="37"/>
      <c r="R186" s="37"/>
      <c r="S186" s="48"/>
      <c r="T186" s="37"/>
      <c r="U186" s="37"/>
      <c r="V186" s="37"/>
      <c r="W186" s="37"/>
      <c r="X186" s="37">
        <v>8.32</v>
      </c>
      <c r="Y186" s="37"/>
      <c r="Z186" s="37"/>
      <c r="AA186" s="34"/>
      <c r="AB186" s="37"/>
      <c r="AC186" s="34"/>
      <c r="AD186" s="37">
        <v>10</v>
      </c>
      <c r="AE186" s="37">
        <v>10</v>
      </c>
      <c r="AF186" s="37">
        <v>20</v>
      </c>
      <c r="AG186" s="37">
        <f>2489.3/1000</f>
        <v>2.4893000000000001</v>
      </c>
      <c r="AH186" s="37"/>
      <c r="AI186" s="37"/>
      <c r="AJ186" s="37">
        <v>50</v>
      </c>
      <c r="AK186" s="37">
        <v>50</v>
      </c>
      <c r="AL186" s="37"/>
      <c r="AM186" s="37"/>
      <c r="AN186" s="37">
        <f>26.8/1000</f>
        <v>2.6800000000000001E-2</v>
      </c>
      <c r="AO186" s="68">
        <f t="shared" si="2"/>
        <v>6.4000000000000001E-2</v>
      </c>
    </row>
    <row r="187" spans="1:41" x14ac:dyDescent="0.2">
      <c r="A187" s="8"/>
      <c r="B187" s="22">
        <v>42381</v>
      </c>
      <c r="C187" s="77" t="s">
        <v>13</v>
      </c>
      <c r="D187" s="31"/>
      <c r="E187" s="31"/>
      <c r="F187" s="31"/>
      <c r="G187" s="31"/>
      <c r="H187" s="31"/>
      <c r="I187" s="37"/>
      <c r="J187" s="37">
        <v>1.8</v>
      </c>
      <c r="K187" s="37">
        <v>25</v>
      </c>
      <c r="L187" s="37"/>
      <c r="M187" s="37"/>
      <c r="N187" s="34"/>
      <c r="O187" s="34"/>
      <c r="P187" s="34"/>
      <c r="Q187" s="37"/>
      <c r="R187" s="37"/>
      <c r="S187" s="48"/>
      <c r="T187" s="37"/>
      <c r="U187" s="37"/>
      <c r="V187" s="37"/>
      <c r="W187" s="37"/>
      <c r="X187" s="37">
        <v>8.07</v>
      </c>
      <c r="Y187" s="37"/>
      <c r="Z187" s="37"/>
      <c r="AA187" s="34"/>
      <c r="AB187" s="37"/>
      <c r="AC187" s="34"/>
      <c r="AD187" s="37">
        <v>10</v>
      </c>
      <c r="AE187" s="37">
        <v>10</v>
      </c>
      <c r="AF187" s="37">
        <v>20</v>
      </c>
      <c r="AG187" s="37">
        <f>2368.3/1000</f>
        <v>2.3683000000000001</v>
      </c>
      <c r="AH187" s="37"/>
      <c r="AI187" s="37"/>
      <c r="AJ187" s="37">
        <v>50</v>
      </c>
      <c r="AK187" s="37">
        <v>50</v>
      </c>
      <c r="AL187" s="37"/>
      <c r="AM187" s="37"/>
      <c r="AN187" s="37">
        <f>23.6/1000</f>
        <v>2.3600000000000003E-2</v>
      </c>
      <c r="AO187" s="68">
        <f t="shared" si="2"/>
        <v>7.2000000000000008E-2</v>
      </c>
    </row>
    <row r="188" spans="1:41" x14ac:dyDescent="0.2">
      <c r="A188" s="8"/>
      <c r="B188" s="22">
        <v>42381</v>
      </c>
      <c r="C188" s="78" t="s">
        <v>14</v>
      </c>
      <c r="D188" s="31"/>
      <c r="E188" s="31"/>
      <c r="F188" s="31"/>
      <c r="G188" s="31"/>
      <c r="H188" s="31"/>
      <c r="I188" s="37"/>
      <c r="J188" s="37"/>
      <c r="K188" s="37"/>
      <c r="L188" s="37"/>
      <c r="M188" s="37"/>
      <c r="N188" s="34"/>
      <c r="O188" s="34"/>
      <c r="P188" s="34"/>
      <c r="Q188" s="37"/>
      <c r="R188" s="37"/>
      <c r="S188" s="48"/>
      <c r="T188" s="37"/>
      <c r="U188" s="37"/>
      <c r="V188" s="37"/>
      <c r="W188" s="37"/>
      <c r="X188" s="37"/>
      <c r="Y188" s="37"/>
      <c r="Z188" s="37"/>
      <c r="AA188" s="34"/>
      <c r="AB188" s="37"/>
      <c r="AC188" s="34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68" t="e">
        <f t="shared" si="2"/>
        <v>#DIV/0!</v>
      </c>
    </row>
    <row r="189" spans="1:41" x14ac:dyDescent="0.2">
      <c r="A189" s="10"/>
      <c r="B189" s="22">
        <v>42479</v>
      </c>
      <c r="C189" s="27" t="s">
        <v>9</v>
      </c>
      <c r="D189" s="31"/>
      <c r="E189" s="31"/>
      <c r="F189" s="31"/>
      <c r="G189" s="31"/>
      <c r="H189" s="31"/>
      <c r="I189" s="37">
        <v>1</v>
      </c>
      <c r="J189" s="37">
        <v>0.8</v>
      </c>
      <c r="K189" s="37">
        <v>40</v>
      </c>
      <c r="L189" s="37"/>
      <c r="M189" s="37"/>
      <c r="N189" s="34"/>
      <c r="O189" s="34"/>
      <c r="P189" s="34"/>
      <c r="Q189" s="37">
        <v>0.1</v>
      </c>
      <c r="R189" s="37">
        <v>0.16</v>
      </c>
      <c r="S189" s="48">
        <v>1.6E-2</v>
      </c>
      <c r="T189" s="37"/>
      <c r="U189" s="37"/>
      <c r="V189" s="37"/>
      <c r="W189" s="37"/>
      <c r="X189" s="37">
        <v>8.06</v>
      </c>
      <c r="Y189" s="37">
        <v>18.399999999999999</v>
      </c>
      <c r="Z189" s="37"/>
      <c r="AA189" s="34"/>
      <c r="AB189" s="37">
        <v>1250.7</v>
      </c>
      <c r="AC189" s="34"/>
      <c r="AD189" s="37">
        <v>10</v>
      </c>
      <c r="AE189" s="37">
        <v>10</v>
      </c>
      <c r="AF189" s="37">
        <v>20</v>
      </c>
      <c r="AG189" s="37">
        <f>1624.7/1000</f>
        <v>1.6247</v>
      </c>
      <c r="AH189" s="37">
        <f>51.2/1000</f>
        <v>5.1200000000000002E-2</v>
      </c>
      <c r="AI189" s="37"/>
      <c r="AJ189" s="37">
        <v>50</v>
      </c>
      <c r="AK189" s="37">
        <v>50</v>
      </c>
      <c r="AL189" s="37"/>
      <c r="AM189" s="37"/>
      <c r="AN189" s="37">
        <f>20/1000</f>
        <v>0.02</v>
      </c>
      <c r="AO189" s="68">
        <f t="shared" si="2"/>
        <v>0.02</v>
      </c>
    </row>
    <row r="190" spans="1:41" x14ac:dyDescent="0.2">
      <c r="A190" s="9"/>
      <c r="B190" s="22">
        <v>42479</v>
      </c>
      <c r="C190" s="74" t="s">
        <v>10</v>
      </c>
      <c r="D190" s="31"/>
      <c r="E190" s="31"/>
      <c r="F190" s="31"/>
      <c r="G190" s="31"/>
      <c r="H190" s="31"/>
      <c r="I190" s="37">
        <v>1</v>
      </c>
      <c r="J190" s="37">
        <v>0.6</v>
      </c>
      <c r="K190" s="37">
        <v>36</v>
      </c>
      <c r="L190" s="37"/>
      <c r="M190" s="37"/>
      <c r="N190" s="34"/>
      <c r="O190" s="34"/>
      <c r="P190" s="34"/>
      <c r="Q190" s="37">
        <v>0.1</v>
      </c>
      <c r="R190" s="37">
        <v>0.1</v>
      </c>
      <c r="S190" s="48">
        <v>1.2999999999999999E-2</v>
      </c>
      <c r="T190" s="37"/>
      <c r="U190" s="37"/>
      <c r="V190" s="37"/>
      <c r="W190" s="37"/>
      <c r="X190" s="37">
        <v>7.77</v>
      </c>
      <c r="Y190" s="37">
        <v>12.8</v>
      </c>
      <c r="Z190" s="37"/>
      <c r="AA190" s="34"/>
      <c r="AB190" s="37">
        <v>999.6</v>
      </c>
      <c r="AC190" s="34"/>
      <c r="AD190" s="37">
        <v>10</v>
      </c>
      <c r="AE190" s="37">
        <v>10</v>
      </c>
      <c r="AF190" s="37">
        <v>20</v>
      </c>
      <c r="AG190" s="37">
        <f>1526.8/1000</f>
        <v>1.5267999999999999</v>
      </c>
      <c r="AH190" s="37">
        <f>52.8/1000</f>
        <v>5.28E-2</v>
      </c>
      <c r="AI190" s="37"/>
      <c r="AJ190" s="37">
        <v>50</v>
      </c>
      <c r="AK190" s="37">
        <v>50</v>
      </c>
      <c r="AL190" s="37"/>
      <c r="AM190" s="37"/>
      <c r="AN190" s="37">
        <f>20/1000</f>
        <v>0.02</v>
      </c>
      <c r="AO190" s="68">
        <f t="shared" si="2"/>
        <v>1.6666666666666666E-2</v>
      </c>
    </row>
    <row r="191" spans="1:41" x14ac:dyDescent="0.2">
      <c r="A191" s="8"/>
      <c r="B191" s="22">
        <v>42479</v>
      </c>
      <c r="C191" s="75" t="s">
        <v>11</v>
      </c>
      <c r="D191" s="31"/>
      <c r="E191" s="31"/>
      <c r="F191" s="31"/>
      <c r="G191" s="31"/>
      <c r="H191" s="31"/>
      <c r="I191" s="37">
        <v>1</v>
      </c>
      <c r="J191" s="37">
        <v>0.7</v>
      </c>
      <c r="K191" s="37">
        <v>37</v>
      </c>
      <c r="L191" s="37"/>
      <c r="M191" s="37"/>
      <c r="N191" s="34"/>
      <c r="O191" s="34"/>
      <c r="P191" s="34"/>
      <c r="Q191" s="37">
        <v>0.1</v>
      </c>
      <c r="R191" s="37">
        <v>0.13</v>
      </c>
      <c r="S191" s="48">
        <v>0.01</v>
      </c>
      <c r="T191" s="37"/>
      <c r="U191" s="37"/>
      <c r="V191" s="37"/>
      <c r="W191" s="37"/>
      <c r="X191" s="37">
        <v>7.65</v>
      </c>
      <c r="Y191" s="37">
        <v>3.6</v>
      </c>
      <c r="Z191" s="37"/>
      <c r="AA191" s="34"/>
      <c r="AB191" s="37">
        <v>1109.9000000000001</v>
      </c>
      <c r="AC191" s="34"/>
      <c r="AD191" s="37">
        <v>10</v>
      </c>
      <c r="AE191" s="37">
        <v>10</v>
      </c>
      <c r="AF191" s="37">
        <v>20</v>
      </c>
      <c r="AG191" s="37">
        <f>1488.3/1000</f>
        <v>1.4883</v>
      </c>
      <c r="AH191" s="37">
        <f>44.4/1000</f>
        <v>4.4400000000000002E-2</v>
      </c>
      <c r="AI191" s="37"/>
      <c r="AJ191" s="37">
        <v>50</v>
      </c>
      <c r="AK191" s="37">
        <v>50</v>
      </c>
      <c r="AL191" s="37"/>
      <c r="AM191" s="37"/>
      <c r="AN191" s="37">
        <f>20/1000</f>
        <v>0.02</v>
      </c>
      <c r="AO191" s="68">
        <f t="shared" si="2"/>
        <v>1.8918918918918916E-2</v>
      </c>
    </row>
    <row r="192" spans="1:41" x14ac:dyDescent="0.2">
      <c r="A192" s="8"/>
      <c r="B192" s="22">
        <v>42479</v>
      </c>
      <c r="C192" s="76" t="s">
        <v>12</v>
      </c>
      <c r="D192" s="31"/>
      <c r="E192" s="31"/>
      <c r="F192" s="31"/>
      <c r="G192" s="31"/>
      <c r="H192" s="31"/>
      <c r="I192" s="37">
        <v>1</v>
      </c>
      <c r="J192" s="37">
        <v>1</v>
      </c>
      <c r="K192" s="37">
        <v>27</v>
      </c>
      <c r="L192" s="37"/>
      <c r="M192" s="37"/>
      <c r="N192" s="34"/>
      <c r="O192" s="34"/>
      <c r="P192" s="34"/>
      <c r="Q192" s="37">
        <v>0.11</v>
      </c>
      <c r="R192" s="37">
        <v>0.12</v>
      </c>
      <c r="S192" s="48">
        <v>4.1000000000000002E-2</v>
      </c>
      <c r="T192" s="37"/>
      <c r="U192" s="37"/>
      <c r="V192" s="37"/>
      <c r="W192" s="37"/>
      <c r="X192" s="37">
        <v>7.53</v>
      </c>
      <c r="Y192" s="37">
        <v>2.8</v>
      </c>
      <c r="Z192" s="37"/>
      <c r="AA192" s="34"/>
      <c r="AB192" s="37">
        <v>1636.8</v>
      </c>
      <c r="AC192" s="34"/>
      <c r="AD192" s="37">
        <v>10</v>
      </c>
      <c r="AE192" s="37">
        <v>10</v>
      </c>
      <c r="AF192" s="37">
        <v>20</v>
      </c>
      <c r="AG192" s="37">
        <f>2335.3/1000</f>
        <v>2.3353000000000002</v>
      </c>
      <c r="AH192" s="37">
        <f>75/1000</f>
        <v>7.4999999999999997E-2</v>
      </c>
      <c r="AI192" s="37"/>
      <c r="AJ192" s="37">
        <v>50</v>
      </c>
      <c r="AK192" s="37">
        <v>50</v>
      </c>
      <c r="AL192" s="37"/>
      <c r="AM192" s="37"/>
      <c r="AN192" s="37">
        <f>22.2/1000</f>
        <v>2.2200000000000001E-2</v>
      </c>
      <c r="AO192" s="68">
        <f t="shared" si="2"/>
        <v>3.7037037037037035E-2</v>
      </c>
    </row>
    <row r="193" spans="1:41" x14ac:dyDescent="0.2">
      <c r="A193" s="8"/>
      <c r="B193" s="22">
        <v>42479</v>
      </c>
      <c r="C193" s="77" t="s">
        <v>13</v>
      </c>
      <c r="D193" s="31"/>
      <c r="E193" s="31"/>
      <c r="F193" s="31"/>
      <c r="G193" s="31"/>
      <c r="H193" s="31"/>
      <c r="I193" s="37">
        <v>1</v>
      </c>
      <c r="J193" s="37">
        <v>0.75</v>
      </c>
      <c r="K193" s="37">
        <v>26</v>
      </c>
      <c r="L193" s="37"/>
      <c r="M193" s="37"/>
      <c r="N193" s="34"/>
      <c r="O193" s="34"/>
      <c r="P193" s="34"/>
      <c r="Q193" s="37">
        <v>0.1</v>
      </c>
      <c r="R193" s="37">
        <v>0.11</v>
      </c>
      <c r="S193" s="48">
        <v>8.8999999999999996E-2</v>
      </c>
      <c r="T193" s="37"/>
      <c r="U193" s="37"/>
      <c r="V193" s="37"/>
      <c r="W193" s="37"/>
      <c r="X193" s="37">
        <v>7.66</v>
      </c>
      <c r="Y193" s="37">
        <v>9.1999999999999993</v>
      </c>
      <c r="Z193" s="37"/>
      <c r="AA193" s="34"/>
      <c r="AB193" s="37">
        <v>1268.3</v>
      </c>
      <c r="AC193" s="34"/>
      <c r="AD193" s="37">
        <v>10</v>
      </c>
      <c r="AE193" s="37">
        <v>10</v>
      </c>
      <c r="AF193" s="37">
        <v>20</v>
      </c>
      <c r="AG193" s="37">
        <f>1623.6/1000</f>
        <v>1.6235999999999999</v>
      </c>
      <c r="AH193" s="37">
        <f>49.8/1000</f>
        <v>4.9799999999999997E-2</v>
      </c>
      <c r="AI193" s="37"/>
      <c r="AJ193" s="37">
        <v>50</v>
      </c>
      <c r="AK193" s="37">
        <v>50</v>
      </c>
      <c r="AL193" s="37"/>
      <c r="AM193" s="37"/>
      <c r="AN193" s="37">
        <f>21/1000</f>
        <v>2.1000000000000001E-2</v>
      </c>
      <c r="AO193" s="68">
        <f t="shared" si="2"/>
        <v>2.8846153846153848E-2</v>
      </c>
    </row>
    <row r="194" spans="1:41" x14ac:dyDescent="0.2">
      <c r="A194" s="8"/>
      <c r="B194" s="22">
        <v>42479</v>
      </c>
      <c r="C194" s="78" t="s">
        <v>14</v>
      </c>
      <c r="D194" s="31"/>
      <c r="E194" s="31"/>
      <c r="F194" s="31"/>
      <c r="G194" s="31"/>
      <c r="H194" s="31"/>
      <c r="I194" s="37">
        <v>1</v>
      </c>
      <c r="J194" s="37">
        <v>1.58</v>
      </c>
      <c r="K194" s="37">
        <v>25</v>
      </c>
      <c r="L194" s="37"/>
      <c r="M194" s="37"/>
      <c r="N194" s="34"/>
      <c r="O194" s="34"/>
      <c r="P194" s="34"/>
      <c r="Q194" s="31">
        <v>0.1</v>
      </c>
      <c r="R194" s="37">
        <v>0.13</v>
      </c>
      <c r="S194" s="48">
        <v>8.0000000000000002E-3</v>
      </c>
      <c r="T194" s="37"/>
      <c r="U194" s="37"/>
      <c r="V194" s="37"/>
      <c r="W194" s="37"/>
      <c r="X194" s="37">
        <v>7.5</v>
      </c>
      <c r="Y194" s="37">
        <v>9.1999999999999993</v>
      </c>
      <c r="Z194" s="37"/>
      <c r="AA194" s="34"/>
      <c r="AB194" s="37">
        <v>183.6</v>
      </c>
      <c r="AC194" s="34"/>
      <c r="AD194" s="37">
        <v>10</v>
      </c>
      <c r="AE194" s="37">
        <v>10</v>
      </c>
      <c r="AF194" s="37">
        <v>20</v>
      </c>
      <c r="AG194" s="37">
        <f>211.3/1000</f>
        <v>0.21130000000000002</v>
      </c>
      <c r="AH194" s="37">
        <f>10.5/1000</f>
        <v>1.0500000000000001E-2</v>
      </c>
      <c r="AI194" s="37"/>
      <c r="AJ194" s="37">
        <v>50</v>
      </c>
      <c r="AK194" s="37">
        <v>50</v>
      </c>
      <c r="AL194" s="37"/>
      <c r="AM194" s="37"/>
      <c r="AN194" s="37">
        <f>38.7/1000</f>
        <v>3.8700000000000005E-2</v>
      </c>
      <c r="AO194" s="68">
        <f t="shared" si="2"/>
        <v>6.3200000000000006E-2</v>
      </c>
    </row>
    <row r="195" spans="1:41" x14ac:dyDescent="0.2">
      <c r="A195" s="10"/>
      <c r="B195" s="22">
        <v>42570</v>
      </c>
      <c r="C195" s="27" t="s">
        <v>9</v>
      </c>
      <c r="D195" s="31"/>
      <c r="E195" s="31"/>
      <c r="F195" s="31"/>
      <c r="G195" s="31"/>
      <c r="H195" s="31"/>
      <c r="I195" s="37"/>
      <c r="J195" s="37">
        <v>0</v>
      </c>
      <c r="K195" s="37">
        <v>31</v>
      </c>
      <c r="L195" s="37"/>
      <c r="M195" s="37"/>
      <c r="N195" s="34"/>
      <c r="O195" s="34"/>
      <c r="P195" s="34"/>
      <c r="Q195" s="37"/>
      <c r="R195" s="37"/>
      <c r="S195" s="48"/>
      <c r="T195" s="37"/>
      <c r="U195" s="37"/>
      <c r="V195" s="37"/>
      <c r="W195" s="37"/>
      <c r="X195" s="37">
        <v>8.23</v>
      </c>
      <c r="Y195" s="37"/>
      <c r="Z195" s="37"/>
      <c r="AA195" s="34"/>
      <c r="AB195" s="37"/>
      <c r="AC195" s="34"/>
      <c r="AD195" s="37">
        <v>10</v>
      </c>
      <c r="AE195" s="37">
        <v>10</v>
      </c>
      <c r="AF195" s="37">
        <v>20</v>
      </c>
      <c r="AG195" s="37">
        <f>401.7/1000</f>
        <v>0.4017</v>
      </c>
      <c r="AH195" s="37">
        <f>21.6/1000</f>
        <v>2.1600000000000001E-2</v>
      </c>
      <c r="AI195" s="37"/>
      <c r="AJ195" s="37">
        <v>50</v>
      </c>
      <c r="AK195" s="37">
        <v>50</v>
      </c>
      <c r="AL195" s="37"/>
      <c r="AM195" s="37"/>
      <c r="AN195" s="37">
        <f>20/1000</f>
        <v>0.02</v>
      </c>
      <c r="AO195" s="68">
        <f t="shared" si="2"/>
        <v>0</v>
      </c>
    </row>
    <row r="196" spans="1:41" x14ac:dyDescent="0.2">
      <c r="A196" s="9"/>
      <c r="B196" s="21">
        <v>42570</v>
      </c>
      <c r="C196" s="74" t="s">
        <v>10</v>
      </c>
      <c r="D196" s="31"/>
      <c r="E196" s="31"/>
      <c r="F196" s="31"/>
      <c r="G196" s="31"/>
      <c r="H196" s="31"/>
      <c r="I196" s="37"/>
      <c r="J196" s="37">
        <v>0</v>
      </c>
      <c r="K196" s="37">
        <v>25</v>
      </c>
      <c r="L196" s="37"/>
      <c r="M196" s="37"/>
      <c r="N196" s="34"/>
      <c r="O196" s="34"/>
      <c r="P196" s="34"/>
      <c r="Q196" s="37"/>
      <c r="R196" s="37"/>
      <c r="S196" s="48"/>
      <c r="T196" s="37"/>
      <c r="U196" s="37"/>
      <c r="V196" s="37"/>
      <c r="W196" s="37"/>
      <c r="X196" s="37">
        <v>8.2799999999999994</v>
      </c>
      <c r="Y196" s="37"/>
      <c r="Z196" s="37"/>
      <c r="AA196" s="34"/>
      <c r="AB196" s="37"/>
      <c r="AC196" s="34"/>
      <c r="AD196" s="37">
        <v>10</v>
      </c>
      <c r="AE196" s="37">
        <v>10</v>
      </c>
      <c r="AF196" s="37">
        <v>20</v>
      </c>
      <c r="AG196" s="37">
        <f>337.2/1000</f>
        <v>0.3372</v>
      </c>
      <c r="AH196" s="37">
        <f>29.9/1000</f>
        <v>2.9899999999999999E-2</v>
      </c>
      <c r="AI196" s="37"/>
      <c r="AJ196" s="37">
        <v>50</v>
      </c>
      <c r="AK196" s="37">
        <v>50</v>
      </c>
      <c r="AL196" s="37"/>
      <c r="AM196" s="37"/>
      <c r="AN196" s="37">
        <f>32.8/1000</f>
        <v>3.2799999999999996E-2</v>
      </c>
      <c r="AO196" s="68">
        <f t="shared" si="2"/>
        <v>0</v>
      </c>
    </row>
    <row r="197" spans="1:41" x14ac:dyDescent="0.2">
      <c r="A197" s="8"/>
      <c r="B197" s="21">
        <v>42570</v>
      </c>
      <c r="C197" s="75" t="s">
        <v>11</v>
      </c>
      <c r="D197" s="31"/>
      <c r="E197" s="31"/>
      <c r="F197" s="31"/>
      <c r="G197" s="31"/>
      <c r="H197" s="31"/>
      <c r="I197" s="37"/>
      <c r="J197" s="37">
        <v>0</v>
      </c>
      <c r="K197" s="37">
        <v>30</v>
      </c>
      <c r="L197" s="37"/>
      <c r="M197" s="37"/>
      <c r="N197" s="34"/>
      <c r="O197" s="34"/>
      <c r="P197" s="34"/>
      <c r="Q197" s="37"/>
      <c r="R197" s="37"/>
      <c r="S197" s="48"/>
      <c r="T197" s="37"/>
      <c r="U197" s="37"/>
      <c r="V197" s="37"/>
      <c r="W197" s="37"/>
      <c r="X197" s="37">
        <v>8.4499999999999993</v>
      </c>
      <c r="Y197" s="37"/>
      <c r="Z197" s="37"/>
      <c r="AA197" s="34"/>
      <c r="AB197" s="37"/>
      <c r="AC197" s="34"/>
      <c r="AD197" s="37">
        <v>10</v>
      </c>
      <c r="AE197" s="37">
        <v>10</v>
      </c>
      <c r="AF197" s="37">
        <v>20</v>
      </c>
      <c r="AG197" s="37">
        <f>318.7/1000</f>
        <v>0.31869999999999998</v>
      </c>
      <c r="AH197" s="37">
        <f>22.7/1000</f>
        <v>2.2699999999999998E-2</v>
      </c>
      <c r="AI197" s="37"/>
      <c r="AJ197" s="37">
        <v>50</v>
      </c>
      <c r="AK197" s="37">
        <v>50</v>
      </c>
      <c r="AL197" s="37"/>
      <c r="AM197" s="37"/>
      <c r="AN197" s="37">
        <f>32.8/1000</f>
        <v>3.2799999999999996E-2</v>
      </c>
      <c r="AO197" s="68">
        <f t="shared" si="2"/>
        <v>0</v>
      </c>
    </row>
    <row r="198" spans="1:41" x14ac:dyDescent="0.2">
      <c r="A198" s="8"/>
      <c r="B198" s="21">
        <v>42570</v>
      </c>
      <c r="C198" s="76" t="s">
        <v>12</v>
      </c>
      <c r="D198" s="31"/>
      <c r="E198" s="31"/>
      <c r="F198" s="31"/>
      <c r="G198" s="31"/>
      <c r="H198" s="31"/>
      <c r="I198" s="37"/>
      <c r="J198" s="37">
        <v>0</v>
      </c>
      <c r="K198" s="37">
        <v>25</v>
      </c>
      <c r="L198" s="37"/>
      <c r="M198" s="37"/>
      <c r="N198" s="34"/>
      <c r="O198" s="34"/>
      <c r="P198" s="34"/>
      <c r="Q198" s="37"/>
      <c r="R198" s="37"/>
      <c r="S198" s="48"/>
      <c r="T198" s="37"/>
      <c r="U198" s="37"/>
      <c r="V198" s="37"/>
      <c r="W198" s="37"/>
      <c r="X198" s="37">
        <v>8.3699999999999992</v>
      </c>
      <c r="Y198" s="37"/>
      <c r="Z198" s="37"/>
      <c r="AA198" s="34"/>
      <c r="AB198" s="37"/>
      <c r="AC198" s="34"/>
      <c r="AD198" s="37">
        <v>10</v>
      </c>
      <c r="AE198" s="37">
        <v>10</v>
      </c>
      <c r="AF198" s="37">
        <v>20</v>
      </c>
      <c r="AG198" s="37">
        <f>407.2/1000</f>
        <v>0.40720000000000001</v>
      </c>
      <c r="AH198" s="37">
        <f>32.1/1000</f>
        <v>3.2100000000000004E-2</v>
      </c>
      <c r="AI198" s="37"/>
      <c r="AJ198" s="37">
        <v>50</v>
      </c>
      <c r="AK198" s="37">
        <v>50</v>
      </c>
      <c r="AL198" s="37"/>
      <c r="AM198" s="37"/>
      <c r="AN198" s="37">
        <f>46.2/1000</f>
        <v>4.6200000000000005E-2</v>
      </c>
      <c r="AO198" s="68">
        <f t="shared" si="2"/>
        <v>0</v>
      </c>
    </row>
    <row r="199" spans="1:41" x14ac:dyDescent="0.2">
      <c r="A199" s="8"/>
      <c r="B199" s="21">
        <v>42570</v>
      </c>
      <c r="C199" s="77" t="s">
        <v>13</v>
      </c>
      <c r="D199" s="31"/>
      <c r="E199" s="31"/>
      <c r="F199" s="31"/>
      <c r="G199" s="31"/>
      <c r="H199" s="31"/>
      <c r="I199" s="37"/>
      <c r="J199" s="37">
        <v>0</v>
      </c>
      <c r="K199" s="37">
        <v>27</v>
      </c>
      <c r="L199" s="37"/>
      <c r="M199" s="37"/>
      <c r="N199" s="34"/>
      <c r="O199" s="34"/>
      <c r="P199" s="34"/>
      <c r="Q199" s="37"/>
      <c r="R199" s="37"/>
      <c r="S199" s="48"/>
      <c r="T199" s="37"/>
      <c r="U199" s="37"/>
      <c r="V199" s="37"/>
      <c r="W199" s="37"/>
      <c r="X199" s="37">
        <v>8.31</v>
      </c>
      <c r="Y199" s="37"/>
      <c r="Z199" s="37"/>
      <c r="AA199" s="34"/>
      <c r="AB199" s="37"/>
      <c r="AC199" s="34"/>
      <c r="AD199" s="37">
        <v>10</v>
      </c>
      <c r="AE199" s="37">
        <v>10</v>
      </c>
      <c r="AF199" s="37">
        <v>20</v>
      </c>
      <c r="AG199" s="37">
        <f>403.8/1000</f>
        <v>0.40379999999999999</v>
      </c>
      <c r="AH199" s="37">
        <f>35.1/1000</f>
        <v>3.5099999999999999E-2</v>
      </c>
      <c r="AI199" s="37"/>
      <c r="AJ199" s="37">
        <v>50</v>
      </c>
      <c r="AK199" s="37">
        <v>50</v>
      </c>
      <c r="AL199" s="37"/>
      <c r="AM199" s="37"/>
      <c r="AN199" s="37">
        <f>30.2/1000</f>
        <v>3.0199999999999998E-2</v>
      </c>
      <c r="AO199" s="68">
        <f t="shared" si="2"/>
        <v>0</v>
      </c>
    </row>
    <row r="200" spans="1:41" x14ac:dyDescent="0.2">
      <c r="A200" s="8"/>
      <c r="B200" s="21">
        <v>42570</v>
      </c>
      <c r="C200" s="78" t="s">
        <v>14</v>
      </c>
      <c r="D200" s="31"/>
      <c r="E200" s="31"/>
      <c r="F200" s="31"/>
      <c r="G200" s="31"/>
      <c r="H200" s="31"/>
      <c r="I200" s="37"/>
      <c r="J200" s="37">
        <v>0</v>
      </c>
      <c r="K200" s="37">
        <v>25</v>
      </c>
      <c r="L200" s="37"/>
      <c r="M200" s="37"/>
      <c r="N200" s="34"/>
      <c r="O200" s="34"/>
      <c r="P200" s="34"/>
      <c r="Q200" s="37"/>
      <c r="R200" s="37"/>
      <c r="S200" s="48"/>
      <c r="T200" s="37"/>
      <c r="U200" s="37"/>
      <c r="V200" s="37"/>
      <c r="W200" s="37"/>
      <c r="X200" s="37">
        <v>7.57</v>
      </c>
      <c r="Y200" s="37"/>
      <c r="Z200" s="37"/>
      <c r="AA200" s="34"/>
      <c r="AB200" s="37"/>
      <c r="AC200" s="34"/>
      <c r="AD200" s="37">
        <v>10</v>
      </c>
      <c r="AE200" s="37">
        <v>10</v>
      </c>
      <c r="AF200" s="37">
        <v>20</v>
      </c>
      <c r="AG200" s="37">
        <f>80.1/1000</f>
        <v>8.0099999999999991E-2</v>
      </c>
      <c r="AH200" s="37">
        <f>27.9/1000</f>
        <v>2.7899999999999998E-2</v>
      </c>
      <c r="AI200" s="37"/>
      <c r="AJ200" s="37">
        <v>50</v>
      </c>
      <c r="AK200" s="37">
        <v>50</v>
      </c>
      <c r="AL200" s="37"/>
      <c r="AM200" s="37"/>
      <c r="AN200" s="37">
        <f>20.1/1000</f>
        <v>2.01E-2</v>
      </c>
      <c r="AO200" s="68">
        <f t="shared" si="2"/>
        <v>0</v>
      </c>
    </row>
    <row r="201" spans="1:41" x14ac:dyDescent="0.2">
      <c r="A201" s="10"/>
      <c r="B201" s="21">
        <v>42654</v>
      </c>
      <c r="C201" s="27" t="s">
        <v>9</v>
      </c>
      <c r="D201" s="31"/>
      <c r="E201" s="31"/>
      <c r="F201" s="31"/>
      <c r="G201" s="31"/>
      <c r="H201" s="31"/>
      <c r="I201" s="37">
        <v>1</v>
      </c>
      <c r="J201" s="37">
        <v>1.1000000000000001</v>
      </c>
      <c r="K201" s="37">
        <v>53</v>
      </c>
      <c r="L201" s="37"/>
      <c r="M201" s="37"/>
      <c r="N201" s="34"/>
      <c r="O201" s="34"/>
      <c r="P201" s="34"/>
      <c r="Q201" s="37">
        <v>0.1</v>
      </c>
      <c r="R201" s="37">
        <v>1.0900000000000001</v>
      </c>
      <c r="S201" s="48">
        <v>6.0000000000000001E-3</v>
      </c>
      <c r="T201" s="37"/>
      <c r="U201" s="37"/>
      <c r="V201" s="37"/>
      <c r="W201" s="37"/>
      <c r="X201" s="37">
        <v>8.39</v>
      </c>
      <c r="Y201" s="37">
        <v>3.2</v>
      </c>
      <c r="Z201" s="37"/>
      <c r="AA201" s="34"/>
      <c r="AB201" s="37">
        <v>1634.6</v>
      </c>
      <c r="AC201" s="34"/>
      <c r="AD201" s="37">
        <v>10</v>
      </c>
      <c r="AE201" s="37">
        <v>12.3</v>
      </c>
      <c r="AF201" s="37">
        <v>20</v>
      </c>
      <c r="AG201" s="37">
        <f>1586.2/1000</f>
        <v>1.5862000000000001</v>
      </c>
      <c r="AH201" s="37">
        <f>53.2/1000</f>
        <v>5.3200000000000004E-2</v>
      </c>
      <c r="AI201" s="37"/>
      <c r="AJ201" s="37">
        <v>50</v>
      </c>
      <c r="AK201" s="37">
        <v>50</v>
      </c>
      <c r="AL201" s="37"/>
      <c r="AM201" s="37"/>
      <c r="AN201" s="37">
        <f>22.2/1000</f>
        <v>2.2200000000000001E-2</v>
      </c>
      <c r="AO201" s="68">
        <f t="shared" si="2"/>
        <v>2.0754716981132078E-2</v>
      </c>
    </row>
    <row r="202" spans="1:41" x14ac:dyDescent="0.2">
      <c r="A202" s="9"/>
      <c r="B202" s="21">
        <v>42654</v>
      </c>
      <c r="C202" s="74" t="s">
        <v>10</v>
      </c>
      <c r="D202" s="31"/>
      <c r="E202" s="31"/>
      <c r="F202" s="31"/>
      <c r="G202" s="31"/>
      <c r="H202" s="31"/>
      <c r="I202" s="37">
        <v>1</v>
      </c>
      <c r="J202" s="37">
        <v>1.35</v>
      </c>
      <c r="K202" s="37">
        <v>45</v>
      </c>
      <c r="L202" s="37"/>
      <c r="M202" s="37"/>
      <c r="N202" s="34"/>
      <c r="O202" s="34"/>
      <c r="P202" s="34"/>
      <c r="Q202" s="37">
        <v>0.1</v>
      </c>
      <c r="R202" s="37">
        <v>7.0000000000000007E-2</v>
      </c>
      <c r="S202" s="48">
        <v>6.0000000000000001E-3</v>
      </c>
      <c r="T202" s="37"/>
      <c r="U202" s="37"/>
      <c r="V202" s="37"/>
      <c r="W202" s="37"/>
      <c r="X202" s="37">
        <v>8.3000000000000007</v>
      </c>
      <c r="Y202" s="37">
        <v>11.9</v>
      </c>
      <c r="Z202" s="37"/>
      <c r="AA202" s="34"/>
      <c r="AB202" s="37">
        <v>1217.7</v>
      </c>
      <c r="AC202" s="34"/>
      <c r="AD202" s="37">
        <v>10</v>
      </c>
      <c r="AE202" s="37">
        <v>10.1</v>
      </c>
      <c r="AF202" s="37">
        <v>20</v>
      </c>
      <c r="AG202" s="37">
        <f>1284.8/1000</f>
        <v>1.2847999999999999</v>
      </c>
      <c r="AH202" s="37">
        <f>92.6/1000</f>
        <v>9.2599999999999988E-2</v>
      </c>
      <c r="AI202" s="37"/>
      <c r="AJ202" s="37">
        <v>50</v>
      </c>
      <c r="AK202" s="37">
        <v>50</v>
      </c>
      <c r="AL202" s="37"/>
      <c r="AM202" s="37"/>
      <c r="AN202" s="37">
        <f>20/1000</f>
        <v>0.02</v>
      </c>
      <c r="AO202" s="68">
        <f t="shared" si="2"/>
        <v>3.0000000000000002E-2</v>
      </c>
    </row>
    <row r="203" spans="1:41" x14ac:dyDescent="0.2">
      <c r="A203" s="8"/>
      <c r="B203" s="21">
        <v>42654</v>
      </c>
      <c r="C203" s="75" t="s">
        <v>11</v>
      </c>
      <c r="D203" s="31"/>
      <c r="E203" s="31"/>
      <c r="F203" s="31"/>
      <c r="G203" s="31"/>
      <c r="H203" s="31"/>
      <c r="I203" s="37">
        <v>1</v>
      </c>
      <c r="J203" s="37">
        <v>1.2</v>
      </c>
      <c r="K203" s="37">
        <v>21</v>
      </c>
      <c r="L203" s="37"/>
      <c r="M203" s="37"/>
      <c r="N203" s="34"/>
      <c r="O203" s="34"/>
      <c r="P203" s="34"/>
      <c r="Q203" s="37">
        <v>0.17</v>
      </c>
      <c r="R203" s="37">
        <v>0.02</v>
      </c>
      <c r="S203" s="48">
        <v>3.0000000000000001E-3</v>
      </c>
      <c r="T203" s="37"/>
      <c r="U203" s="37"/>
      <c r="V203" s="37"/>
      <c r="W203" s="37"/>
      <c r="X203" s="37">
        <v>8.3800000000000008</v>
      </c>
      <c r="Y203" s="37">
        <v>14.8</v>
      </c>
      <c r="Z203" s="37"/>
      <c r="AA203" s="34"/>
      <c r="AB203" s="37">
        <v>1195.7</v>
      </c>
      <c r="AC203" s="34"/>
      <c r="AD203" s="37">
        <v>10</v>
      </c>
      <c r="AE203" s="37">
        <v>10</v>
      </c>
      <c r="AF203" s="37">
        <v>20</v>
      </c>
      <c r="AG203" s="37">
        <f>1181.4/1000</f>
        <v>1.1814</v>
      </c>
      <c r="AH203" s="37">
        <f>73/1000</f>
        <v>7.2999999999999995E-2</v>
      </c>
      <c r="AI203" s="37"/>
      <c r="AJ203" s="37">
        <v>50</v>
      </c>
      <c r="AK203" s="37">
        <v>50</v>
      </c>
      <c r="AL203" s="37"/>
      <c r="AM203" s="37"/>
      <c r="AN203" s="37">
        <f>20/1000</f>
        <v>0.02</v>
      </c>
      <c r="AO203" s="68">
        <f t="shared" si="2"/>
        <v>5.7142857142857141E-2</v>
      </c>
    </row>
    <row r="204" spans="1:41" x14ac:dyDescent="0.2">
      <c r="A204" s="8"/>
      <c r="B204" s="21">
        <v>42654</v>
      </c>
      <c r="C204" s="76" t="s">
        <v>12</v>
      </c>
      <c r="D204" s="31"/>
      <c r="E204" s="31"/>
      <c r="F204" s="31"/>
      <c r="G204" s="31"/>
      <c r="H204" s="31"/>
      <c r="I204" s="37">
        <v>1</v>
      </c>
      <c r="J204" s="37">
        <v>1</v>
      </c>
      <c r="K204" s="37">
        <v>29</v>
      </c>
      <c r="L204" s="37"/>
      <c r="M204" s="37"/>
      <c r="N204" s="34"/>
      <c r="O204" s="34"/>
      <c r="P204" s="34"/>
      <c r="Q204" s="37">
        <v>0.1</v>
      </c>
      <c r="R204" s="37">
        <v>0.03</v>
      </c>
      <c r="S204" s="48">
        <v>0.01</v>
      </c>
      <c r="T204" s="37"/>
      <c r="U204" s="37"/>
      <c r="V204" s="37"/>
      <c r="W204" s="37"/>
      <c r="X204" s="37">
        <v>8.4</v>
      </c>
      <c r="Y204" s="37">
        <v>7.6</v>
      </c>
      <c r="Z204" s="37"/>
      <c r="AA204" s="34"/>
      <c r="AB204" s="37">
        <v>921.7</v>
      </c>
      <c r="AC204" s="34"/>
      <c r="AD204" s="37">
        <v>10</v>
      </c>
      <c r="AE204" s="37">
        <v>10</v>
      </c>
      <c r="AF204" s="37">
        <v>20</v>
      </c>
      <c r="AG204" s="37">
        <f>880.1/1000</f>
        <v>0.88009999999999999</v>
      </c>
      <c r="AH204" s="37">
        <f>54.45/1000</f>
        <v>5.4450000000000005E-2</v>
      </c>
      <c r="AI204" s="37"/>
      <c r="AJ204" s="37">
        <v>50</v>
      </c>
      <c r="AK204" s="37">
        <v>50</v>
      </c>
      <c r="AL204" s="37"/>
      <c r="AM204" s="37"/>
      <c r="AN204" s="37">
        <f>20/1000</f>
        <v>0.02</v>
      </c>
      <c r="AO204" s="68">
        <f t="shared" si="2"/>
        <v>3.4482758620689655E-2</v>
      </c>
    </row>
    <row r="205" spans="1:41" x14ac:dyDescent="0.2">
      <c r="A205" s="8"/>
      <c r="B205" s="21">
        <v>42654</v>
      </c>
      <c r="C205" s="77" t="s">
        <v>13</v>
      </c>
      <c r="D205" s="31"/>
      <c r="E205" s="31"/>
      <c r="F205" s="31"/>
      <c r="G205" s="31"/>
      <c r="H205" s="31"/>
      <c r="I205" s="37">
        <v>1</v>
      </c>
      <c r="J205" s="37">
        <v>1.4</v>
      </c>
      <c r="K205" s="37">
        <v>27</v>
      </c>
      <c r="L205" s="37"/>
      <c r="M205" s="37"/>
      <c r="N205" s="34"/>
      <c r="O205" s="34"/>
      <c r="P205" s="34"/>
      <c r="Q205" s="37">
        <v>0.1</v>
      </c>
      <c r="R205" s="37">
        <v>2.4E-2</v>
      </c>
      <c r="S205" s="48">
        <v>1.6E-2</v>
      </c>
      <c r="T205" s="37"/>
      <c r="U205" s="37"/>
      <c r="V205" s="37"/>
      <c r="W205" s="37"/>
      <c r="X205" s="37">
        <v>8.3000000000000007</v>
      </c>
      <c r="Y205" s="37">
        <v>9.1999999999999993</v>
      </c>
      <c r="Z205" s="37"/>
      <c r="AA205" s="34"/>
      <c r="AB205" s="37">
        <v>1675.3</v>
      </c>
      <c r="AC205" s="34"/>
      <c r="AD205" s="37">
        <v>10</v>
      </c>
      <c r="AE205" s="37">
        <v>10.4</v>
      </c>
      <c r="AF205" s="37">
        <v>20</v>
      </c>
      <c r="AG205" s="37">
        <f>1471.8/1000</f>
        <v>1.4718</v>
      </c>
      <c r="AH205" s="37">
        <f>92.6/1000</f>
        <v>9.2599999999999988E-2</v>
      </c>
      <c r="AI205" s="37"/>
      <c r="AJ205" s="37">
        <v>50</v>
      </c>
      <c r="AK205" s="37">
        <v>50</v>
      </c>
      <c r="AL205" s="37"/>
      <c r="AM205" s="37"/>
      <c r="AN205" s="37">
        <f>20/1000</f>
        <v>0.02</v>
      </c>
      <c r="AO205" s="68">
        <f t="shared" ref="AO205:AO268" si="3">+J205/K205</f>
        <v>5.185185185185185E-2</v>
      </c>
    </row>
    <row r="206" spans="1:41" x14ac:dyDescent="0.2">
      <c r="A206" s="8"/>
      <c r="B206" s="21">
        <v>42654</v>
      </c>
      <c r="C206" s="78" t="s">
        <v>14</v>
      </c>
      <c r="D206" s="31"/>
      <c r="E206" s="31"/>
      <c r="F206" s="31"/>
      <c r="G206" s="31"/>
      <c r="H206" s="31"/>
      <c r="I206" s="37">
        <v>1</v>
      </c>
      <c r="J206" s="37">
        <v>0.33</v>
      </c>
      <c r="K206" s="37">
        <v>46</v>
      </c>
      <c r="L206" s="37"/>
      <c r="M206" s="37"/>
      <c r="N206" s="34"/>
      <c r="O206" s="34"/>
      <c r="P206" s="34"/>
      <c r="Q206" s="37">
        <v>0.1</v>
      </c>
      <c r="R206" s="37">
        <v>2.4E-2</v>
      </c>
      <c r="S206" s="48">
        <v>6.0000000000000001E-3</v>
      </c>
      <c r="T206" s="37"/>
      <c r="U206" s="37"/>
      <c r="V206" s="37"/>
      <c r="W206" s="37"/>
      <c r="X206" s="37">
        <v>7.67</v>
      </c>
      <c r="Y206" s="37">
        <v>4.8</v>
      </c>
      <c r="Z206" s="37"/>
      <c r="AA206" s="34"/>
      <c r="AB206" s="37">
        <v>377</v>
      </c>
      <c r="AC206" s="34"/>
      <c r="AD206" s="37">
        <v>10</v>
      </c>
      <c r="AE206" s="37">
        <v>10</v>
      </c>
      <c r="AF206" s="37">
        <v>20</v>
      </c>
      <c r="AG206" s="37">
        <f>393.4/1000</f>
        <v>0.39339999999999997</v>
      </c>
      <c r="AH206" s="37">
        <f>53.7/1000</f>
        <v>5.3700000000000005E-2</v>
      </c>
      <c r="AI206" s="37"/>
      <c r="AJ206" s="37">
        <v>50</v>
      </c>
      <c r="AK206" s="37">
        <v>50</v>
      </c>
      <c r="AL206" s="37"/>
      <c r="AM206" s="37"/>
      <c r="AN206" s="31">
        <f>26/1000</f>
        <v>2.5999999999999999E-2</v>
      </c>
      <c r="AO206" s="68">
        <f t="shared" si="3"/>
        <v>7.1739130434782614E-3</v>
      </c>
    </row>
    <row r="207" spans="1:41" x14ac:dyDescent="0.2">
      <c r="A207" s="10">
        <v>2017</v>
      </c>
      <c r="B207" s="21">
        <v>42745</v>
      </c>
      <c r="C207" s="27" t="s">
        <v>9</v>
      </c>
      <c r="D207" s="31"/>
      <c r="E207" s="31"/>
      <c r="F207" s="31"/>
      <c r="G207" s="31"/>
      <c r="H207" s="31"/>
      <c r="I207" s="37"/>
      <c r="J207" s="37">
        <v>2.5499999999999998</v>
      </c>
      <c r="K207" s="37">
        <v>78</v>
      </c>
      <c r="L207" s="37"/>
      <c r="M207" s="37"/>
      <c r="N207" s="34"/>
      <c r="O207" s="34"/>
      <c r="P207" s="34"/>
      <c r="Q207" s="37"/>
      <c r="R207" s="37"/>
      <c r="S207" s="48"/>
      <c r="T207" s="37"/>
      <c r="U207" s="37"/>
      <c r="V207" s="37"/>
      <c r="W207" s="37"/>
      <c r="X207" s="37">
        <v>7.75</v>
      </c>
      <c r="Y207" s="37"/>
      <c r="Z207" s="37"/>
      <c r="AA207" s="34"/>
      <c r="AB207" s="37">
        <v>6098.4</v>
      </c>
      <c r="AC207" s="34"/>
      <c r="AD207" s="37">
        <v>10</v>
      </c>
      <c r="AE207" s="37">
        <v>12.9</v>
      </c>
      <c r="AF207" s="37">
        <v>20</v>
      </c>
      <c r="AG207" s="70">
        <v>6.6769999999999996</v>
      </c>
      <c r="AH207" s="37">
        <f>353.3/1000</f>
        <v>0.3533</v>
      </c>
      <c r="AI207" s="37"/>
      <c r="AJ207" s="37">
        <v>50</v>
      </c>
      <c r="AK207" s="37">
        <v>50</v>
      </c>
      <c r="AL207" s="37"/>
      <c r="AM207" s="37"/>
      <c r="AN207" s="37">
        <f>28.2/1000</f>
        <v>2.8199999999999999E-2</v>
      </c>
      <c r="AO207" s="68">
        <f t="shared" si="3"/>
        <v>3.2692307692307687E-2</v>
      </c>
    </row>
    <row r="208" spans="1:41" x14ac:dyDescent="0.2">
      <c r="A208" s="9"/>
      <c r="B208" s="21">
        <v>42745</v>
      </c>
      <c r="C208" s="74" t="s">
        <v>10</v>
      </c>
      <c r="D208" s="31"/>
      <c r="E208" s="31"/>
      <c r="F208" s="31"/>
      <c r="G208" s="31"/>
      <c r="H208" s="31"/>
      <c r="I208" s="37"/>
      <c r="J208" s="37">
        <v>2.6</v>
      </c>
      <c r="K208" s="37">
        <v>50</v>
      </c>
      <c r="L208" s="37"/>
      <c r="M208" s="37"/>
      <c r="N208" s="34"/>
      <c r="O208" s="34"/>
      <c r="P208" s="34"/>
      <c r="Q208" s="37"/>
      <c r="R208" s="37"/>
      <c r="S208" s="48"/>
      <c r="T208" s="37"/>
      <c r="U208" s="37"/>
      <c r="V208" s="37"/>
      <c r="W208" s="37"/>
      <c r="X208" s="37">
        <v>7.71</v>
      </c>
      <c r="Y208" s="37"/>
      <c r="Z208" s="37"/>
      <c r="AA208" s="34"/>
      <c r="AB208" s="37">
        <v>7269.9</v>
      </c>
      <c r="AC208" s="34"/>
      <c r="AD208" s="37">
        <v>10</v>
      </c>
      <c r="AE208" s="37">
        <v>13.2</v>
      </c>
      <c r="AF208" s="37">
        <v>20</v>
      </c>
      <c r="AG208" s="37">
        <f>8123.5/1000</f>
        <v>8.1234999999999999</v>
      </c>
      <c r="AH208" s="37">
        <f>342.3/1000</f>
        <v>0.34229999999999999</v>
      </c>
      <c r="AI208" s="37"/>
      <c r="AJ208" s="37">
        <v>50</v>
      </c>
      <c r="AK208" s="37">
        <v>50</v>
      </c>
      <c r="AL208" s="37"/>
      <c r="AM208" s="37"/>
      <c r="AN208" s="37">
        <v>2.7E-2</v>
      </c>
      <c r="AO208" s="68">
        <f t="shared" si="3"/>
        <v>5.2000000000000005E-2</v>
      </c>
    </row>
    <row r="209" spans="1:41" x14ac:dyDescent="0.2">
      <c r="A209" s="8"/>
      <c r="B209" s="21">
        <v>42745</v>
      </c>
      <c r="C209" s="75" t="s">
        <v>11</v>
      </c>
      <c r="D209" s="31"/>
      <c r="E209" s="31"/>
      <c r="F209" s="31"/>
      <c r="G209" s="31"/>
      <c r="H209" s="31"/>
      <c r="I209" s="37"/>
      <c r="J209" s="37">
        <v>2.6</v>
      </c>
      <c r="K209" s="37">
        <v>55</v>
      </c>
      <c r="L209" s="37"/>
      <c r="M209" s="37"/>
      <c r="N209" s="34"/>
      <c r="O209" s="34"/>
      <c r="P209" s="34"/>
      <c r="Q209" s="37"/>
      <c r="R209" s="37"/>
      <c r="S209" s="48"/>
      <c r="T209" s="37"/>
      <c r="U209" s="37"/>
      <c r="V209" s="37"/>
      <c r="W209" s="37"/>
      <c r="X209" s="37">
        <v>7.73</v>
      </c>
      <c r="Y209" s="37"/>
      <c r="Z209" s="37"/>
      <c r="AA209" s="34"/>
      <c r="AB209" s="37">
        <v>9938.5</v>
      </c>
      <c r="AC209" s="34"/>
      <c r="AD209" s="37">
        <v>10</v>
      </c>
      <c r="AE209" s="37">
        <v>15.3</v>
      </c>
      <c r="AF209" s="37">
        <v>20</v>
      </c>
      <c r="AG209" s="70">
        <v>10.813000000000001</v>
      </c>
      <c r="AH209" s="37">
        <f>352.7/1000</f>
        <v>0.35270000000000001</v>
      </c>
      <c r="AI209" s="37"/>
      <c r="AJ209" s="37">
        <v>50</v>
      </c>
      <c r="AK209" s="37">
        <v>50</v>
      </c>
      <c r="AL209" s="37"/>
      <c r="AM209" s="37"/>
      <c r="AN209" s="37">
        <f>40.2/1000</f>
        <v>4.02E-2</v>
      </c>
      <c r="AO209" s="68">
        <f t="shared" si="3"/>
        <v>4.7272727272727272E-2</v>
      </c>
    </row>
    <row r="210" spans="1:41" x14ac:dyDescent="0.2">
      <c r="A210" s="8"/>
      <c r="B210" s="21">
        <v>42745</v>
      </c>
      <c r="C210" s="76" t="s">
        <v>12</v>
      </c>
      <c r="D210" s="31"/>
      <c r="E210" s="31"/>
      <c r="F210" s="31"/>
      <c r="G210" s="31"/>
      <c r="H210" s="31"/>
      <c r="I210" s="37"/>
      <c r="J210" s="37">
        <v>2.8</v>
      </c>
      <c r="K210" s="37">
        <v>59</v>
      </c>
      <c r="L210" s="37"/>
      <c r="M210" s="37"/>
      <c r="N210" s="34"/>
      <c r="O210" s="34"/>
      <c r="P210" s="34"/>
      <c r="Q210" s="37"/>
      <c r="R210" s="37"/>
      <c r="S210" s="48"/>
      <c r="T210" s="37"/>
      <c r="U210" s="37"/>
      <c r="V210" s="37"/>
      <c r="W210" s="37"/>
      <c r="X210" s="37">
        <v>7.77</v>
      </c>
      <c r="Y210" s="37"/>
      <c r="Z210" s="37"/>
      <c r="AA210" s="34"/>
      <c r="AB210" s="37">
        <v>9901.1</v>
      </c>
      <c r="AC210" s="34"/>
      <c r="AD210" s="37">
        <v>10</v>
      </c>
      <c r="AE210" s="37">
        <v>17.2</v>
      </c>
      <c r="AF210" s="37">
        <v>20</v>
      </c>
      <c r="AG210" s="70">
        <v>11.308</v>
      </c>
      <c r="AH210" s="37">
        <f>436.5/1000</f>
        <v>0.4365</v>
      </c>
      <c r="AI210" s="37"/>
      <c r="AJ210" s="37">
        <v>50</v>
      </c>
      <c r="AK210" s="37">
        <v>50</v>
      </c>
      <c r="AL210" s="37"/>
      <c r="AM210" s="37"/>
      <c r="AN210" s="37">
        <f>57.8/1000</f>
        <v>5.7799999999999997E-2</v>
      </c>
      <c r="AO210" s="68">
        <f t="shared" si="3"/>
        <v>4.7457627118644062E-2</v>
      </c>
    </row>
    <row r="211" spans="1:41" x14ac:dyDescent="0.2">
      <c r="A211" s="8"/>
      <c r="B211" s="21">
        <v>42745</v>
      </c>
      <c r="C211" s="77" t="s">
        <v>13</v>
      </c>
      <c r="D211" s="31"/>
      <c r="E211" s="31"/>
      <c r="F211" s="31"/>
      <c r="G211" s="31"/>
      <c r="H211" s="31"/>
      <c r="I211" s="37"/>
      <c r="J211" s="37">
        <v>2.5499999999999998</v>
      </c>
      <c r="K211" s="37">
        <v>31</v>
      </c>
      <c r="L211" s="37"/>
      <c r="M211" s="37"/>
      <c r="N211" s="34"/>
      <c r="O211" s="34"/>
      <c r="P211" s="34"/>
      <c r="Q211" s="37"/>
      <c r="R211" s="37"/>
      <c r="S211" s="48"/>
      <c r="T211" s="37"/>
      <c r="U211" s="37"/>
      <c r="V211" s="37"/>
      <c r="W211" s="37"/>
      <c r="X211" s="37">
        <v>7.74</v>
      </c>
      <c r="Y211" s="37"/>
      <c r="Z211" s="37"/>
      <c r="AA211" s="34"/>
      <c r="AB211" s="37">
        <v>7866.1</v>
      </c>
      <c r="AC211" s="34"/>
      <c r="AD211" s="37">
        <v>10</v>
      </c>
      <c r="AE211" s="37">
        <v>13.5</v>
      </c>
      <c r="AF211" s="37">
        <v>20</v>
      </c>
      <c r="AG211" s="37">
        <f>8675.7/1000</f>
        <v>8.6757000000000009</v>
      </c>
      <c r="AH211" s="37">
        <f>342.1/1000</f>
        <v>0.34210000000000002</v>
      </c>
      <c r="AI211" s="37"/>
      <c r="AJ211" s="37">
        <v>50</v>
      </c>
      <c r="AK211" s="37">
        <v>50</v>
      </c>
      <c r="AL211" s="37"/>
      <c r="AM211" s="37"/>
      <c r="AN211" s="37">
        <f>33.8/1000</f>
        <v>3.3799999999999997E-2</v>
      </c>
      <c r="AO211" s="68">
        <f t="shared" si="3"/>
        <v>8.225806451612902E-2</v>
      </c>
    </row>
    <row r="212" spans="1:41" x14ac:dyDescent="0.2">
      <c r="A212" s="8"/>
      <c r="B212" s="21">
        <v>42745</v>
      </c>
      <c r="C212" s="78" t="s">
        <v>14</v>
      </c>
      <c r="D212" s="31"/>
      <c r="E212" s="31"/>
      <c r="F212" s="31"/>
      <c r="G212" s="31"/>
      <c r="H212" s="31"/>
      <c r="I212" s="37"/>
      <c r="J212" s="37">
        <v>0.4</v>
      </c>
      <c r="K212" s="37">
        <v>25</v>
      </c>
      <c r="L212" s="37"/>
      <c r="M212" s="37"/>
      <c r="N212" s="34"/>
      <c r="O212" s="34"/>
      <c r="P212" s="34"/>
      <c r="Q212" s="37"/>
      <c r="R212" s="37"/>
      <c r="S212" s="48"/>
      <c r="T212" s="37"/>
      <c r="U212" s="37"/>
      <c r="V212" s="37"/>
      <c r="W212" s="37"/>
      <c r="X212" s="37">
        <v>8.0299999999999994</v>
      </c>
      <c r="Y212" s="37"/>
      <c r="Z212" s="37"/>
      <c r="AA212" s="34"/>
      <c r="AB212" s="37">
        <v>322.60000000000002</v>
      </c>
      <c r="AC212" s="34"/>
      <c r="AD212" s="37">
        <v>10</v>
      </c>
      <c r="AE212" s="37">
        <v>10</v>
      </c>
      <c r="AF212" s="37">
        <v>20</v>
      </c>
      <c r="AG212" s="37">
        <f>403.3/1000</f>
        <v>0.40329999999999999</v>
      </c>
      <c r="AH212" s="37">
        <f>7.4/1000</f>
        <v>7.4000000000000003E-3</v>
      </c>
      <c r="AI212" s="37"/>
      <c r="AJ212" s="37">
        <v>50</v>
      </c>
      <c r="AK212" s="37">
        <v>50</v>
      </c>
      <c r="AL212" s="37"/>
      <c r="AM212" s="37"/>
      <c r="AN212" s="37">
        <f>20/1000</f>
        <v>0.02</v>
      </c>
      <c r="AO212" s="68">
        <f t="shared" si="3"/>
        <v>1.6E-2</v>
      </c>
    </row>
    <row r="213" spans="1:41" x14ac:dyDescent="0.2">
      <c r="A213" s="10"/>
      <c r="B213" s="21">
        <v>42843</v>
      </c>
      <c r="C213" s="27" t="s">
        <v>9</v>
      </c>
      <c r="D213" s="31"/>
      <c r="E213" s="31"/>
      <c r="F213" s="31"/>
      <c r="G213" s="31"/>
      <c r="H213" s="31"/>
      <c r="I213" s="31">
        <v>1</v>
      </c>
      <c r="J213" s="37">
        <v>0.7</v>
      </c>
      <c r="K213" s="37">
        <v>34</v>
      </c>
      <c r="L213" s="37"/>
      <c r="M213" s="37"/>
      <c r="N213" s="34"/>
      <c r="O213" s="34"/>
      <c r="P213" s="34"/>
      <c r="Q213" s="37">
        <v>0.28999999999999998</v>
      </c>
      <c r="R213" s="37">
        <v>0.72</v>
      </c>
      <c r="S213" s="48">
        <v>0.01</v>
      </c>
      <c r="T213" s="37"/>
      <c r="U213" s="37"/>
      <c r="V213" s="37"/>
      <c r="W213" s="37"/>
      <c r="X213" s="37">
        <v>8.17</v>
      </c>
      <c r="Y213" s="37">
        <v>3.6</v>
      </c>
      <c r="Z213" s="37"/>
      <c r="AA213" s="34"/>
      <c r="AB213" s="37">
        <v>1394.8</v>
      </c>
      <c r="AC213" s="34"/>
      <c r="AD213" s="31">
        <v>10</v>
      </c>
      <c r="AE213" s="31">
        <v>10</v>
      </c>
      <c r="AF213" s="31">
        <v>20</v>
      </c>
      <c r="AG213" s="37">
        <f>1862.3/1000</f>
        <v>1.8622999999999998</v>
      </c>
      <c r="AH213" s="37">
        <f>82/1000</f>
        <v>8.2000000000000003E-2</v>
      </c>
      <c r="AI213" s="37"/>
      <c r="AJ213" s="31">
        <v>50</v>
      </c>
      <c r="AK213" s="31">
        <v>50</v>
      </c>
      <c r="AL213" s="37"/>
      <c r="AM213" s="37"/>
      <c r="AN213" s="37">
        <f>41.07/1000</f>
        <v>4.1070000000000002E-2</v>
      </c>
      <c r="AO213" s="68">
        <f t="shared" si="3"/>
        <v>2.0588235294117647E-2</v>
      </c>
    </row>
    <row r="214" spans="1:41" x14ac:dyDescent="0.2">
      <c r="A214" s="9"/>
      <c r="B214" s="22">
        <v>42843</v>
      </c>
      <c r="C214" s="74" t="s">
        <v>10</v>
      </c>
      <c r="D214" s="31"/>
      <c r="E214" s="31"/>
      <c r="F214" s="31"/>
      <c r="G214" s="31"/>
      <c r="H214" s="31"/>
      <c r="I214" s="31">
        <v>1</v>
      </c>
      <c r="J214" s="37">
        <v>0.25</v>
      </c>
      <c r="K214" s="37">
        <v>31</v>
      </c>
      <c r="L214" s="37"/>
      <c r="M214" s="37"/>
      <c r="N214" s="34"/>
      <c r="O214" s="34"/>
      <c r="P214" s="34"/>
      <c r="Q214" s="37">
        <v>0.1</v>
      </c>
      <c r="R214" s="37">
        <v>0.29299999999999998</v>
      </c>
      <c r="S214" s="48">
        <v>7.0000000000000001E-3</v>
      </c>
      <c r="T214" s="37"/>
      <c r="U214" s="37"/>
      <c r="V214" s="37"/>
      <c r="W214" s="37"/>
      <c r="X214" s="37">
        <v>8.1199999999999992</v>
      </c>
      <c r="Y214" s="37">
        <v>2</v>
      </c>
      <c r="Z214" s="37"/>
      <c r="AA214" s="34"/>
      <c r="AB214" s="37">
        <v>1401.4</v>
      </c>
      <c r="AC214" s="34"/>
      <c r="AD214" s="31">
        <v>10</v>
      </c>
      <c r="AE214" s="31">
        <v>10</v>
      </c>
      <c r="AF214" s="31">
        <v>20</v>
      </c>
      <c r="AG214" s="37">
        <f>1912.9/1000</f>
        <v>1.9129</v>
      </c>
      <c r="AH214" s="37">
        <f>105.9/1000</f>
        <v>0.10590000000000001</v>
      </c>
      <c r="AI214" s="37"/>
      <c r="AJ214" s="31">
        <v>50</v>
      </c>
      <c r="AK214" s="31">
        <v>50</v>
      </c>
      <c r="AL214" s="37"/>
      <c r="AM214" s="37"/>
      <c r="AN214" s="37">
        <f>20/1000</f>
        <v>0.02</v>
      </c>
      <c r="AO214" s="68">
        <f t="shared" si="3"/>
        <v>8.0645161290322578E-3</v>
      </c>
    </row>
    <row r="215" spans="1:41" x14ac:dyDescent="0.2">
      <c r="A215" s="8"/>
      <c r="B215" s="22">
        <v>42843</v>
      </c>
      <c r="C215" s="75" t="s">
        <v>11</v>
      </c>
      <c r="D215" s="31"/>
      <c r="E215" s="31"/>
      <c r="F215" s="31"/>
      <c r="G215" s="31"/>
      <c r="H215" s="31"/>
      <c r="I215" s="31">
        <v>1</v>
      </c>
      <c r="J215" s="37">
        <v>0.4</v>
      </c>
      <c r="K215" s="37">
        <v>31</v>
      </c>
      <c r="L215" s="37"/>
      <c r="M215" s="37"/>
      <c r="N215" s="34"/>
      <c r="O215" s="34"/>
      <c r="P215" s="34"/>
      <c r="Q215" s="37">
        <v>0.1</v>
      </c>
      <c r="R215" s="37">
        <v>0.16300000000000001</v>
      </c>
      <c r="S215" s="48">
        <v>7.0000000000000001E-3</v>
      </c>
      <c r="T215" s="37"/>
      <c r="U215" s="37"/>
      <c r="V215" s="37"/>
      <c r="W215" s="37"/>
      <c r="X215" s="37">
        <v>8.1</v>
      </c>
      <c r="Y215" s="37">
        <v>2.8</v>
      </c>
      <c r="Z215" s="37"/>
      <c r="AA215" s="34"/>
      <c r="AB215" s="37">
        <v>1276</v>
      </c>
      <c r="AC215" s="34"/>
      <c r="AD215" s="31">
        <v>10</v>
      </c>
      <c r="AE215" s="31">
        <v>10</v>
      </c>
      <c r="AF215" s="31">
        <v>20</v>
      </c>
      <c r="AG215" s="37">
        <f>1668.7/1000</f>
        <v>1.6687000000000001</v>
      </c>
      <c r="AH215" s="37">
        <f>94.9/1000</f>
        <v>9.4900000000000012E-2</v>
      </c>
      <c r="AI215" s="37"/>
      <c r="AJ215" s="31">
        <v>50</v>
      </c>
      <c r="AK215" s="31">
        <v>50</v>
      </c>
      <c r="AL215" s="37"/>
      <c r="AM215" s="37"/>
      <c r="AN215" s="37">
        <f>20/1000</f>
        <v>0.02</v>
      </c>
      <c r="AO215" s="68">
        <f t="shared" si="3"/>
        <v>1.2903225806451613E-2</v>
      </c>
    </row>
    <row r="216" spans="1:41" x14ac:dyDescent="0.2">
      <c r="A216" s="8"/>
      <c r="B216" s="22">
        <v>42843</v>
      </c>
      <c r="C216" s="76" t="s">
        <v>12</v>
      </c>
      <c r="D216" s="31"/>
      <c r="E216" s="31"/>
      <c r="F216" s="31"/>
      <c r="G216" s="31"/>
      <c r="H216" s="31"/>
      <c r="I216" s="31">
        <v>1</v>
      </c>
      <c r="J216" s="37">
        <v>0.15</v>
      </c>
      <c r="K216" s="37">
        <v>33</v>
      </c>
      <c r="L216" s="37"/>
      <c r="M216" s="37"/>
      <c r="N216" s="34"/>
      <c r="O216" s="34"/>
      <c r="P216" s="34"/>
      <c r="Q216" s="37">
        <v>0.1</v>
      </c>
      <c r="R216" s="37">
        <v>0.16400000000000001</v>
      </c>
      <c r="S216" s="48">
        <v>6.0000000000000001E-3</v>
      </c>
      <c r="T216" s="37"/>
      <c r="U216" s="37"/>
      <c r="V216" s="37"/>
      <c r="W216" s="37"/>
      <c r="X216" s="37">
        <v>8.16</v>
      </c>
      <c r="Y216" s="37">
        <v>7.6</v>
      </c>
      <c r="Z216" s="37"/>
      <c r="AA216" s="34"/>
      <c r="AB216" s="37">
        <v>2392.5</v>
      </c>
      <c r="AC216" s="34"/>
      <c r="AD216" s="31">
        <v>10</v>
      </c>
      <c r="AE216" s="31">
        <v>10</v>
      </c>
      <c r="AF216" s="31">
        <v>20</v>
      </c>
      <c r="AG216" s="37">
        <f>2527.8/1000</f>
        <v>2.5278</v>
      </c>
      <c r="AH216" s="37">
        <f>105.2/1000</f>
        <v>0.1052</v>
      </c>
      <c r="AI216" s="37"/>
      <c r="AJ216" s="31">
        <v>50</v>
      </c>
      <c r="AK216" s="31">
        <v>50</v>
      </c>
      <c r="AL216" s="37"/>
      <c r="AM216" s="37"/>
      <c r="AN216" s="37">
        <f>20.1/1000</f>
        <v>2.01E-2</v>
      </c>
      <c r="AO216" s="68">
        <f t="shared" si="3"/>
        <v>4.5454545454545452E-3</v>
      </c>
    </row>
    <row r="217" spans="1:41" x14ac:dyDescent="0.2">
      <c r="A217" s="8"/>
      <c r="B217" s="22">
        <v>42843</v>
      </c>
      <c r="C217" s="77" t="s">
        <v>13</v>
      </c>
      <c r="D217" s="31"/>
      <c r="E217" s="31"/>
      <c r="F217" s="31"/>
      <c r="G217" s="31"/>
      <c r="H217" s="31"/>
      <c r="I217" s="31">
        <v>1</v>
      </c>
      <c r="J217" s="37">
        <v>0.3</v>
      </c>
      <c r="K217" s="37">
        <v>41</v>
      </c>
      <c r="L217" s="37"/>
      <c r="M217" s="37"/>
      <c r="N217" s="34"/>
      <c r="O217" s="34"/>
      <c r="P217" s="34"/>
      <c r="Q217" s="37">
        <v>0.1</v>
      </c>
      <c r="R217" s="37">
        <v>0.16300000000000001</v>
      </c>
      <c r="S217" s="48">
        <v>7.0000000000000001E-3</v>
      </c>
      <c r="T217" s="37"/>
      <c r="U217" s="37"/>
      <c r="V217" s="37"/>
      <c r="W217" s="37"/>
      <c r="X217" s="37">
        <v>8.0299999999999994</v>
      </c>
      <c r="Y217" s="37">
        <v>6.8</v>
      </c>
      <c r="Z217" s="37"/>
      <c r="AA217" s="34"/>
      <c r="AB217" s="37">
        <v>2492.6</v>
      </c>
      <c r="AC217" s="34"/>
      <c r="AD217" s="31">
        <v>10</v>
      </c>
      <c r="AE217" s="31">
        <v>10</v>
      </c>
      <c r="AF217" s="31">
        <v>20</v>
      </c>
      <c r="AG217" s="37">
        <f>253.8/1000</f>
        <v>0.25380000000000003</v>
      </c>
      <c r="AH217" s="37">
        <f>108.3/1000</f>
        <v>0.10829999999999999</v>
      </c>
      <c r="AI217" s="37"/>
      <c r="AJ217" s="31">
        <v>50</v>
      </c>
      <c r="AK217" s="31">
        <v>50</v>
      </c>
      <c r="AL217" s="37"/>
      <c r="AM217" s="37"/>
      <c r="AN217" s="37">
        <f>25.5/1000</f>
        <v>2.5499999999999998E-2</v>
      </c>
      <c r="AO217" s="68">
        <f t="shared" si="3"/>
        <v>7.3170731707317069E-3</v>
      </c>
    </row>
    <row r="218" spans="1:41" x14ac:dyDescent="0.2">
      <c r="A218" s="8"/>
      <c r="B218" s="22">
        <v>42843</v>
      </c>
      <c r="C218" s="78" t="s">
        <v>14</v>
      </c>
      <c r="D218" s="31"/>
      <c r="E218" s="31"/>
      <c r="F218" s="31"/>
      <c r="G218" s="31"/>
      <c r="H218" s="31"/>
      <c r="I218" s="31">
        <v>1</v>
      </c>
      <c r="J218" s="37">
        <v>2.5000000000000001E-2</v>
      </c>
      <c r="K218" s="37">
        <v>35</v>
      </c>
      <c r="L218" s="37"/>
      <c r="M218" s="37"/>
      <c r="N218" s="34"/>
      <c r="O218" s="34"/>
      <c r="P218" s="34"/>
      <c r="Q218" s="37">
        <v>0.1</v>
      </c>
      <c r="R218" s="37">
        <v>0.13</v>
      </c>
      <c r="S218" s="48">
        <v>2E-3</v>
      </c>
      <c r="T218" s="37"/>
      <c r="U218" s="37"/>
      <c r="V218" s="37"/>
      <c r="W218" s="37"/>
      <c r="X218" s="37">
        <v>8.1</v>
      </c>
      <c r="Y218" s="37">
        <v>5.6</v>
      </c>
      <c r="Z218" s="37"/>
      <c r="AA218" s="34"/>
      <c r="AB218" s="37">
        <v>700.7</v>
      </c>
      <c r="AC218" s="34"/>
      <c r="AD218" s="31">
        <v>10</v>
      </c>
      <c r="AE218" s="31">
        <v>10</v>
      </c>
      <c r="AF218" s="31">
        <v>20</v>
      </c>
      <c r="AG218" s="37">
        <f>611.5/1000</f>
        <v>0.61150000000000004</v>
      </c>
      <c r="AH218" s="37">
        <f>43.3/1000</f>
        <v>4.3299999999999998E-2</v>
      </c>
      <c r="AI218" s="37"/>
      <c r="AJ218" s="31">
        <v>50</v>
      </c>
      <c r="AK218" s="31">
        <v>50</v>
      </c>
      <c r="AL218" s="37"/>
      <c r="AM218" s="37"/>
      <c r="AN218" s="37">
        <f>20/1000</f>
        <v>0.02</v>
      </c>
      <c r="AO218" s="68">
        <f t="shared" si="3"/>
        <v>7.1428571428571429E-4</v>
      </c>
    </row>
    <row r="219" spans="1:41" x14ac:dyDescent="0.2">
      <c r="A219" s="10"/>
      <c r="B219" s="22">
        <v>42934</v>
      </c>
      <c r="C219" s="27" t="s">
        <v>9</v>
      </c>
      <c r="D219" s="31"/>
      <c r="E219" s="31"/>
      <c r="F219" s="31"/>
      <c r="G219" s="31"/>
      <c r="H219" s="31"/>
      <c r="I219" s="37"/>
      <c r="J219" s="37">
        <v>0.5</v>
      </c>
      <c r="K219" s="31">
        <v>25</v>
      </c>
      <c r="L219" s="37"/>
      <c r="M219" s="37"/>
      <c r="N219" s="34"/>
      <c r="O219" s="34"/>
      <c r="P219" s="34"/>
      <c r="Q219" s="37"/>
      <c r="R219" s="37"/>
      <c r="S219" s="48"/>
      <c r="T219" s="37"/>
      <c r="U219" s="37"/>
      <c r="V219" s="37"/>
      <c r="W219" s="37"/>
      <c r="X219" s="37">
        <v>7.69</v>
      </c>
      <c r="Y219" s="37"/>
      <c r="Z219" s="37"/>
      <c r="AA219" s="34"/>
      <c r="AB219" s="37"/>
      <c r="AC219" s="34"/>
      <c r="AD219" s="31">
        <v>10</v>
      </c>
      <c r="AE219" s="37">
        <v>11.8</v>
      </c>
      <c r="AF219" s="31">
        <v>20</v>
      </c>
      <c r="AG219" s="37">
        <f>346.2/1000</f>
        <v>0.34620000000000001</v>
      </c>
      <c r="AH219" s="37">
        <f>26.2/1000</f>
        <v>2.6199999999999998E-2</v>
      </c>
      <c r="AI219" s="37"/>
      <c r="AJ219" s="31">
        <v>50</v>
      </c>
      <c r="AK219" s="31">
        <v>50</v>
      </c>
      <c r="AL219" s="37"/>
      <c r="AM219" s="37"/>
      <c r="AN219" s="37">
        <f>26.2/1000</f>
        <v>2.6199999999999998E-2</v>
      </c>
      <c r="AO219" s="68">
        <f t="shared" si="3"/>
        <v>0.02</v>
      </c>
    </row>
    <row r="220" spans="1:41" x14ac:dyDescent="0.2">
      <c r="A220" s="9"/>
      <c r="B220" s="22">
        <v>42934</v>
      </c>
      <c r="C220" s="74" t="s">
        <v>10</v>
      </c>
      <c r="D220" s="31"/>
      <c r="E220" s="31"/>
      <c r="F220" s="31"/>
      <c r="G220" s="31"/>
      <c r="H220" s="31"/>
      <c r="I220" s="37"/>
      <c r="J220" s="37">
        <v>0.55000000000000004</v>
      </c>
      <c r="K220" s="31">
        <v>25</v>
      </c>
      <c r="L220" s="37"/>
      <c r="M220" s="37"/>
      <c r="N220" s="34"/>
      <c r="O220" s="34"/>
      <c r="P220" s="34"/>
      <c r="Q220" s="37"/>
      <c r="R220" s="37"/>
      <c r="S220" s="48"/>
      <c r="T220" s="37"/>
      <c r="U220" s="37"/>
      <c r="V220" s="37"/>
      <c r="W220" s="37"/>
      <c r="X220" s="37">
        <v>7.64</v>
      </c>
      <c r="Y220" s="37"/>
      <c r="Z220" s="37"/>
      <c r="AA220" s="34"/>
      <c r="AB220" s="37"/>
      <c r="AC220" s="34"/>
      <c r="AD220" s="31">
        <v>10</v>
      </c>
      <c r="AE220" s="31">
        <v>10</v>
      </c>
      <c r="AF220" s="31">
        <v>20</v>
      </c>
      <c r="AG220" s="37">
        <f>327.8/1000</f>
        <v>0.32780000000000004</v>
      </c>
      <c r="AH220" s="37">
        <f>46.6/1000</f>
        <v>4.6600000000000003E-2</v>
      </c>
      <c r="AI220" s="37"/>
      <c r="AJ220" s="31">
        <v>50</v>
      </c>
      <c r="AK220" s="31">
        <v>50</v>
      </c>
      <c r="AL220" s="37"/>
      <c r="AM220" s="37"/>
      <c r="AN220" s="37">
        <f>26.3/1000</f>
        <v>2.63E-2</v>
      </c>
      <c r="AO220" s="68">
        <f t="shared" si="3"/>
        <v>2.2000000000000002E-2</v>
      </c>
    </row>
    <row r="221" spans="1:41" x14ac:dyDescent="0.2">
      <c r="A221" s="8"/>
      <c r="B221" s="22">
        <v>42934</v>
      </c>
      <c r="C221" s="75" t="s">
        <v>11</v>
      </c>
      <c r="D221" s="31"/>
      <c r="E221" s="31"/>
      <c r="F221" s="31"/>
      <c r="G221" s="31"/>
      <c r="H221" s="31"/>
      <c r="I221" s="37"/>
      <c r="J221" s="37">
        <v>0.6</v>
      </c>
      <c r="K221" s="31">
        <v>25</v>
      </c>
      <c r="L221" s="37"/>
      <c r="M221" s="37"/>
      <c r="N221" s="34"/>
      <c r="O221" s="34"/>
      <c r="P221" s="34"/>
      <c r="Q221" s="37"/>
      <c r="R221" s="37"/>
      <c r="S221" s="48"/>
      <c r="T221" s="37"/>
      <c r="U221" s="37"/>
      <c r="V221" s="37"/>
      <c r="W221" s="37"/>
      <c r="X221" s="37">
        <v>7.78</v>
      </c>
      <c r="Y221" s="37"/>
      <c r="Z221" s="37"/>
      <c r="AA221" s="34"/>
      <c r="AB221" s="37"/>
      <c r="AC221" s="34"/>
      <c r="AD221" s="31">
        <v>10</v>
      </c>
      <c r="AE221" s="31">
        <v>10</v>
      </c>
      <c r="AF221" s="31">
        <v>20</v>
      </c>
      <c r="AG221" s="37">
        <f>280.4/1000</f>
        <v>0.28039999999999998</v>
      </c>
      <c r="AH221" s="37">
        <f>35.8/1000</f>
        <v>3.5799999999999998E-2</v>
      </c>
      <c r="AI221" s="37"/>
      <c r="AJ221" s="31">
        <v>50</v>
      </c>
      <c r="AK221" s="31">
        <v>50</v>
      </c>
      <c r="AL221" s="37"/>
      <c r="AM221" s="37"/>
      <c r="AN221" s="37">
        <f>39.8/1000</f>
        <v>3.9799999999999995E-2</v>
      </c>
      <c r="AO221" s="68">
        <f t="shared" si="3"/>
        <v>2.4E-2</v>
      </c>
    </row>
    <row r="222" spans="1:41" x14ac:dyDescent="0.2">
      <c r="A222" s="8"/>
      <c r="B222" s="22">
        <v>42934</v>
      </c>
      <c r="C222" s="76" t="s">
        <v>12</v>
      </c>
      <c r="D222" s="31"/>
      <c r="E222" s="31"/>
      <c r="F222" s="31"/>
      <c r="G222" s="31"/>
      <c r="H222" s="31"/>
      <c r="I222" s="37"/>
      <c r="J222" s="37">
        <v>0.5</v>
      </c>
      <c r="K222" s="31">
        <v>25</v>
      </c>
      <c r="L222" s="37"/>
      <c r="M222" s="37"/>
      <c r="N222" s="34"/>
      <c r="O222" s="34"/>
      <c r="P222" s="34"/>
      <c r="Q222" s="37"/>
      <c r="R222" s="37"/>
      <c r="S222" s="48"/>
      <c r="T222" s="37"/>
      <c r="U222" s="37"/>
      <c r="V222" s="37"/>
      <c r="W222" s="37"/>
      <c r="X222" s="37">
        <v>7.84</v>
      </c>
      <c r="Y222" s="37"/>
      <c r="Z222" s="37"/>
      <c r="AA222" s="34"/>
      <c r="AB222" s="37"/>
      <c r="AC222" s="34"/>
      <c r="AD222" s="31">
        <v>10</v>
      </c>
      <c r="AE222" s="31">
        <v>10</v>
      </c>
      <c r="AF222" s="31">
        <v>20</v>
      </c>
      <c r="AG222" s="37">
        <f>190.7/1000</f>
        <v>0.19069999999999998</v>
      </c>
      <c r="AH222" s="37">
        <f>53.9/1000</f>
        <v>5.3899999999999997E-2</v>
      </c>
      <c r="AI222" s="37"/>
      <c r="AJ222" s="31">
        <v>50</v>
      </c>
      <c r="AK222" s="31">
        <v>50</v>
      </c>
      <c r="AL222" s="37"/>
      <c r="AM222" s="37"/>
      <c r="AN222" s="37">
        <f>38.6/1000</f>
        <v>3.8600000000000002E-2</v>
      </c>
      <c r="AO222" s="68">
        <f t="shared" si="3"/>
        <v>0.02</v>
      </c>
    </row>
    <row r="223" spans="1:41" x14ac:dyDescent="0.2">
      <c r="A223" s="8"/>
      <c r="B223" s="22">
        <v>42934</v>
      </c>
      <c r="C223" s="77" t="s">
        <v>13</v>
      </c>
      <c r="D223" s="31"/>
      <c r="E223" s="31"/>
      <c r="F223" s="31"/>
      <c r="G223" s="31"/>
      <c r="H223" s="31"/>
      <c r="I223" s="37"/>
      <c r="J223" s="37">
        <v>0.6</v>
      </c>
      <c r="K223" s="31">
        <v>25</v>
      </c>
      <c r="L223" s="37"/>
      <c r="M223" s="37"/>
      <c r="N223" s="34"/>
      <c r="O223" s="34"/>
      <c r="P223" s="34"/>
      <c r="Q223" s="37"/>
      <c r="R223" s="37"/>
      <c r="S223" s="48"/>
      <c r="T223" s="37"/>
      <c r="U223" s="37"/>
      <c r="V223" s="37"/>
      <c r="W223" s="37"/>
      <c r="X223" s="37">
        <v>7.74</v>
      </c>
      <c r="Y223" s="37"/>
      <c r="Z223" s="37"/>
      <c r="AA223" s="34"/>
      <c r="AB223" s="37"/>
      <c r="AC223" s="34"/>
      <c r="AD223" s="31">
        <v>10</v>
      </c>
      <c r="AE223" s="31">
        <v>10</v>
      </c>
      <c r="AF223" s="31">
        <v>20</v>
      </c>
      <c r="AG223" s="37">
        <f>162.8/1000</f>
        <v>0.1628</v>
      </c>
      <c r="AH223" s="37">
        <f>12/1000</f>
        <v>1.2E-2</v>
      </c>
      <c r="AI223" s="37"/>
      <c r="AJ223" s="31">
        <v>50</v>
      </c>
      <c r="AK223" s="31">
        <v>50</v>
      </c>
      <c r="AL223" s="37"/>
      <c r="AM223" s="37"/>
      <c r="AN223" s="37">
        <f>20/1000</f>
        <v>0.02</v>
      </c>
      <c r="AO223" s="68">
        <f t="shared" si="3"/>
        <v>2.4E-2</v>
      </c>
    </row>
    <row r="224" spans="1:41" x14ac:dyDescent="0.2">
      <c r="A224" s="8"/>
      <c r="B224" s="22">
        <v>42934</v>
      </c>
      <c r="C224" s="78" t="s">
        <v>14</v>
      </c>
      <c r="D224" s="31"/>
      <c r="E224" s="31"/>
      <c r="F224" s="31"/>
      <c r="G224" s="31"/>
      <c r="H224" s="31"/>
      <c r="I224" s="37"/>
      <c r="J224" s="37">
        <v>0.7</v>
      </c>
      <c r="K224" s="31">
        <v>25</v>
      </c>
      <c r="L224" s="37"/>
      <c r="M224" s="37"/>
      <c r="N224" s="34"/>
      <c r="O224" s="34"/>
      <c r="P224" s="34"/>
      <c r="Q224" s="37"/>
      <c r="R224" s="37"/>
      <c r="S224" s="48"/>
      <c r="T224" s="37"/>
      <c r="U224" s="37"/>
      <c r="V224" s="37"/>
      <c r="W224" s="37"/>
      <c r="X224" s="37">
        <v>7.87</v>
      </c>
      <c r="Y224" s="37"/>
      <c r="Z224" s="37"/>
      <c r="AA224" s="34"/>
      <c r="AB224" s="37"/>
      <c r="AC224" s="34"/>
      <c r="AD224" s="31">
        <v>10</v>
      </c>
      <c r="AE224" s="31">
        <v>10</v>
      </c>
      <c r="AF224" s="31">
        <v>20</v>
      </c>
      <c r="AG224" s="37">
        <f>332.6/1000</f>
        <v>0.33260000000000001</v>
      </c>
      <c r="AH224" s="37">
        <f>45.5/1000</f>
        <v>4.5499999999999999E-2</v>
      </c>
      <c r="AI224" s="37"/>
      <c r="AJ224" s="31">
        <v>50</v>
      </c>
      <c r="AK224" s="31">
        <v>50</v>
      </c>
      <c r="AL224" s="37"/>
      <c r="AM224" s="37"/>
      <c r="AN224" s="37">
        <f>27.4/1000</f>
        <v>2.7399999999999997E-2</v>
      </c>
      <c r="AO224" s="68">
        <f t="shared" si="3"/>
        <v>2.7999999999999997E-2</v>
      </c>
    </row>
    <row r="225" spans="1:41" x14ac:dyDescent="0.2">
      <c r="A225" s="10"/>
      <c r="B225" s="22">
        <v>43025</v>
      </c>
      <c r="C225" s="27" t="s">
        <v>9</v>
      </c>
      <c r="D225" s="31"/>
      <c r="E225" s="31"/>
      <c r="F225" s="31"/>
      <c r="G225" s="31"/>
      <c r="H225" s="31"/>
      <c r="I225" s="31">
        <v>1</v>
      </c>
      <c r="J225" s="31">
        <v>1</v>
      </c>
      <c r="K225" s="31">
        <v>25</v>
      </c>
      <c r="L225" s="31"/>
      <c r="M225" s="31"/>
      <c r="N225" s="31"/>
      <c r="O225" s="31"/>
      <c r="P225" s="31"/>
      <c r="Q225" s="31">
        <v>0.1</v>
      </c>
      <c r="R225" s="31">
        <v>0.03</v>
      </c>
      <c r="S225" s="43">
        <v>2E-3</v>
      </c>
      <c r="T225" s="31"/>
      <c r="U225" s="31"/>
      <c r="V225" s="31"/>
      <c r="W225" s="31"/>
      <c r="X225" s="31">
        <v>8.0500000000000007</v>
      </c>
      <c r="Y225" s="31">
        <v>10</v>
      </c>
      <c r="Z225" s="31"/>
      <c r="AA225" s="31"/>
      <c r="AB225" s="31">
        <v>294.8</v>
      </c>
      <c r="AC225" s="31"/>
      <c r="AD225" s="31">
        <v>10</v>
      </c>
      <c r="AE225" s="31">
        <v>10</v>
      </c>
      <c r="AF225" s="31">
        <v>20</v>
      </c>
      <c r="AG225" s="31">
        <f>305.1/1000</f>
        <v>0.30510000000000004</v>
      </c>
      <c r="AH225" s="31">
        <f>32.8/1000</f>
        <v>3.2799999999999996E-2</v>
      </c>
      <c r="AI225" s="31"/>
      <c r="AJ225" s="31">
        <v>50</v>
      </c>
      <c r="AK225" s="31">
        <v>50</v>
      </c>
      <c r="AL225" s="31"/>
      <c r="AM225" s="31"/>
      <c r="AN225" s="31">
        <f>290.1/1000</f>
        <v>0.29010000000000002</v>
      </c>
      <c r="AO225" s="68">
        <f t="shared" si="3"/>
        <v>0.04</v>
      </c>
    </row>
    <row r="226" spans="1:41" x14ac:dyDescent="0.2">
      <c r="A226" s="9"/>
      <c r="B226" s="22">
        <v>43025</v>
      </c>
      <c r="C226" s="74" t="s">
        <v>10</v>
      </c>
      <c r="D226" s="31"/>
      <c r="E226" s="31"/>
      <c r="F226" s="31"/>
      <c r="G226" s="31"/>
      <c r="H226" s="31"/>
      <c r="I226" s="31">
        <v>1</v>
      </c>
      <c r="J226" s="31">
        <v>0.85</v>
      </c>
      <c r="K226" s="31">
        <v>25</v>
      </c>
      <c r="L226" s="31"/>
      <c r="M226" s="31"/>
      <c r="N226" s="31"/>
      <c r="O226" s="31"/>
      <c r="P226" s="31"/>
      <c r="Q226" s="31">
        <v>0.1</v>
      </c>
      <c r="R226" s="31">
        <v>0.05</v>
      </c>
      <c r="S226" s="43">
        <v>2E-3</v>
      </c>
      <c r="T226" s="31"/>
      <c r="U226" s="31"/>
      <c r="V226" s="31"/>
      <c r="W226" s="31"/>
      <c r="X226" s="31">
        <v>7.89</v>
      </c>
      <c r="Y226" s="31">
        <v>4.4000000000000004</v>
      </c>
      <c r="Z226" s="31"/>
      <c r="AA226" s="31"/>
      <c r="AB226" s="31">
        <v>212.6</v>
      </c>
      <c r="AC226" s="31"/>
      <c r="AD226" s="31">
        <v>10</v>
      </c>
      <c r="AE226" s="31">
        <v>10</v>
      </c>
      <c r="AF226" s="31">
        <v>20</v>
      </c>
      <c r="AG226" s="31">
        <f>184.5/1000</f>
        <v>0.1845</v>
      </c>
      <c r="AH226" s="31">
        <f>100.9/1000</f>
        <v>0.1009</v>
      </c>
      <c r="AI226" s="31"/>
      <c r="AJ226" s="31">
        <v>50</v>
      </c>
      <c r="AK226" s="31">
        <v>50</v>
      </c>
      <c r="AL226" s="31"/>
      <c r="AM226" s="31"/>
      <c r="AN226" s="31">
        <f>40.9/1000</f>
        <v>4.0899999999999999E-2</v>
      </c>
      <c r="AO226" s="68">
        <f t="shared" si="3"/>
        <v>3.4000000000000002E-2</v>
      </c>
    </row>
    <row r="227" spans="1:41" x14ac:dyDescent="0.2">
      <c r="A227" s="8"/>
      <c r="B227" s="22">
        <v>43025</v>
      </c>
      <c r="C227" s="75" t="s">
        <v>11</v>
      </c>
      <c r="D227" s="31"/>
      <c r="E227" s="31"/>
      <c r="F227" s="31"/>
      <c r="G227" s="31"/>
      <c r="H227" s="31"/>
      <c r="I227" s="31">
        <v>1</v>
      </c>
      <c r="J227" s="31">
        <v>0.38</v>
      </c>
      <c r="K227" s="31">
        <v>27</v>
      </c>
      <c r="L227" s="31"/>
      <c r="M227" s="31"/>
      <c r="N227" s="31"/>
      <c r="O227" s="31"/>
      <c r="P227" s="31"/>
      <c r="Q227" s="31">
        <v>0.1</v>
      </c>
      <c r="R227" s="31">
        <v>0.04</v>
      </c>
      <c r="S227" s="43">
        <v>2E-3</v>
      </c>
      <c r="T227" s="31"/>
      <c r="U227" s="31"/>
      <c r="V227" s="31"/>
      <c r="W227" s="31"/>
      <c r="X227" s="31">
        <v>8.0299999999999994</v>
      </c>
      <c r="Y227" s="31">
        <v>10.4</v>
      </c>
      <c r="Z227" s="31"/>
      <c r="AA227" s="31"/>
      <c r="AB227" s="31">
        <v>149.69999999999999</v>
      </c>
      <c r="AC227" s="31"/>
      <c r="AD227" s="31">
        <v>10</v>
      </c>
      <c r="AE227" s="31">
        <v>10</v>
      </c>
      <c r="AF227" s="31">
        <v>20</v>
      </c>
      <c r="AG227" s="31">
        <f>175.8/1000</f>
        <v>0.17580000000000001</v>
      </c>
      <c r="AH227" s="31">
        <f>38.5/1000</f>
        <v>3.85E-2</v>
      </c>
      <c r="AI227" s="31"/>
      <c r="AJ227" s="31">
        <v>50</v>
      </c>
      <c r="AK227" s="31">
        <v>50</v>
      </c>
      <c r="AL227" s="31"/>
      <c r="AM227" s="31"/>
      <c r="AN227" s="31">
        <f>83.8/1000</f>
        <v>8.3799999999999999E-2</v>
      </c>
      <c r="AO227" s="68">
        <f t="shared" si="3"/>
        <v>1.4074074074074074E-2</v>
      </c>
    </row>
    <row r="228" spans="1:41" x14ac:dyDescent="0.2">
      <c r="A228" s="8"/>
      <c r="B228" s="22">
        <v>43025</v>
      </c>
      <c r="C228" s="76" t="s">
        <v>12</v>
      </c>
      <c r="D228" s="31"/>
      <c r="E228" s="31"/>
      <c r="F228" s="31"/>
      <c r="G228" s="31"/>
      <c r="H228" s="31"/>
      <c r="I228" s="31">
        <v>1</v>
      </c>
      <c r="J228" s="31">
        <v>0.4</v>
      </c>
      <c r="K228" s="31">
        <v>25</v>
      </c>
      <c r="L228" s="31"/>
      <c r="M228" s="31"/>
      <c r="N228" s="31"/>
      <c r="O228" s="31"/>
      <c r="P228" s="31"/>
      <c r="Q228" s="31">
        <v>0.1</v>
      </c>
      <c r="R228" s="31">
        <v>0.05</v>
      </c>
      <c r="S228" s="43">
        <v>2E-3</v>
      </c>
      <c r="T228" s="31"/>
      <c r="U228" s="31"/>
      <c r="V228" s="31"/>
      <c r="W228" s="31"/>
      <c r="X228" s="31">
        <v>8.08</v>
      </c>
      <c r="Y228" s="31">
        <v>12</v>
      </c>
      <c r="Z228" s="31"/>
      <c r="AA228" s="31"/>
      <c r="AB228" s="31">
        <v>260.2</v>
      </c>
      <c r="AC228" s="31"/>
      <c r="AD228" s="31">
        <v>10</v>
      </c>
      <c r="AE228" s="31">
        <v>10</v>
      </c>
      <c r="AF228" s="31">
        <v>20</v>
      </c>
      <c r="AG228" s="31">
        <f>306.1/1000</f>
        <v>0.30610000000000004</v>
      </c>
      <c r="AH228" s="31">
        <f>24/1000</f>
        <v>2.4E-2</v>
      </c>
      <c r="AI228" s="31"/>
      <c r="AJ228" s="31">
        <v>50</v>
      </c>
      <c r="AK228" s="31">
        <v>50</v>
      </c>
      <c r="AL228" s="31"/>
      <c r="AM228" s="31"/>
      <c r="AN228" s="31">
        <f>66.4/1000</f>
        <v>6.6400000000000001E-2</v>
      </c>
      <c r="AO228" s="68">
        <f t="shared" si="3"/>
        <v>1.6E-2</v>
      </c>
    </row>
    <row r="229" spans="1:41" x14ac:dyDescent="0.2">
      <c r="A229" s="8"/>
      <c r="B229" s="22">
        <v>43025</v>
      </c>
      <c r="C229" s="77" t="s">
        <v>13</v>
      </c>
      <c r="D229" s="31"/>
      <c r="E229" s="31"/>
      <c r="F229" s="31"/>
      <c r="G229" s="31"/>
      <c r="H229" s="31"/>
      <c r="I229" s="31">
        <v>1</v>
      </c>
      <c r="J229" s="31">
        <v>0.6</v>
      </c>
      <c r="K229" s="31">
        <v>25</v>
      </c>
      <c r="L229" s="31"/>
      <c r="M229" s="31"/>
      <c r="N229" s="31"/>
      <c r="O229" s="31"/>
      <c r="P229" s="31"/>
      <c r="Q229" s="31">
        <v>0.1</v>
      </c>
      <c r="R229" s="31">
        <v>0.03</v>
      </c>
      <c r="S229" s="43">
        <v>2E-3</v>
      </c>
      <c r="T229" s="31"/>
      <c r="U229" s="31"/>
      <c r="V229" s="31"/>
      <c r="W229" s="31"/>
      <c r="X229" s="31">
        <v>7.82</v>
      </c>
      <c r="Y229" s="31">
        <v>16.8</v>
      </c>
      <c r="Z229" s="31"/>
      <c r="AA229" s="31"/>
      <c r="AB229" s="31">
        <v>304</v>
      </c>
      <c r="AC229" s="31"/>
      <c r="AD229" s="31">
        <v>10</v>
      </c>
      <c r="AE229" s="31">
        <v>10</v>
      </c>
      <c r="AF229" s="31">
        <v>20</v>
      </c>
      <c r="AG229" s="31">
        <f>265.2/1000</f>
        <v>0.26519999999999999</v>
      </c>
      <c r="AH229" s="31">
        <f>86.4/1000</f>
        <v>8.6400000000000005E-2</v>
      </c>
      <c r="AI229" s="31"/>
      <c r="AJ229" s="31">
        <v>50</v>
      </c>
      <c r="AK229" s="31">
        <v>50</v>
      </c>
      <c r="AL229" s="31"/>
      <c r="AM229" s="31"/>
      <c r="AN229" s="71">
        <f>23/1000</f>
        <v>2.3E-2</v>
      </c>
      <c r="AO229" s="68">
        <f t="shared" si="3"/>
        <v>2.4E-2</v>
      </c>
    </row>
    <row r="230" spans="1:41" x14ac:dyDescent="0.2">
      <c r="A230" s="8"/>
      <c r="B230" s="22">
        <v>43025</v>
      </c>
      <c r="C230" s="78" t="s">
        <v>14</v>
      </c>
      <c r="D230" s="31"/>
      <c r="E230" s="31"/>
      <c r="F230" s="31"/>
      <c r="G230" s="31"/>
      <c r="H230" s="31"/>
      <c r="I230" s="31">
        <v>1</v>
      </c>
      <c r="J230" s="31">
        <v>0.5</v>
      </c>
      <c r="K230" s="31">
        <v>25</v>
      </c>
      <c r="L230" s="31"/>
      <c r="M230" s="31"/>
      <c r="N230" s="31"/>
      <c r="O230" s="31"/>
      <c r="P230" s="31"/>
      <c r="Q230" s="31">
        <v>0.1</v>
      </c>
      <c r="R230" s="31">
        <v>0.05</v>
      </c>
      <c r="S230" s="43">
        <v>2E-3</v>
      </c>
      <c r="T230" s="31"/>
      <c r="U230" s="31"/>
      <c r="V230" s="31"/>
      <c r="W230" s="31"/>
      <c r="X230" s="31">
        <v>7.13</v>
      </c>
      <c r="Y230" s="31">
        <v>5.2</v>
      </c>
      <c r="Z230" s="31"/>
      <c r="AA230" s="31"/>
      <c r="AB230" s="31">
        <v>202.4</v>
      </c>
      <c r="AC230" s="31"/>
      <c r="AD230" s="31">
        <v>10</v>
      </c>
      <c r="AE230" s="31">
        <v>10</v>
      </c>
      <c r="AF230" s="31">
        <v>20</v>
      </c>
      <c r="AG230" s="31">
        <f>191.8/1000</f>
        <v>0.1918</v>
      </c>
      <c r="AH230" s="31">
        <f>67.2/1000</f>
        <v>6.720000000000001E-2</v>
      </c>
      <c r="AI230" s="31"/>
      <c r="AJ230" s="31">
        <v>50</v>
      </c>
      <c r="AK230" s="31">
        <v>50</v>
      </c>
      <c r="AL230" s="31"/>
      <c r="AM230" s="31"/>
      <c r="AN230" s="71">
        <f>28.7/1000</f>
        <v>2.87E-2</v>
      </c>
      <c r="AO230" s="68">
        <f t="shared" si="3"/>
        <v>0.02</v>
      </c>
    </row>
    <row r="231" spans="1:41" x14ac:dyDescent="0.2">
      <c r="A231" s="10">
        <v>2018</v>
      </c>
      <c r="B231" s="22">
        <v>43109</v>
      </c>
      <c r="C231" s="27" t="s">
        <v>9</v>
      </c>
      <c r="D231" s="31"/>
      <c r="E231" s="31"/>
      <c r="F231" s="31"/>
      <c r="G231" s="31"/>
      <c r="H231" s="31"/>
      <c r="I231" s="31">
        <v>1</v>
      </c>
      <c r="J231" s="31">
        <v>0.6</v>
      </c>
      <c r="K231" s="31">
        <v>35</v>
      </c>
      <c r="L231" s="31"/>
      <c r="M231" s="31"/>
      <c r="N231" s="31"/>
      <c r="O231" s="31"/>
      <c r="P231" s="31"/>
      <c r="Q231" s="31">
        <v>0.1</v>
      </c>
      <c r="R231" s="31">
        <v>0.09</v>
      </c>
      <c r="S231" s="43">
        <v>8.0000000000000002E-3</v>
      </c>
      <c r="T231" s="31"/>
      <c r="U231" s="31"/>
      <c r="V231" s="31"/>
      <c r="W231" s="31"/>
      <c r="X231" s="31">
        <v>8.1</v>
      </c>
      <c r="Y231" s="31">
        <v>8.4</v>
      </c>
      <c r="Z231" s="31"/>
      <c r="AA231" s="31"/>
      <c r="AB231" s="31">
        <v>1400.3</v>
      </c>
      <c r="AC231" s="31"/>
      <c r="AD231" s="31">
        <v>10</v>
      </c>
      <c r="AE231" s="31">
        <v>11.6</v>
      </c>
      <c r="AF231" s="31">
        <v>20</v>
      </c>
      <c r="AG231" s="31">
        <f>1437.7/1000</f>
        <v>1.4377</v>
      </c>
      <c r="AH231" s="31">
        <f>78.8/1000</f>
        <v>7.8799999999999995E-2</v>
      </c>
      <c r="AI231" s="31"/>
      <c r="AJ231" s="31">
        <v>50</v>
      </c>
      <c r="AK231" s="31">
        <v>50</v>
      </c>
      <c r="AL231" s="31"/>
      <c r="AM231" s="31"/>
      <c r="AN231" s="31">
        <f>90.3/1000</f>
        <v>9.0299999999999991E-2</v>
      </c>
      <c r="AO231" s="68">
        <f t="shared" si="3"/>
        <v>1.7142857142857144E-2</v>
      </c>
    </row>
    <row r="232" spans="1:41" x14ac:dyDescent="0.2">
      <c r="A232" s="9"/>
      <c r="B232" s="22">
        <v>43109</v>
      </c>
      <c r="C232" s="74" t="s">
        <v>10</v>
      </c>
      <c r="D232" s="31"/>
      <c r="E232" s="31"/>
      <c r="F232" s="31"/>
      <c r="G232" s="31"/>
      <c r="H232" s="31"/>
      <c r="I232" s="31">
        <v>1</v>
      </c>
      <c r="J232" s="31">
        <v>0.7</v>
      </c>
      <c r="K232" s="31">
        <v>28</v>
      </c>
      <c r="L232" s="31"/>
      <c r="M232" s="31"/>
      <c r="N232" s="31"/>
      <c r="O232" s="31"/>
      <c r="P232" s="31"/>
      <c r="Q232" s="31">
        <v>0.1</v>
      </c>
      <c r="R232" s="31">
        <v>0.21</v>
      </c>
      <c r="S232" s="43">
        <v>7.0000000000000001E-3</v>
      </c>
      <c r="T232" s="31"/>
      <c r="U232" s="31"/>
      <c r="V232" s="31"/>
      <c r="W232" s="31"/>
      <c r="X232" s="31">
        <v>7.96</v>
      </c>
      <c r="Y232" s="31">
        <v>5.2</v>
      </c>
      <c r="Z232" s="31"/>
      <c r="AA232" s="31"/>
      <c r="AB232" s="31">
        <v>1377.2</v>
      </c>
      <c r="AC232" s="31"/>
      <c r="AD232" s="31">
        <v>10</v>
      </c>
      <c r="AE232" s="31">
        <v>10</v>
      </c>
      <c r="AF232" s="31">
        <v>20</v>
      </c>
      <c r="AG232" s="31">
        <f>1289.2/1000</f>
        <v>1.2892000000000001</v>
      </c>
      <c r="AH232" s="31">
        <f>114.4/1000</f>
        <v>0.1144</v>
      </c>
      <c r="AI232" s="31"/>
      <c r="AJ232" s="31">
        <v>50</v>
      </c>
      <c r="AK232" s="31">
        <v>50</v>
      </c>
      <c r="AL232" s="31"/>
      <c r="AM232" s="31"/>
      <c r="AN232" s="31">
        <f>78.8/1000</f>
        <v>7.8799999999999995E-2</v>
      </c>
      <c r="AO232" s="68">
        <f t="shared" si="3"/>
        <v>2.4999999999999998E-2</v>
      </c>
    </row>
    <row r="233" spans="1:41" x14ac:dyDescent="0.2">
      <c r="A233" s="8"/>
      <c r="B233" s="22">
        <v>43109</v>
      </c>
      <c r="C233" s="75" t="s">
        <v>11</v>
      </c>
      <c r="D233" s="31"/>
      <c r="E233" s="31"/>
      <c r="F233" s="31"/>
      <c r="G233" s="31"/>
      <c r="H233" s="31"/>
      <c r="I233" s="31">
        <v>1</v>
      </c>
      <c r="J233" s="31">
        <v>0.5</v>
      </c>
      <c r="K233" s="31">
        <v>25</v>
      </c>
      <c r="L233" s="31"/>
      <c r="M233" s="31"/>
      <c r="N233" s="31"/>
      <c r="O233" s="31"/>
      <c r="P233" s="31"/>
      <c r="Q233" s="31">
        <v>0.1</v>
      </c>
      <c r="R233" s="31">
        <v>0.1</v>
      </c>
      <c r="S233" s="43">
        <v>6.0000000000000001E-3</v>
      </c>
      <c r="T233" s="31"/>
      <c r="U233" s="31"/>
      <c r="V233" s="31"/>
      <c r="W233" s="31"/>
      <c r="X233" s="31">
        <v>8.08</v>
      </c>
      <c r="Y233" s="31">
        <v>6.8</v>
      </c>
      <c r="Z233" s="31"/>
      <c r="AA233" s="31"/>
      <c r="AB233" s="31">
        <v>1269.4000000000001</v>
      </c>
      <c r="AC233" s="31"/>
      <c r="AD233" s="31">
        <v>10</v>
      </c>
      <c r="AE233" s="31">
        <v>10</v>
      </c>
      <c r="AF233" s="31">
        <v>20</v>
      </c>
      <c r="AG233" s="31">
        <f>1439.9/1000</f>
        <v>1.4399000000000002</v>
      </c>
      <c r="AH233" s="31">
        <f>146.2/1000</f>
        <v>0.1462</v>
      </c>
      <c r="AI233" s="31"/>
      <c r="AJ233" s="31">
        <v>50</v>
      </c>
      <c r="AK233" s="31">
        <v>50</v>
      </c>
      <c r="AL233" s="31"/>
      <c r="AM233" s="31"/>
      <c r="AN233" s="31">
        <f>37.6/1000</f>
        <v>3.7600000000000001E-2</v>
      </c>
      <c r="AO233" s="68">
        <f t="shared" si="3"/>
        <v>0.02</v>
      </c>
    </row>
    <row r="234" spans="1:41" x14ac:dyDescent="0.2">
      <c r="A234" s="8"/>
      <c r="B234" s="22">
        <v>43109</v>
      </c>
      <c r="C234" s="76" t="s">
        <v>12</v>
      </c>
      <c r="D234" s="31"/>
      <c r="E234" s="31"/>
      <c r="F234" s="31"/>
      <c r="G234" s="31"/>
      <c r="H234" s="31"/>
      <c r="I234" s="31">
        <v>1</v>
      </c>
      <c r="J234" s="31">
        <v>0.6</v>
      </c>
      <c r="K234" s="31">
        <v>25</v>
      </c>
      <c r="L234" s="31"/>
      <c r="M234" s="31"/>
      <c r="N234" s="31"/>
      <c r="O234" s="31"/>
      <c r="P234" s="31"/>
      <c r="Q234" s="31">
        <v>0.1</v>
      </c>
      <c r="R234" s="31">
        <v>0.15</v>
      </c>
      <c r="S234" s="43">
        <v>1.2E-2</v>
      </c>
      <c r="T234" s="31"/>
      <c r="U234" s="31"/>
      <c r="V234" s="31"/>
      <c r="W234" s="31"/>
      <c r="X234" s="31">
        <v>8.14</v>
      </c>
      <c r="Y234" s="31">
        <v>3.2</v>
      </c>
      <c r="Z234" s="31"/>
      <c r="AA234" s="31"/>
      <c r="AB234" s="31">
        <v>1361.8</v>
      </c>
      <c r="AC234" s="31"/>
      <c r="AD234" s="31">
        <v>10</v>
      </c>
      <c r="AE234" s="31">
        <v>14.4</v>
      </c>
      <c r="AF234" s="31">
        <v>20</v>
      </c>
      <c r="AG234" s="31">
        <f>1555.4/1000</f>
        <v>1.5554000000000001</v>
      </c>
      <c r="AH234" s="31">
        <f>81.6/1000</f>
        <v>8.1599999999999992E-2</v>
      </c>
      <c r="AI234" s="31"/>
      <c r="AJ234" s="31">
        <v>50</v>
      </c>
      <c r="AK234" s="31">
        <v>50</v>
      </c>
      <c r="AL234" s="31"/>
      <c r="AM234" s="31"/>
      <c r="AN234" s="31">
        <f>76.2/1000</f>
        <v>7.6200000000000004E-2</v>
      </c>
      <c r="AO234" s="68">
        <f t="shared" si="3"/>
        <v>2.4E-2</v>
      </c>
    </row>
    <row r="235" spans="1:41" x14ac:dyDescent="0.2">
      <c r="A235" s="8"/>
      <c r="B235" s="22">
        <v>43109</v>
      </c>
      <c r="C235" s="77" t="s">
        <v>13</v>
      </c>
      <c r="D235" s="31"/>
      <c r="E235" s="31"/>
      <c r="F235" s="31"/>
      <c r="G235" s="31"/>
      <c r="H235" s="31"/>
      <c r="I235" s="31">
        <v>1</v>
      </c>
      <c r="J235" s="31">
        <v>0.65</v>
      </c>
      <c r="K235" s="31">
        <v>29</v>
      </c>
      <c r="L235" s="31"/>
      <c r="M235" s="31"/>
      <c r="N235" s="31"/>
      <c r="O235" s="31"/>
      <c r="P235" s="31"/>
      <c r="Q235" s="31">
        <v>0.1</v>
      </c>
      <c r="R235" s="31">
        <v>0.11</v>
      </c>
      <c r="S235" s="43">
        <v>7.0000000000000001E-3</v>
      </c>
      <c r="T235" s="31"/>
      <c r="U235" s="31"/>
      <c r="V235" s="31"/>
      <c r="W235" s="31"/>
      <c r="X235" s="31">
        <v>8.08</v>
      </c>
      <c r="Y235" s="31">
        <v>17.600000000000001</v>
      </c>
      <c r="Z235" s="31"/>
      <c r="AA235" s="31"/>
      <c r="AB235" s="31">
        <v>1397</v>
      </c>
      <c r="AC235" s="31"/>
      <c r="AD235" s="31">
        <v>10</v>
      </c>
      <c r="AE235" s="31">
        <v>10</v>
      </c>
      <c r="AF235" s="31">
        <v>20</v>
      </c>
      <c r="AG235" s="31">
        <f>1436.6/1000</f>
        <v>1.4365999999999999</v>
      </c>
      <c r="AH235" s="31">
        <f>98.8/1000</f>
        <v>9.8799999999999999E-2</v>
      </c>
      <c r="AI235" s="31"/>
      <c r="AJ235" s="31">
        <v>50</v>
      </c>
      <c r="AK235" s="31">
        <v>50</v>
      </c>
      <c r="AL235" s="31"/>
      <c r="AM235" s="31"/>
      <c r="AN235" s="31">
        <f>105.5/1000</f>
        <v>0.1055</v>
      </c>
      <c r="AO235" s="68">
        <f t="shared" si="3"/>
        <v>2.2413793103448276E-2</v>
      </c>
    </row>
    <row r="236" spans="1:41" x14ac:dyDescent="0.2">
      <c r="A236" s="8"/>
      <c r="B236" s="22">
        <v>43109</v>
      </c>
      <c r="C236" s="78" t="s">
        <v>14</v>
      </c>
      <c r="D236" s="31"/>
      <c r="E236" s="31"/>
      <c r="F236" s="31"/>
      <c r="G236" s="31"/>
      <c r="H236" s="31"/>
      <c r="I236" s="31">
        <v>1</v>
      </c>
      <c r="J236" s="31">
        <v>0.17499999999999999</v>
      </c>
      <c r="K236" s="31">
        <v>25</v>
      </c>
      <c r="L236" s="31"/>
      <c r="M236" s="31"/>
      <c r="N236" s="31"/>
      <c r="O236" s="31"/>
      <c r="P236" s="31"/>
      <c r="Q236" s="31">
        <v>0.1</v>
      </c>
      <c r="R236" s="31">
        <v>0.15</v>
      </c>
      <c r="S236" s="43">
        <v>2E-3</v>
      </c>
      <c r="T236" s="31"/>
      <c r="U236" s="31"/>
      <c r="V236" s="31"/>
      <c r="W236" s="31"/>
      <c r="X236" s="31">
        <v>8.1</v>
      </c>
      <c r="Y236" s="31">
        <v>31.2</v>
      </c>
      <c r="Z236" s="31"/>
      <c r="AA236" s="31"/>
      <c r="AB236" s="31">
        <v>352.9</v>
      </c>
      <c r="AC236" s="31"/>
      <c r="AD236" s="31">
        <v>10</v>
      </c>
      <c r="AE236" s="31">
        <v>10</v>
      </c>
      <c r="AF236" s="31">
        <v>20</v>
      </c>
      <c r="AG236" s="31">
        <f>482.6/1000</f>
        <v>0.48260000000000003</v>
      </c>
      <c r="AH236" s="31">
        <f>19.7/1000</f>
        <v>1.9699999999999999E-2</v>
      </c>
      <c r="AI236" s="31"/>
      <c r="AJ236" s="31">
        <v>50</v>
      </c>
      <c r="AK236" s="31">
        <v>50</v>
      </c>
      <c r="AL236" s="31"/>
      <c r="AM236" s="31"/>
      <c r="AN236" s="31">
        <f>69.9/1000</f>
        <v>6.9900000000000004E-2</v>
      </c>
      <c r="AO236" s="68">
        <f t="shared" si="3"/>
        <v>6.9999999999999993E-3</v>
      </c>
    </row>
    <row r="237" spans="1:41" x14ac:dyDescent="0.2">
      <c r="A237" s="10"/>
      <c r="B237" s="22">
        <v>43193</v>
      </c>
      <c r="C237" s="27" t="s">
        <v>9</v>
      </c>
      <c r="D237" s="31"/>
      <c r="E237" s="31"/>
      <c r="F237" s="31"/>
      <c r="G237" s="31"/>
      <c r="H237" s="31"/>
      <c r="I237" s="31">
        <v>1</v>
      </c>
      <c r="J237" s="31">
        <v>3.4</v>
      </c>
      <c r="K237" s="31">
        <v>79</v>
      </c>
      <c r="L237" s="31"/>
      <c r="M237" s="31"/>
      <c r="N237" s="31"/>
      <c r="O237" s="31"/>
      <c r="P237" s="31"/>
      <c r="Q237" s="31">
        <v>0.3</v>
      </c>
      <c r="R237" s="31">
        <v>0.254</v>
      </c>
      <c r="S237" s="43">
        <v>1.6E-2</v>
      </c>
      <c r="T237" s="31"/>
      <c r="U237" s="31"/>
      <c r="V237" s="31"/>
      <c r="W237" s="31"/>
      <c r="X237" s="31">
        <v>7.12</v>
      </c>
      <c r="Y237" s="31">
        <v>8</v>
      </c>
      <c r="Z237" s="31"/>
      <c r="AA237" s="31"/>
      <c r="AB237" s="31">
        <v>8384.2000000000007</v>
      </c>
      <c r="AC237" s="31"/>
      <c r="AD237" s="31">
        <v>10</v>
      </c>
      <c r="AE237" s="31">
        <v>19</v>
      </c>
      <c r="AF237" s="31">
        <v>20</v>
      </c>
      <c r="AG237" s="31">
        <f>8657/1000</f>
        <v>8.657</v>
      </c>
      <c r="AH237" s="31">
        <f>258.7/1000</f>
        <v>0.25869999999999999</v>
      </c>
      <c r="AI237" s="31"/>
      <c r="AJ237" s="31">
        <v>50</v>
      </c>
      <c r="AK237" s="31">
        <v>50</v>
      </c>
      <c r="AL237" s="31"/>
      <c r="AM237" s="31"/>
      <c r="AN237" s="31">
        <f>80.3/1000</f>
        <v>8.0299999999999996E-2</v>
      </c>
      <c r="AO237" s="68">
        <f t="shared" si="3"/>
        <v>4.3037974683544304E-2</v>
      </c>
    </row>
    <row r="238" spans="1:41" x14ac:dyDescent="0.2">
      <c r="A238" s="9"/>
      <c r="B238" s="22">
        <v>43193</v>
      </c>
      <c r="C238" s="74" t="s">
        <v>10</v>
      </c>
      <c r="D238" s="31"/>
      <c r="E238" s="31"/>
      <c r="F238" s="31"/>
      <c r="G238" s="31"/>
      <c r="H238" s="31"/>
      <c r="I238" s="31">
        <v>1</v>
      </c>
      <c r="J238" s="31">
        <v>3.05</v>
      </c>
      <c r="K238" s="31">
        <v>72</v>
      </c>
      <c r="L238" s="31"/>
      <c r="M238" s="31"/>
      <c r="N238" s="31"/>
      <c r="O238" s="31"/>
      <c r="P238" s="31"/>
      <c r="Q238" s="31">
        <v>0.33</v>
      </c>
      <c r="R238" s="31">
        <v>0.104</v>
      </c>
      <c r="S238" s="43">
        <v>2.5999999999999999E-2</v>
      </c>
      <c r="T238" s="31"/>
      <c r="U238" s="31"/>
      <c r="V238" s="31"/>
      <c r="W238" s="31"/>
      <c r="X238" s="31">
        <v>7.22</v>
      </c>
      <c r="Y238" s="31">
        <v>6.8</v>
      </c>
      <c r="Z238" s="31"/>
      <c r="AA238" s="31"/>
      <c r="AB238" s="31">
        <v>7846.3</v>
      </c>
      <c r="AC238" s="31"/>
      <c r="AD238" s="31">
        <v>10</v>
      </c>
      <c r="AE238" s="31">
        <v>18.7</v>
      </c>
      <c r="AF238" s="31">
        <v>20</v>
      </c>
      <c r="AG238" s="31">
        <f>8366.6/1000</f>
        <v>8.3666</v>
      </c>
      <c r="AH238" s="31">
        <f>263.2/1000</f>
        <v>0.26319999999999999</v>
      </c>
      <c r="AI238" s="31"/>
      <c r="AJ238" s="31">
        <v>50</v>
      </c>
      <c r="AK238" s="31">
        <v>50</v>
      </c>
      <c r="AL238" s="31"/>
      <c r="AM238" s="31"/>
      <c r="AN238" s="31">
        <f>51.9/1000</f>
        <v>5.1900000000000002E-2</v>
      </c>
      <c r="AO238" s="68">
        <f t="shared" si="3"/>
        <v>4.2361111111111106E-2</v>
      </c>
    </row>
    <row r="239" spans="1:41" x14ac:dyDescent="0.2">
      <c r="A239" s="8"/>
      <c r="B239" s="22">
        <v>43193</v>
      </c>
      <c r="C239" s="75" t="s">
        <v>11</v>
      </c>
      <c r="D239" s="31"/>
      <c r="E239" s="31"/>
      <c r="F239" s="31"/>
      <c r="G239" s="31"/>
      <c r="H239" s="31"/>
      <c r="I239" s="31">
        <v>1</v>
      </c>
      <c r="J239" s="31">
        <v>2.8</v>
      </c>
      <c r="K239" s="31">
        <v>74</v>
      </c>
      <c r="L239" s="31"/>
      <c r="M239" s="31"/>
      <c r="N239" s="31"/>
      <c r="O239" s="31"/>
      <c r="P239" s="31"/>
      <c r="Q239" s="31">
        <v>0.35</v>
      </c>
      <c r="R239" s="31">
        <v>7.0000000000000007E-2</v>
      </c>
      <c r="S239" s="43">
        <v>0.02</v>
      </c>
      <c r="T239" s="31"/>
      <c r="U239" s="31"/>
      <c r="V239" s="31"/>
      <c r="W239" s="31"/>
      <c r="X239" s="31">
        <v>7.23</v>
      </c>
      <c r="Y239" s="31">
        <v>12</v>
      </c>
      <c r="Z239" s="31"/>
      <c r="AA239" s="31"/>
      <c r="AB239" s="31">
        <v>7751.7</v>
      </c>
      <c r="AC239" s="31"/>
      <c r="AD239" s="31">
        <v>10</v>
      </c>
      <c r="AE239" s="31">
        <v>14.3</v>
      </c>
      <c r="AF239" s="31">
        <v>20.5</v>
      </c>
      <c r="AG239" s="31">
        <f>8396.3/1000</f>
        <v>8.3963000000000001</v>
      </c>
      <c r="AH239" s="31">
        <f>244.2/1000</f>
        <v>0.2442</v>
      </c>
      <c r="AI239" s="31"/>
      <c r="AJ239" s="31">
        <v>50</v>
      </c>
      <c r="AK239" s="31">
        <v>50</v>
      </c>
      <c r="AL239" s="31"/>
      <c r="AM239" s="31"/>
      <c r="AN239" s="31">
        <f>51.2/1000</f>
        <v>5.1200000000000002E-2</v>
      </c>
      <c r="AO239" s="68">
        <f t="shared" si="3"/>
        <v>3.7837837837837833E-2</v>
      </c>
    </row>
    <row r="240" spans="1:41" x14ac:dyDescent="0.2">
      <c r="A240" s="8"/>
      <c r="B240" s="22">
        <v>43193</v>
      </c>
      <c r="C240" s="76" t="s">
        <v>12</v>
      </c>
      <c r="D240" s="31"/>
      <c r="E240" s="31"/>
      <c r="F240" s="31"/>
      <c r="G240" s="31"/>
      <c r="H240" s="31"/>
      <c r="I240" s="31">
        <v>1.07</v>
      </c>
      <c r="J240" s="31">
        <v>3.53</v>
      </c>
      <c r="K240" s="31">
        <v>90</v>
      </c>
      <c r="L240" s="31"/>
      <c r="M240" s="31"/>
      <c r="N240" s="31"/>
      <c r="O240" s="31"/>
      <c r="P240" s="31"/>
      <c r="Q240" s="31">
        <v>0.39</v>
      </c>
      <c r="R240" s="31">
        <v>4.8000000000000001E-2</v>
      </c>
      <c r="S240" s="43">
        <v>2.1999999999999999E-2</v>
      </c>
      <c r="T240" s="31"/>
      <c r="U240" s="31"/>
      <c r="V240" s="31"/>
      <c r="W240" s="31"/>
      <c r="X240" s="31">
        <v>7.35</v>
      </c>
      <c r="Y240" s="31">
        <v>10.4</v>
      </c>
      <c r="Z240" s="31"/>
      <c r="AA240" s="31"/>
      <c r="AB240" s="31">
        <v>10785.5</v>
      </c>
      <c r="AC240" s="31"/>
      <c r="AD240" s="31">
        <v>10</v>
      </c>
      <c r="AE240" s="31">
        <v>21.8</v>
      </c>
      <c r="AF240" s="31">
        <v>20</v>
      </c>
      <c r="AG240" s="31">
        <f>13079/1000</f>
        <v>13.079000000000001</v>
      </c>
      <c r="AH240" s="31">
        <f>306.6/1000</f>
        <v>0.30660000000000004</v>
      </c>
      <c r="AI240" s="31"/>
      <c r="AJ240" s="31">
        <v>50</v>
      </c>
      <c r="AK240" s="31">
        <v>50</v>
      </c>
      <c r="AL240" s="31"/>
      <c r="AM240" s="31"/>
      <c r="AN240" s="31">
        <f>81.2/1000</f>
        <v>8.1200000000000008E-2</v>
      </c>
      <c r="AO240" s="68">
        <f t="shared" si="3"/>
        <v>3.9222222222222221E-2</v>
      </c>
    </row>
    <row r="241" spans="1:41" x14ac:dyDescent="0.2">
      <c r="A241" s="8"/>
      <c r="B241" s="22">
        <v>43193</v>
      </c>
      <c r="C241" s="77" t="s">
        <v>13</v>
      </c>
      <c r="D241" s="31"/>
      <c r="E241" s="31"/>
      <c r="F241" s="31"/>
      <c r="G241" s="31"/>
      <c r="H241" s="31"/>
      <c r="I241" s="31">
        <v>1</v>
      </c>
      <c r="J241" s="31">
        <v>3.1</v>
      </c>
      <c r="K241" s="31">
        <v>79</v>
      </c>
      <c r="L241" s="31"/>
      <c r="M241" s="31"/>
      <c r="N241" s="31"/>
      <c r="O241" s="31"/>
      <c r="P241" s="31"/>
      <c r="Q241" s="31">
        <v>0.32</v>
      </c>
      <c r="R241" s="31">
        <v>0.113</v>
      </c>
      <c r="S241" s="43">
        <v>1.7000000000000001E-2</v>
      </c>
      <c r="T241" s="31"/>
      <c r="U241" s="31"/>
      <c r="V241" s="31"/>
      <c r="W241" s="31"/>
      <c r="X241" s="31">
        <v>7.33</v>
      </c>
      <c r="Y241" s="31">
        <v>2.8</v>
      </c>
      <c r="Z241" s="31"/>
      <c r="AA241" s="31"/>
      <c r="AB241" s="31">
        <v>8635</v>
      </c>
      <c r="AC241" s="31"/>
      <c r="AD241" s="31">
        <v>10</v>
      </c>
      <c r="AE241" s="31">
        <v>14.5</v>
      </c>
      <c r="AF241" s="31">
        <v>20</v>
      </c>
      <c r="AG241" s="31">
        <f>9010.1/1000</f>
        <v>9.0100999999999996</v>
      </c>
      <c r="AH241" s="31">
        <f>246.2/1000</f>
        <v>0.2462</v>
      </c>
      <c r="AI241" s="31"/>
      <c r="AJ241" s="31">
        <v>50</v>
      </c>
      <c r="AK241" s="31">
        <v>50</v>
      </c>
      <c r="AL241" s="31"/>
      <c r="AM241" s="31"/>
      <c r="AN241" s="31">
        <f>47/1000</f>
        <v>4.7E-2</v>
      </c>
      <c r="AO241" s="68">
        <f t="shared" si="3"/>
        <v>3.9240506329113925E-2</v>
      </c>
    </row>
    <row r="242" spans="1:41" x14ac:dyDescent="0.2">
      <c r="A242" s="8"/>
      <c r="B242" s="22">
        <v>43193</v>
      </c>
      <c r="C242" s="78" t="s">
        <v>14</v>
      </c>
      <c r="D242" s="31"/>
      <c r="E242" s="31"/>
      <c r="F242" s="31"/>
      <c r="G242" s="31"/>
      <c r="H242" s="31"/>
      <c r="I242" s="31">
        <v>1</v>
      </c>
      <c r="J242" s="31">
        <v>0.3</v>
      </c>
      <c r="K242" s="31">
        <v>25</v>
      </c>
      <c r="L242" s="31"/>
      <c r="M242" s="31"/>
      <c r="N242" s="31"/>
      <c r="O242" s="31"/>
      <c r="P242" s="31"/>
      <c r="Q242" s="31">
        <v>0.1</v>
      </c>
      <c r="R242" s="31">
        <v>0.186</v>
      </c>
      <c r="S242" s="43">
        <v>1.4E-2</v>
      </c>
      <c r="T242" s="31"/>
      <c r="U242" s="31"/>
      <c r="V242" s="31"/>
      <c r="W242" s="31"/>
      <c r="X242" s="31">
        <v>7.7</v>
      </c>
      <c r="Y242" s="31">
        <v>25.6</v>
      </c>
      <c r="Z242" s="31"/>
      <c r="AA242" s="31"/>
      <c r="AB242" s="31">
        <v>747.8</v>
      </c>
      <c r="AC242" s="31"/>
      <c r="AD242" s="31">
        <v>10</v>
      </c>
      <c r="AE242" s="31">
        <v>10</v>
      </c>
      <c r="AF242" s="31">
        <v>20</v>
      </c>
      <c r="AG242" s="31">
        <f>1155/1000</f>
        <v>1.155</v>
      </c>
      <c r="AH242" s="31">
        <f>16.3/1000</f>
        <v>1.6300000000000002E-2</v>
      </c>
      <c r="AI242" s="31"/>
      <c r="AJ242" s="31">
        <v>50</v>
      </c>
      <c r="AK242" s="31">
        <v>50</v>
      </c>
      <c r="AL242" s="31"/>
      <c r="AM242" s="31"/>
      <c r="AN242" s="31">
        <f>42.5/1000</f>
        <v>4.2500000000000003E-2</v>
      </c>
      <c r="AO242" s="68">
        <f t="shared" si="3"/>
        <v>1.2E-2</v>
      </c>
    </row>
    <row r="243" spans="1:41" x14ac:dyDescent="0.2">
      <c r="A243" s="10"/>
      <c r="B243" s="22">
        <v>43298</v>
      </c>
      <c r="C243" s="27" t="s">
        <v>9</v>
      </c>
      <c r="D243" s="31"/>
      <c r="E243" s="31"/>
      <c r="F243" s="31"/>
      <c r="G243" s="31"/>
      <c r="H243" s="31"/>
      <c r="I243" s="31"/>
      <c r="J243" s="31">
        <v>1</v>
      </c>
      <c r="K243" s="31">
        <v>25</v>
      </c>
      <c r="L243" s="31"/>
      <c r="M243" s="31"/>
      <c r="N243" s="31"/>
      <c r="O243" s="31"/>
      <c r="P243" s="31"/>
      <c r="Q243" s="31"/>
      <c r="R243" s="31"/>
      <c r="S243" s="43"/>
      <c r="T243" s="31"/>
      <c r="U243" s="31"/>
      <c r="V243" s="31"/>
      <c r="W243" s="31"/>
      <c r="X243" s="31">
        <v>8.34</v>
      </c>
      <c r="Y243" s="31"/>
      <c r="Z243" s="31"/>
      <c r="AA243" s="31"/>
      <c r="AB243" s="31"/>
      <c r="AC243" s="31"/>
      <c r="AD243" s="31">
        <v>10</v>
      </c>
      <c r="AE243" s="31">
        <v>10</v>
      </c>
      <c r="AF243" s="31">
        <v>20</v>
      </c>
      <c r="AG243" s="31">
        <f>341.7/1000</f>
        <v>0.3417</v>
      </c>
      <c r="AH243" s="31">
        <f>37.8/1000</f>
        <v>3.78E-2</v>
      </c>
      <c r="AI243" s="31"/>
      <c r="AJ243" s="31">
        <v>50</v>
      </c>
      <c r="AK243" s="31">
        <v>50</v>
      </c>
      <c r="AL243" s="31"/>
      <c r="AM243" s="31"/>
      <c r="AN243" s="37">
        <f>20/1000</f>
        <v>0.02</v>
      </c>
      <c r="AO243" s="68">
        <f t="shared" si="3"/>
        <v>0.04</v>
      </c>
    </row>
    <row r="244" spans="1:41" x14ac:dyDescent="0.2">
      <c r="A244" s="9"/>
      <c r="B244" s="22">
        <v>43298</v>
      </c>
      <c r="C244" s="74" t="s">
        <v>10</v>
      </c>
      <c r="D244" s="31"/>
      <c r="E244" s="31"/>
      <c r="F244" s="31"/>
      <c r="G244" s="31"/>
      <c r="H244" s="31"/>
      <c r="I244" s="31"/>
      <c r="J244" s="31">
        <v>1</v>
      </c>
      <c r="K244" s="31">
        <v>25</v>
      </c>
      <c r="L244" s="31"/>
      <c r="M244" s="31"/>
      <c r="N244" s="31"/>
      <c r="O244" s="31"/>
      <c r="P244" s="31"/>
      <c r="Q244" s="31"/>
      <c r="R244" s="31"/>
      <c r="S244" s="43"/>
      <c r="T244" s="31"/>
      <c r="U244" s="31"/>
      <c r="V244" s="31"/>
      <c r="W244" s="31"/>
      <c r="X244" s="31">
        <v>8.4</v>
      </c>
      <c r="Y244" s="31"/>
      <c r="Z244" s="31"/>
      <c r="AA244" s="31"/>
      <c r="AB244" s="31"/>
      <c r="AC244" s="31"/>
      <c r="AD244" s="31">
        <v>10</v>
      </c>
      <c r="AE244" s="31">
        <v>10</v>
      </c>
      <c r="AF244" s="31">
        <v>20</v>
      </c>
      <c r="AG244" s="31">
        <f>296/1000</f>
        <v>0.29599999999999999</v>
      </c>
      <c r="AH244" s="31">
        <f>36.6/1000</f>
        <v>3.6600000000000001E-2</v>
      </c>
      <c r="AI244" s="31"/>
      <c r="AJ244" s="31">
        <v>50</v>
      </c>
      <c r="AK244" s="31">
        <v>50</v>
      </c>
      <c r="AL244" s="31"/>
      <c r="AM244" s="31"/>
      <c r="AN244" s="37">
        <f>20/1000</f>
        <v>0.02</v>
      </c>
      <c r="AO244" s="68">
        <f t="shared" si="3"/>
        <v>0.04</v>
      </c>
    </row>
    <row r="245" spans="1:41" x14ac:dyDescent="0.2">
      <c r="A245" s="8"/>
      <c r="B245" s="22">
        <v>43298</v>
      </c>
      <c r="C245" s="75" t="s">
        <v>11</v>
      </c>
      <c r="D245" s="31"/>
      <c r="E245" s="31"/>
      <c r="F245" s="31"/>
      <c r="G245" s="31"/>
      <c r="H245" s="31"/>
      <c r="I245" s="31"/>
      <c r="J245" s="31">
        <v>1</v>
      </c>
      <c r="K245" s="31">
        <v>25</v>
      </c>
      <c r="L245" s="31"/>
      <c r="M245" s="31"/>
      <c r="N245" s="31"/>
      <c r="O245" s="31"/>
      <c r="P245" s="31"/>
      <c r="Q245" s="31"/>
      <c r="R245" s="31"/>
      <c r="S245" s="43"/>
      <c r="T245" s="31"/>
      <c r="U245" s="31"/>
      <c r="V245" s="31"/>
      <c r="W245" s="31"/>
      <c r="X245" s="31">
        <v>8.4700000000000006</v>
      </c>
      <c r="Y245" s="31"/>
      <c r="Z245" s="31"/>
      <c r="AA245" s="31"/>
      <c r="AB245" s="31"/>
      <c r="AC245" s="31"/>
      <c r="AD245" s="31">
        <v>10</v>
      </c>
      <c r="AE245" s="31">
        <v>10</v>
      </c>
      <c r="AF245" s="31">
        <v>20</v>
      </c>
      <c r="AG245" s="31">
        <f>70.6/1000</f>
        <v>7.0599999999999996E-2</v>
      </c>
      <c r="AH245" s="31">
        <f>21.6/1000</f>
        <v>2.1600000000000001E-2</v>
      </c>
      <c r="AI245" s="31"/>
      <c r="AJ245" s="31">
        <v>50</v>
      </c>
      <c r="AK245" s="31">
        <v>50</v>
      </c>
      <c r="AL245" s="31"/>
      <c r="AM245" s="31"/>
      <c r="AN245" s="37">
        <f>20/1000</f>
        <v>0.02</v>
      </c>
      <c r="AO245" s="68">
        <f t="shared" si="3"/>
        <v>0.04</v>
      </c>
    </row>
    <row r="246" spans="1:41" x14ac:dyDescent="0.2">
      <c r="A246" s="8"/>
      <c r="B246" s="22">
        <v>43298</v>
      </c>
      <c r="C246" s="76" t="s">
        <v>12</v>
      </c>
      <c r="D246" s="31"/>
      <c r="E246" s="31"/>
      <c r="F246" s="31"/>
      <c r="G246" s="31"/>
      <c r="H246" s="31"/>
      <c r="I246" s="31"/>
      <c r="J246" s="31">
        <v>1</v>
      </c>
      <c r="K246" s="31">
        <v>25</v>
      </c>
      <c r="L246" s="31"/>
      <c r="M246" s="31"/>
      <c r="N246" s="31"/>
      <c r="O246" s="31"/>
      <c r="P246" s="31"/>
      <c r="Q246" s="31"/>
      <c r="R246" s="31"/>
      <c r="S246" s="43"/>
      <c r="T246" s="31"/>
      <c r="U246" s="31"/>
      <c r="V246" s="31"/>
      <c r="W246" s="31"/>
      <c r="X246" s="31">
        <v>8.49</v>
      </c>
      <c r="Y246" s="31"/>
      <c r="Z246" s="31"/>
      <c r="AA246" s="31"/>
      <c r="AB246" s="31"/>
      <c r="AC246" s="31"/>
      <c r="AD246" s="31">
        <v>10</v>
      </c>
      <c r="AE246" s="31">
        <v>10</v>
      </c>
      <c r="AF246" s="31">
        <v>20</v>
      </c>
      <c r="AG246" s="31">
        <f>81.4/1000</f>
        <v>8.14E-2</v>
      </c>
      <c r="AH246" s="31">
        <f>25.3/1000</f>
        <v>2.53E-2</v>
      </c>
      <c r="AI246" s="31"/>
      <c r="AJ246" s="31">
        <v>50</v>
      </c>
      <c r="AK246" s="31">
        <v>50</v>
      </c>
      <c r="AL246" s="31"/>
      <c r="AM246" s="31"/>
      <c r="AN246" s="31">
        <f>24.1/1000</f>
        <v>2.41E-2</v>
      </c>
      <c r="AO246" s="68">
        <f t="shared" si="3"/>
        <v>0.04</v>
      </c>
    </row>
    <row r="247" spans="1:41" x14ac:dyDescent="0.2">
      <c r="A247" s="8"/>
      <c r="B247" s="22">
        <v>43298</v>
      </c>
      <c r="C247" s="77" t="s">
        <v>13</v>
      </c>
      <c r="D247" s="31"/>
      <c r="E247" s="31"/>
      <c r="F247" s="31"/>
      <c r="G247" s="31"/>
      <c r="H247" s="31"/>
      <c r="I247" s="31"/>
      <c r="J247" s="31">
        <v>1</v>
      </c>
      <c r="K247" s="31">
        <v>25</v>
      </c>
      <c r="L247" s="31"/>
      <c r="M247" s="31"/>
      <c r="N247" s="31"/>
      <c r="O247" s="31"/>
      <c r="P247" s="31"/>
      <c r="Q247" s="31"/>
      <c r="R247" s="31"/>
      <c r="S247" s="43"/>
      <c r="T247" s="31"/>
      <c r="U247" s="31"/>
      <c r="V247" s="31"/>
      <c r="W247" s="31"/>
      <c r="X247" s="31">
        <v>8.39</v>
      </c>
      <c r="Y247" s="31"/>
      <c r="Z247" s="31"/>
      <c r="AA247" s="31"/>
      <c r="AB247" s="31"/>
      <c r="AC247" s="31"/>
      <c r="AD247" s="31">
        <v>10</v>
      </c>
      <c r="AE247" s="31">
        <v>10</v>
      </c>
      <c r="AF247" s="31">
        <v>20</v>
      </c>
      <c r="AG247" s="31">
        <f>93.4/1000</f>
        <v>9.3400000000000011E-2</v>
      </c>
      <c r="AH247" s="31">
        <f>32/1000</f>
        <v>3.2000000000000001E-2</v>
      </c>
      <c r="AI247" s="31"/>
      <c r="AJ247" s="31">
        <v>50</v>
      </c>
      <c r="AK247" s="31">
        <v>50</v>
      </c>
      <c r="AL247" s="31"/>
      <c r="AM247" s="31"/>
      <c r="AN247" s="37">
        <f>20/1000</f>
        <v>0.02</v>
      </c>
      <c r="AO247" s="68">
        <f t="shared" si="3"/>
        <v>0.04</v>
      </c>
    </row>
    <row r="248" spans="1:41" x14ac:dyDescent="0.2">
      <c r="A248" s="8"/>
      <c r="B248" s="22">
        <v>43298</v>
      </c>
      <c r="C248" s="78" t="s">
        <v>14</v>
      </c>
      <c r="D248" s="31"/>
      <c r="E248" s="31"/>
      <c r="F248" s="31"/>
      <c r="G248" s="31"/>
      <c r="H248" s="31"/>
      <c r="I248" s="31"/>
      <c r="J248" s="31">
        <v>1</v>
      </c>
      <c r="K248" s="31">
        <v>25</v>
      </c>
      <c r="L248" s="31"/>
      <c r="M248" s="31"/>
      <c r="N248" s="31"/>
      <c r="O248" s="31"/>
      <c r="P248" s="31"/>
      <c r="Q248" s="31"/>
      <c r="R248" s="31"/>
      <c r="S248" s="43"/>
      <c r="T248" s="31"/>
      <c r="U248" s="31"/>
      <c r="V248" s="31"/>
      <c r="W248" s="31"/>
      <c r="X248" s="31">
        <v>8.1</v>
      </c>
      <c r="Y248" s="31"/>
      <c r="Z248" s="31"/>
      <c r="AA248" s="31"/>
      <c r="AB248" s="31"/>
      <c r="AC248" s="31"/>
      <c r="AD248" s="31">
        <v>10</v>
      </c>
      <c r="AE248" s="31">
        <v>10</v>
      </c>
      <c r="AF248" s="31">
        <v>20</v>
      </c>
      <c r="AG248" s="31">
        <f>101/1000</f>
        <v>0.10100000000000001</v>
      </c>
      <c r="AH248" s="31">
        <f>17.7/1000</f>
        <v>1.77E-2</v>
      </c>
      <c r="AI248" s="31"/>
      <c r="AJ248" s="31">
        <v>50</v>
      </c>
      <c r="AK248" s="31">
        <v>50</v>
      </c>
      <c r="AL248" s="31"/>
      <c r="AM248" s="31"/>
      <c r="AN248" s="37">
        <f>20/1000</f>
        <v>0.02</v>
      </c>
      <c r="AO248" s="68">
        <f t="shared" si="3"/>
        <v>0.04</v>
      </c>
    </row>
    <row r="249" spans="1:41" x14ac:dyDescent="0.2">
      <c r="A249" s="10"/>
      <c r="B249" s="22">
        <v>43403</v>
      </c>
      <c r="C249" s="27" t="s">
        <v>9</v>
      </c>
      <c r="D249" s="31"/>
      <c r="E249" s="31"/>
      <c r="F249" s="31"/>
      <c r="G249" s="31"/>
      <c r="H249" s="31"/>
      <c r="I249" s="31">
        <v>1</v>
      </c>
      <c r="J249" s="31">
        <v>1.95</v>
      </c>
      <c r="K249" s="31">
        <v>26</v>
      </c>
      <c r="L249" s="31"/>
      <c r="M249" s="31"/>
      <c r="N249" s="31"/>
      <c r="O249" s="31"/>
      <c r="P249" s="31"/>
      <c r="Q249" s="31">
        <v>0.1</v>
      </c>
      <c r="R249" s="31">
        <v>0.71</v>
      </c>
      <c r="S249" s="43">
        <v>2E-3</v>
      </c>
      <c r="T249" s="31"/>
      <c r="U249" s="31"/>
      <c r="V249" s="31"/>
      <c r="W249" s="31"/>
      <c r="X249" s="31">
        <v>8.6999999999999993</v>
      </c>
      <c r="Y249" s="31">
        <v>4.4000000000000004</v>
      </c>
      <c r="Z249" s="31"/>
      <c r="AA249" s="31"/>
      <c r="AB249" s="31">
        <v>608.29999999999995</v>
      </c>
      <c r="AC249" s="31"/>
      <c r="AD249" s="31">
        <v>10</v>
      </c>
      <c r="AE249" s="31">
        <v>10</v>
      </c>
      <c r="AF249" s="31">
        <v>20</v>
      </c>
      <c r="AG249" s="31">
        <f>596.8/1000</f>
        <v>0.5968</v>
      </c>
      <c r="AH249" s="31">
        <f>93.8/1000</f>
        <v>9.3799999999999994E-2</v>
      </c>
      <c r="AI249" s="31"/>
      <c r="AJ249" s="31">
        <v>50</v>
      </c>
      <c r="AK249" s="31">
        <v>50</v>
      </c>
      <c r="AL249" s="31"/>
      <c r="AM249" s="31"/>
      <c r="AN249" s="37">
        <f>20/1000</f>
        <v>0.02</v>
      </c>
      <c r="AO249" s="68">
        <f t="shared" si="3"/>
        <v>7.4999999999999997E-2</v>
      </c>
    </row>
    <row r="250" spans="1:41" x14ac:dyDescent="0.2">
      <c r="A250" s="9"/>
      <c r="B250" s="22">
        <v>43403</v>
      </c>
      <c r="C250" s="74" t="s">
        <v>10</v>
      </c>
      <c r="D250" s="31"/>
      <c r="E250" s="31"/>
      <c r="F250" s="31"/>
      <c r="G250" s="31"/>
      <c r="H250" s="31"/>
      <c r="I250" s="31">
        <v>1</v>
      </c>
      <c r="J250" s="31">
        <v>2.2000000000000002</v>
      </c>
      <c r="K250" s="31">
        <v>25</v>
      </c>
      <c r="L250" s="31"/>
      <c r="M250" s="31"/>
      <c r="N250" s="31"/>
      <c r="O250" s="31"/>
      <c r="P250" s="31"/>
      <c r="Q250" s="31">
        <v>0.1</v>
      </c>
      <c r="R250" s="31">
        <v>0.08</v>
      </c>
      <c r="S250" s="43">
        <v>2E-3</v>
      </c>
      <c r="T250" s="31"/>
      <c r="U250" s="31"/>
      <c r="V250" s="31"/>
      <c r="W250" s="31"/>
      <c r="X250" s="31">
        <v>8.3800000000000008</v>
      </c>
      <c r="Y250" s="31">
        <v>7.6</v>
      </c>
      <c r="Z250" s="31"/>
      <c r="AA250" s="31"/>
      <c r="AB250" s="31">
        <v>815.5</v>
      </c>
      <c r="AC250" s="31"/>
      <c r="AD250" s="31">
        <v>10</v>
      </c>
      <c r="AE250" s="31">
        <v>10</v>
      </c>
      <c r="AF250" s="31">
        <v>20</v>
      </c>
      <c r="AG250" s="31">
        <f>847.8/1000</f>
        <v>0.8478</v>
      </c>
      <c r="AH250" s="31">
        <f>234.4/1000</f>
        <v>0.2344</v>
      </c>
      <c r="AI250" s="31"/>
      <c r="AJ250" s="31">
        <v>50</v>
      </c>
      <c r="AK250" s="31">
        <v>50</v>
      </c>
      <c r="AL250" s="31"/>
      <c r="AM250" s="31"/>
      <c r="AN250" s="31">
        <f>22/1000</f>
        <v>2.1999999999999999E-2</v>
      </c>
      <c r="AO250" s="68">
        <f t="shared" si="3"/>
        <v>8.8000000000000009E-2</v>
      </c>
    </row>
    <row r="251" spans="1:41" x14ac:dyDescent="0.2">
      <c r="A251" s="8"/>
      <c r="B251" s="22">
        <v>43403</v>
      </c>
      <c r="C251" s="75" t="s">
        <v>11</v>
      </c>
      <c r="D251" s="31"/>
      <c r="E251" s="31"/>
      <c r="F251" s="31"/>
      <c r="G251" s="31"/>
      <c r="H251" s="31"/>
      <c r="I251" s="31">
        <v>1</v>
      </c>
      <c r="J251" s="31">
        <v>1.95</v>
      </c>
      <c r="K251" s="31">
        <v>25</v>
      </c>
      <c r="L251" s="31"/>
      <c r="M251" s="31"/>
      <c r="N251" s="31"/>
      <c r="O251" s="31"/>
      <c r="P251" s="31"/>
      <c r="Q251" s="31">
        <v>0.1</v>
      </c>
      <c r="R251" s="31">
        <v>0.12</v>
      </c>
      <c r="S251" s="43">
        <v>2E-3</v>
      </c>
      <c r="T251" s="31"/>
      <c r="U251" s="31"/>
      <c r="V251" s="31"/>
      <c r="W251" s="31"/>
      <c r="X251" s="31">
        <v>8.94</v>
      </c>
      <c r="Y251" s="31">
        <v>13.6</v>
      </c>
      <c r="Z251" s="31"/>
      <c r="AA251" s="31"/>
      <c r="AB251" s="31">
        <v>485.8</v>
      </c>
      <c r="AC251" s="31"/>
      <c r="AD251" s="31">
        <v>10</v>
      </c>
      <c r="AE251" s="31">
        <v>20</v>
      </c>
      <c r="AF251" s="31">
        <v>10</v>
      </c>
      <c r="AG251" s="31">
        <f>510.2/1000</f>
        <v>0.51019999999999999</v>
      </c>
      <c r="AH251" s="31">
        <f>86.7/1000</f>
        <v>8.6699999999999999E-2</v>
      </c>
      <c r="AI251" s="31"/>
      <c r="AJ251" s="31">
        <v>50</v>
      </c>
      <c r="AK251" s="31">
        <v>50</v>
      </c>
      <c r="AL251" s="31"/>
      <c r="AM251" s="31"/>
      <c r="AN251" s="37">
        <f>20/1000</f>
        <v>0.02</v>
      </c>
      <c r="AO251" s="68">
        <f t="shared" si="3"/>
        <v>7.8E-2</v>
      </c>
    </row>
    <row r="252" spans="1:41" x14ac:dyDescent="0.2">
      <c r="A252" s="8"/>
      <c r="B252" s="22">
        <v>43403</v>
      </c>
      <c r="C252" s="76" t="s">
        <v>12</v>
      </c>
      <c r="D252" s="31"/>
      <c r="E252" s="31"/>
      <c r="F252" s="31"/>
      <c r="G252" s="31"/>
      <c r="H252" s="31"/>
      <c r="I252" s="31">
        <v>1</v>
      </c>
      <c r="J252" s="31">
        <v>2.2999999999999998</v>
      </c>
      <c r="K252" s="31">
        <v>25</v>
      </c>
      <c r="L252" s="31"/>
      <c r="M252" s="31"/>
      <c r="N252" s="31"/>
      <c r="O252" s="31"/>
      <c r="P252" s="31"/>
      <c r="Q252" s="31">
        <v>0.11</v>
      </c>
      <c r="R252" s="31">
        <v>0.22</v>
      </c>
      <c r="S252" s="43">
        <v>2E-3</v>
      </c>
      <c r="T252" s="31"/>
      <c r="U252" s="31"/>
      <c r="V252" s="31"/>
      <c r="W252" s="31"/>
      <c r="X252" s="31">
        <v>8.92</v>
      </c>
      <c r="Y252" s="31">
        <v>8.4</v>
      </c>
      <c r="Z252" s="31"/>
      <c r="AA252" s="31"/>
      <c r="AB252" s="31">
        <v>648.20000000000005</v>
      </c>
      <c r="AC252" s="31"/>
      <c r="AD252" s="31">
        <v>10</v>
      </c>
      <c r="AE252" s="31">
        <v>20</v>
      </c>
      <c r="AF252" s="31">
        <v>10</v>
      </c>
      <c r="AG252" s="31">
        <f>721.7/1000</f>
        <v>0.72170000000000001</v>
      </c>
      <c r="AH252" s="31">
        <f>89.7/1000</f>
        <v>8.9700000000000002E-2</v>
      </c>
      <c r="AI252" s="31"/>
      <c r="AJ252" s="31">
        <v>50</v>
      </c>
      <c r="AK252" s="31">
        <v>50</v>
      </c>
      <c r="AL252" s="31"/>
      <c r="AM252" s="31"/>
      <c r="AN252" s="37">
        <f>20/1000</f>
        <v>0.02</v>
      </c>
      <c r="AO252" s="68">
        <f t="shared" si="3"/>
        <v>9.1999999999999998E-2</v>
      </c>
    </row>
    <row r="253" spans="1:41" x14ac:dyDescent="0.2">
      <c r="A253" s="8"/>
      <c r="B253" s="22">
        <v>43403</v>
      </c>
      <c r="C253" s="77" t="s">
        <v>13</v>
      </c>
      <c r="D253" s="31"/>
      <c r="E253" s="31"/>
      <c r="F253" s="31"/>
      <c r="G253" s="31"/>
      <c r="H253" s="31"/>
      <c r="I253" s="31">
        <v>1</v>
      </c>
      <c r="J253" s="31">
        <v>1.6</v>
      </c>
      <c r="K253" s="31">
        <v>25</v>
      </c>
      <c r="L253" s="31"/>
      <c r="M253" s="31"/>
      <c r="N253" s="31"/>
      <c r="O253" s="31"/>
      <c r="P253" s="31"/>
      <c r="Q253" s="31">
        <v>0.1</v>
      </c>
      <c r="R253" s="31">
        <v>0.06</v>
      </c>
      <c r="S253" s="43">
        <v>2E-3</v>
      </c>
      <c r="T253" s="31"/>
      <c r="U253" s="31"/>
      <c r="V253" s="31"/>
      <c r="W253" s="31"/>
      <c r="X253" s="31">
        <v>8.57</v>
      </c>
      <c r="Y253" s="31">
        <v>4.4000000000000004</v>
      </c>
      <c r="Z253" s="31"/>
      <c r="AA253" s="31"/>
      <c r="AB253" s="31">
        <v>763.8</v>
      </c>
      <c r="AC253" s="31"/>
      <c r="AD253" s="31">
        <v>10</v>
      </c>
      <c r="AE253" s="31">
        <v>20</v>
      </c>
      <c r="AF253" s="31">
        <v>10</v>
      </c>
      <c r="AG253" s="31">
        <f>761.1/1000</f>
        <v>0.7611</v>
      </c>
      <c r="AH253" s="31">
        <f>175.6/1000</f>
        <v>0.17560000000000001</v>
      </c>
      <c r="AI253" s="31"/>
      <c r="AJ253" s="31">
        <v>50</v>
      </c>
      <c r="AK253" s="31">
        <v>50</v>
      </c>
      <c r="AL253" s="31"/>
      <c r="AM253" s="31"/>
      <c r="AN253" s="37">
        <f>20/1000</f>
        <v>0.02</v>
      </c>
      <c r="AO253" s="68">
        <f t="shared" si="3"/>
        <v>6.4000000000000001E-2</v>
      </c>
    </row>
    <row r="254" spans="1:41" x14ac:dyDescent="0.2">
      <c r="A254" s="8"/>
      <c r="B254" s="22">
        <v>43403</v>
      </c>
      <c r="C254" s="78" t="s">
        <v>14</v>
      </c>
      <c r="D254" s="31"/>
      <c r="E254" s="31"/>
      <c r="F254" s="31"/>
      <c r="G254" s="31"/>
      <c r="H254" s="31"/>
      <c r="I254" s="31">
        <v>1</v>
      </c>
      <c r="J254" s="31">
        <v>0.4</v>
      </c>
      <c r="K254" s="31">
        <v>25</v>
      </c>
      <c r="L254" s="31"/>
      <c r="M254" s="31"/>
      <c r="N254" s="31"/>
      <c r="O254" s="31"/>
      <c r="P254" s="31"/>
      <c r="Q254" s="31">
        <v>0.1</v>
      </c>
      <c r="R254" s="31">
        <v>0.12</v>
      </c>
      <c r="S254" s="43">
        <v>2E-3</v>
      </c>
      <c r="T254" s="31"/>
      <c r="U254" s="31"/>
      <c r="V254" s="31"/>
      <c r="W254" s="31"/>
      <c r="X254" s="31">
        <v>7.58</v>
      </c>
      <c r="Y254" s="31">
        <v>0</v>
      </c>
      <c r="Z254" s="31"/>
      <c r="AA254" s="31"/>
      <c r="AB254" s="31">
        <v>43.5</v>
      </c>
      <c r="AC254" s="31"/>
      <c r="AD254" s="31">
        <v>10</v>
      </c>
      <c r="AE254" s="31">
        <v>20</v>
      </c>
      <c r="AF254" s="31">
        <v>10</v>
      </c>
      <c r="AG254" s="31">
        <f>66.3/1000</f>
        <v>6.6299999999999998E-2</v>
      </c>
      <c r="AH254" s="31">
        <f>73.8/100</f>
        <v>0.73799999999999999</v>
      </c>
      <c r="AI254" s="31"/>
      <c r="AJ254" s="31">
        <v>50</v>
      </c>
      <c r="AK254" s="31">
        <v>50</v>
      </c>
      <c r="AL254" s="31"/>
      <c r="AM254" s="31"/>
      <c r="AN254" s="37">
        <f>20/1000</f>
        <v>0.02</v>
      </c>
      <c r="AO254" s="68">
        <f t="shared" si="3"/>
        <v>1.6E-2</v>
      </c>
    </row>
    <row r="255" spans="1:41" x14ac:dyDescent="0.2">
      <c r="A255" s="8">
        <v>2019</v>
      </c>
      <c r="B255" s="22">
        <v>43487</v>
      </c>
      <c r="C255" s="27" t="s">
        <v>9</v>
      </c>
      <c r="D255" s="31"/>
      <c r="E255" s="31"/>
      <c r="F255" s="31"/>
      <c r="G255" s="31"/>
      <c r="H255" s="31"/>
      <c r="I255" s="31"/>
      <c r="J255" s="31">
        <v>1.35</v>
      </c>
      <c r="K255" s="31">
        <v>25</v>
      </c>
      <c r="L255" s="31"/>
      <c r="M255" s="31"/>
      <c r="N255" s="31"/>
      <c r="O255" s="31"/>
      <c r="P255" s="31"/>
      <c r="Q255" s="31"/>
      <c r="R255" s="31"/>
      <c r="S255" s="43"/>
      <c r="T255" s="31"/>
      <c r="U255" s="31"/>
      <c r="V255" s="31"/>
      <c r="W255" s="31"/>
      <c r="X255" s="31">
        <v>8.41</v>
      </c>
      <c r="Y255" s="31"/>
      <c r="Z255" s="31"/>
      <c r="AA255" s="31"/>
      <c r="AB255" s="31"/>
      <c r="AC255" s="31"/>
      <c r="AD255" s="31">
        <v>10</v>
      </c>
      <c r="AE255" s="31">
        <v>10</v>
      </c>
      <c r="AF255" s="31">
        <v>20</v>
      </c>
      <c r="AG255" s="31">
        <f>275.99/1000</f>
        <v>0.27599000000000001</v>
      </c>
      <c r="AH255" s="31">
        <f>67.87/1000</f>
        <v>6.787E-2</v>
      </c>
      <c r="AI255" s="31"/>
      <c r="AJ255" s="31">
        <v>50</v>
      </c>
      <c r="AK255" s="31">
        <v>50</v>
      </c>
      <c r="AL255" s="31"/>
      <c r="AM255" s="31"/>
      <c r="AN255" s="31">
        <f>27.94/1000</f>
        <v>2.794E-2</v>
      </c>
      <c r="AO255" s="68">
        <f t="shared" si="3"/>
        <v>5.4000000000000006E-2</v>
      </c>
    </row>
    <row r="256" spans="1:41" x14ac:dyDescent="0.2">
      <c r="A256" s="9"/>
      <c r="B256" s="22">
        <v>43487</v>
      </c>
      <c r="C256" s="74" t="s">
        <v>10</v>
      </c>
      <c r="D256" s="31"/>
      <c r="E256" s="31"/>
      <c r="F256" s="31"/>
      <c r="G256" s="31"/>
      <c r="H256" s="31"/>
      <c r="I256" s="31"/>
      <c r="J256" s="31">
        <v>0.85</v>
      </c>
      <c r="K256" s="31">
        <v>25</v>
      </c>
      <c r="L256" s="31"/>
      <c r="M256" s="31"/>
      <c r="N256" s="31"/>
      <c r="O256" s="31"/>
      <c r="P256" s="31"/>
      <c r="Q256" s="31"/>
      <c r="R256" s="31"/>
      <c r="S256" s="43"/>
      <c r="T256" s="31"/>
      <c r="U256" s="31"/>
      <c r="V256" s="31"/>
      <c r="W256" s="31"/>
      <c r="X256" s="31">
        <v>8.2200000000000006</v>
      </c>
      <c r="Y256" s="31"/>
      <c r="Z256" s="31"/>
      <c r="AA256" s="31"/>
      <c r="AB256" s="31"/>
      <c r="AC256" s="31"/>
      <c r="AD256" s="31">
        <v>10</v>
      </c>
      <c r="AE256" s="31">
        <v>10</v>
      </c>
      <c r="AF256" s="31">
        <v>20</v>
      </c>
      <c r="AG256" s="31">
        <f>321.2/1000</f>
        <v>0.32119999999999999</v>
      </c>
      <c r="AH256" s="31">
        <f>109.69/1000</f>
        <v>0.10969</v>
      </c>
      <c r="AI256" s="31"/>
      <c r="AJ256" s="31">
        <v>50</v>
      </c>
      <c r="AK256" s="31">
        <v>50</v>
      </c>
      <c r="AL256" s="31"/>
      <c r="AM256" s="31"/>
      <c r="AN256" s="31">
        <f>55.54/1000</f>
        <v>5.5539999999999999E-2</v>
      </c>
      <c r="AO256" s="68">
        <f t="shared" si="3"/>
        <v>3.4000000000000002E-2</v>
      </c>
    </row>
    <row r="257" spans="1:41" x14ac:dyDescent="0.2">
      <c r="A257" s="8" t="s">
        <v>5</v>
      </c>
      <c r="B257" s="22">
        <v>43487</v>
      </c>
      <c r="C257" s="75" t="s">
        <v>11</v>
      </c>
      <c r="D257" s="31"/>
      <c r="E257" s="31"/>
      <c r="F257" s="31"/>
      <c r="G257" s="31"/>
      <c r="H257" s="31"/>
      <c r="I257" s="31"/>
      <c r="J257" s="31">
        <v>1.0249999999999999</v>
      </c>
      <c r="K257" s="31">
        <v>25</v>
      </c>
      <c r="L257" s="31"/>
      <c r="M257" s="31"/>
      <c r="N257" s="31"/>
      <c r="O257" s="31"/>
      <c r="P257" s="31"/>
      <c r="Q257" s="31"/>
      <c r="R257" s="31"/>
      <c r="S257" s="43"/>
      <c r="T257" s="31"/>
      <c r="U257" s="31"/>
      <c r="V257" s="31"/>
      <c r="W257" s="31"/>
      <c r="X257" s="31">
        <v>8.4499999999999993</v>
      </c>
      <c r="Y257" s="31"/>
      <c r="Z257" s="31"/>
      <c r="AA257" s="31"/>
      <c r="AB257" s="31"/>
      <c r="AC257" s="31"/>
      <c r="AD257" s="31">
        <v>10</v>
      </c>
      <c r="AE257" s="31">
        <v>38.65</v>
      </c>
      <c r="AF257" s="31">
        <v>21.91</v>
      </c>
      <c r="AG257" s="31">
        <f>842.49/1000</f>
        <v>0.84248999999999996</v>
      </c>
      <c r="AH257" s="31">
        <f>62.33/1000</f>
        <v>6.2329999999999997E-2</v>
      </c>
      <c r="AI257" s="31"/>
      <c r="AJ257" s="31">
        <v>50</v>
      </c>
      <c r="AK257" s="31">
        <v>50</v>
      </c>
      <c r="AL257" s="31"/>
      <c r="AM257" s="31"/>
      <c r="AN257" s="31">
        <f>37.22/1000</f>
        <v>3.7219999999999996E-2</v>
      </c>
      <c r="AO257" s="68">
        <f t="shared" si="3"/>
        <v>4.0999999999999995E-2</v>
      </c>
    </row>
    <row r="258" spans="1:41" x14ac:dyDescent="0.2">
      <c r="A258" s="8"/>
      <c r="B258" s="22">
        <v>43487</v>
      </c>
      <c r="C258" s="77" t="s">
        <v>13</v>
      </c>
      <c r="D258" s="31"/>
      <c r="E258" s="31"/>
      <c r="F258" s="31"/>
      <c r="G258" s="31"/>
      <c r="H258" s="31"/>
      <c r="I258" s="31"/>
      <c r="J258" s="31">
        <v>1.1000000000000001</v>
      </c>
      <c r="K258" s="31">
        <v>25</v>
      </c>
      <c r="L258" s="31"/>
      <c r="M258" s="31"/>
      <c r="N258" s="31"/>
      <c r="O258" s="31"/>
      <c r="P258" s="31"/>
      <c r="Q258" s="31"/>
      <c r="R258" s="31"/>
      <c r="S258" s="43"/>
      <c r="T258" s="31"/>
      <c r="U258" s="31"/>
      <c r="V258" s="31"/>
      <c r="W258" s="31"/>
      <c r="X258" s="31">
        <v>7.76</v>
      </c>
      <c r="Y258" s="31"/>
      <c r="Z258" s="31"/>
      <c r="AA258" s="31"/>
      <c r="AB258" s="31"/>
      <c r="AC258" s="31"/>
      <c r="AD258" s="31">
        <v>10</v>
      </c>
      <c r="AE258" s="31">
        <v>10</v>
      </c>
      <c r="AF258" s="31">
        <v>20</v>
      </c>
      <c r="AG258" s="31">
        <f>199.1/1000</f>
        <v>0.1991</v>
      </c>
      <c r="AH258" s="31">
        <f>62.94/1000</f>
        <v>6.2939999999999996E-2</v>
      </c>
      <c r="AI258" s="31"/>
      <c r="AJ258" s="31">
        <v>50</v>
      </c>
      <c r="AK258" s="31">
        <v>50</v>
      </c>
      <c r="AL258" s="31"/>
      <c r="AM258" s="31"/>
      <c r="AN258" s="37">
        <f>20/1000</f>
        <v>0.02</v>
      </c>
      <c r="AO258" s="68">
        <f t="shared" si="3"/>
        <v>4.4000000000000004E-2</v>
      </c>
    </row>
    <row r="259" spans="1:41" x14ac:dyDescent="0.2">
      <c r="A259" s="8"/>
      <c r="B259" s="22">
        <v>43487</v>
      </c>
      <c r="C259" s="78" t="s">
        <v>14</v>
      </c>
      <c r="D259" s="31"/>
      <c r="E259" s="31"/>
      <c r="F259" s="31"/>
      <c r="G259" s="31"/>
      <c r="H259" s="31"/>
      <c r="I259" s="31"/>
      <c r="J259" s="31">
        <v>0.2</v>
      </c>
      <c r="K259" s="31">
        <v>25</v>
      </c>
      <c r="L259" s="31"/>
      <c r="M259" s="31"/>
      <c r="N259" s="31"/>
      <c r="O259" s="31"/>
      <c r="P259" s="31"/>
      <c r="Q259" s="31"/>
      <c r="R259" s="31"/>
      <c r="S259" s="43"/>
      <c r="T259" s="31"/>
      <c r="U259" s="31"/>
      <c r="V259" s="31"/>
      <c r="W259" s="31"/>
      <c r="X259" s="31">
        <v>8.44</v>
      </c>
      <c r="Y259" s="31"/>
      <c r="Z259" s="31"/>
      <c r="AA259" s="31"/>
      <c r="AB259" s="31"/>
      <c r="AC259" s="31"/>
      <c r="AD259" s="31">
        <v>10</v>
      </c>
      <c r="AE259" s="31">
        <v>10</v>
      </c>
      <c r="AF259" s="31">
        <v>20</v>
      </c>
      <c r="AG259" s="31">
        <f>122.65/1000</f>
        <v>0.12265000000000001</v>
      </c>
      <c r="AH259" s="31">
        <f>20.5/1000</f>
        <v>2.0500000000000001E-2</v>
      </c>
      <c r="AI259" s="31"/>
      <c r="AJ259" s="31">
        <v>50</v>
      </c>
      <c r="AK259" s="31">
        <v>50</v>
      </c>
      <c r="AL259" s="31"/>
      <c r="AM259" s="31"/>
      <c r="AN259" s="31">
        <f>24.39/1000</f>
        <v>2.4390000000000002E-2</v>
      </c>
      <c r="AO259" s="68">
        <f t="shared" si="3"/>
        <v>8.0000000000000002E-3</v>
      </c>
    </row>
    <row r="260" spans="1:41" x14ac:dyDescent="0.2">
      <c r="A260" s="8"/>
      <c r="B260" s="24">
        <v>43578</v>
      </c>
      <c r="C260" s="27" t="s">
        <v>9</v>
      </c>
      <c r="D260" s="31"/>
      <c r="E260" s="31"/>
      <c r="F260" s="31"/>
      <c r="G260" s="31"/>
      <c r="H260" s="31"/>
      <c r="I260" s="31">
        <v>1</v>
      </c>
      <c r="J260" s="31">
        <v>4</v>
      </c>
      <c r="K260" s="31">
        <v>64</v>
      </c>
      <c r="L260" s="31"/>
      <c r="M260" s="31"/>
      <c r="N260" s="31"/>
      <c r="O260" s="31"/>
      <c r="P260" s="31"/>
      <c r="Q260" s="31">
        <v>0.31</v>
      </c>
      <c r="R260" s="31">
        <v>0.112</v>
      </c>
      <c r="S260" s="31">
        <v>2E-3</v>
      </c>
      <c r="T260" s="31"/>
      <c r="U260" s="31"/>
      <c r="V260" s="31"/>
      <c r="W260" s="31"/>
      <c r="X260" s="31">
        <v>8.17</v>
      </c>
      <c r="Y260" s="31">
        <v>18.399999999999999</v>
      </c>
      <c r="Z260" s="31"/>
      <c r="AA260" s="31"/>
      <c r="AB260" s="31">
        <v>14157</v>
      </c>
      <c r="AC260" s="31"/>
      <c r="AD260" s="31">
        <v>10</v>
      </c>
      <c r="AE260" s="31">
        <v>23.837</v>
      </c>
      <c r="AF260" s="31">
        <v>20</v>
      </c>
      <c r="AG260" s="31">
        <f>13777.5/1000</f>
        <v>13.7775</v>
      </c>
      <c r="AH260" s="31">
        <f>225.17/1000</f>
        <v>0.22516999999999998</v>
      </c>
      <c r="AI260" s="31"/>
      <c r="AJ260" s="31">
        <v>50</v>
      </c>
      <c r="AK260" s="31">
        <v>50</v>
      </c>
      <c r="AL260" s="31"/>
      <c r="AM260" s="31"/>
      <c r="AN260" s="31">
        <f>46.01/1000</f>
        <v>4.6009999999999995E-2</v>
      </c>
      <c r="AO260" s="68">
        <f t="shared" si="3"/>
        <v>6.25E-2</v>
      </c>
    </row>
    <row r="261" spans="1:41" x14ac:dyDescent="0.2">
      <c r="A261" s="9"/>
      <c r="B261" s="24">
        <v>43578</v>
      </c>
      <c r="C261" s="74" t="s">
        <v>10</v>
      </c>
      <c r="D261" s="31"/>
      <c r="E261" s="31"/>
      <c r="F261" s="31"/>
      <c r="G261" s="31"/>
      <c r="H261" s="31"/>
      <c r="I261" s="31">
        <v>1</v>
      </c>
      <c r="J261" s="31">
        <v>4</v>
      </c>
      <c r="K261" s="31">
        <v>69</v>
      </c>
      <c r="L261" s="31"/>
      <c r="M261" s="31"/>
      <c r="N261" s="31"/>
      <c r="O261" s="31"/>
      <c r="P261" s="31"/>
      <c r="Q261" s="31">
        <v>0.26</v>
      </c>
      <c r="R261" s="31">
        <v>0.10199999999999999</v>
      </c>
      <c r="S261" s="31">
        <v>2E-3</v>
      </c>
      <c r="T261" s="31"/>
      <c r="U261" s="31"/>
      <c r="V261" s="31"/>
      <c r="W261" s="31"/>
      <c r="X261" s="31">
        <v>8.1</v>
      </c>
      <c r="Y261" s="31">
        <v>28.4</v>
      </c>
      <c r="Z261" s="31"/>
      <c r="AA261" s="31"/>
      <c r="AB261" s="31">
        <v>14520</v>
      </c>
      <c r="AC261" s="31"/>
      <c r="AD261" s="31">
        <v>10</v>
      </c>
      <c r="AE261" s="31">
        <v>34.496000000000002</v>
      </c>
      <c r="AF261" s="31">
        <v>20</v>
      </c>
      <c r="AG261" s="31">
        <f>14283.5/1000</f>
        <v>14.2835</v>
      </c>
      <c r="AH261" s="31">
        <f>260.7/1000</f>
        <v>0.26069999999999999</v>
      </c>
      <c r="AI261" s="31"/>
      <c r="AJ261" s="31">
        <v>50</v>
      </c>
      <c r="AK261" s="31">
        <v>50</v>
      </c>
      <c r="AL261" s="31"/>
      <c r="AM261" s="31"/>
      <c r="AN261" s="31">
        <f>45.4/1000</f>
        <v>4.5399999999999996E-2</v>
      </c>
      <c r="AO261" s="68">
        <f t="shared" si="3"/>
        <v>5.7971014492753624E-2</v>
      </c>
    </row>
    <row r="262" spans="1:41" x14ac:dyDescent="0.2">
      <c r="A262" s="8"/>
      <c r="B262" s="24">
        <v>43578</v>
      </c>
      <c r="C262" s="75" t="s">
        <v>11</v>
      </c>
      <c r="D262" s="31"/>
      <c r="E262" s="31"/>
      <c r="F262" s="31"/>
      <c r="G262" s="31"/>
      <c r="H262" s="31"/>
      <c r="I262" s="31">
        <v>1</v>
      </c>
      <c r="J262" s="31">
        <v>4</v>
      </c>
      <c r="K262" s="31">
        <v>64</v>
      </c>
      <c r="L262" s="31"/>
      <c r="M262" s="31"/>
      <c r="N262" s="31"/>
      <c r="O262" s="31"/>
      <c r="P262" s="31"/>
      <c r="Q262" s="31">
        <v>0.27</v>
      </c>
      <c r="R262" s="31">
        <v>6.4000000000000001E-2</v>
      </c>
      <c r="S262" s="31">
        <v>2E-3</v>
      </c>
      <c r="T262" s="31"/>
      <c r="U262" s="31"/>
      <c r="V262" s="31"/>
      <c r="W262" s="31"/>
      <c r="X262" s="31">
        <v>8.18</v>
      </c>
      <c r="Y262" s="31">
        <v>18.399999999999999</v>
      </c>
      <c r="Z262" s="31"/>
      <c r="AA262" s="31"/>
      <c r="AB262" s="31">
        <v>10436.799999999999</v>
      </c>
      <c r="AC262" s="31"/>
      <c r="AD262" s="31">
        <v>10</v>
      </c>
      <c r="AE262" s="31">
        <v>73.667000000000002</v>
      </c>
      <c r="AF262" s="31">
        <v>20</v>
      </c>
      <c r="AG262" s="31">
        <f>12881/1000</f>
        <v>12.881</v>
      </c>
      <c r="AH262" s="31">
        <f>222.53/1000</f>
        <v>0.22253000000000001</v>
      </c>
      <c r="AI262" s="31"/>
      <c r="AJ262" s="31">
        <v>50</v>
      </c>
      <c r="AK262" s="31">
        <v>50</v>
      </c>
      <c r="AL262" s="31"/>
      <c r="AM262" s="31"/>
      <c r="AN262" s="31">
        <f>136.4/1000</f>
        <v>0.13639999999999999</v>
      </c>
      <c r="AO262" s="68">
        <f t="shared" si="3"/>
        <v>6.25E-2</v>
      </c>
    </row>
    <row r="263" spans="1:41" x14ac:dyDescent="0.2">
      <c r="A263" s="8"/>
      <c r="B263" s="24">
        <v>43578</v>
      </c>
      <c r="C263" s="76" t="s">
        <v>12</v>
      </c>
      <c r="D263" s="31"/>
      <c r="E263" s="31"/>
      <c r="F263" s="31"/>
      <c r="G263" s="31"/>
      <c r="H263" s="31"/>
      <c r="I263" s="31">
        <v>1</v>
      </c>
      <c r="J263" s="31">
        <v>3</v>
      </c>
      <c r="K263" s="31">
        <v>64</v>
      </c>
      <c r="L263" s="31"/>
      <c r="M263" s="31"/>
      <c r="N263" s="31"/>
      <c r="O263" s="31"/>
      <c r="P263" s="31"/>
      <c r="Q263" s="31">
        <v>0.3</v>
      </c>
      <c r="R263" s="31">
        <v>0.16400000000000001</v>
      </c>
      <c r="S263" s="31">
        <v>2E-3</v>
      </c>
      <c r="T263" s="31"/>
      <c r="U263" s="31"/>
      <c r="V263" s="31"/>
      <c r="W263" s="31"/>
      <c r="X263" s="31">
        <v>8.1300000000000008</v>
      </c>
      <c r="Y263" s="31">
        <v>22.8</v>
      </c>
      <c r="Z263" s="31"/>
      <c r="AA263" s="31"/>
      <c r="AB263" s="31">
        <v>11979</v>
      </c>
      <c r="AC263" s="31"/>
      <c r="AD263" s="31">
        <v>10</v>
      </c>
      <c r="AE263" s="31">
        <v>32.395000000000003</v>
      </c>
      <c r="AF263" s="31">
        <v>21.472000000000001</v>
      </c>
      <c r="AG263" s="31">
        <f>13893/1000</f>
        <v>13.893000000000001</v>
      </c>
      <c r="AH263" s="31">
        <f>256.63/1000</f>
        <v>0.25662999999999997</v>
      </c>
      <c r="AI263" s="31"/>
      <c r="AJ263" s="31">
        <v>50</v>
      </c>
      <c r="AK263" s="31">
        <v>50</v>
      </c>
      <c r="AL263" s="31"/>
      <c r="AM263" s="31"/>
      <c r="AN263" s="31">
        <f>109.08/1000</f>
        <v>0.10908</v>
      </c>
      <c r="AO263" s="68">
        <f t="shared" si="3"/>
        <v>4.6875E-2</v>
      </c>
    </row>
    <row r="264" spans="1:41" x14ac:dyDescent="0.2">
      <c r="A264" s="8"/>
      <c r="B264" s="24">
        <v>43578</v>
      </c>
      <c r="C264" s="77" t="s">
        <v>13</v>
      </c>
      <c r="D264" s="31"/>
      <c r="E264" s="31"/>
      <c r="F264" s="31"/>
      <c r="G264" s="31"/>
      <c r="H264" s="31"/>
      <c r="I264" s="31">
        <v>1</v>
      </c>
      <c r="J264" s="31">
        <v>0.2</v>
      </c>
      <c r="K264" s="31">
        <v>25</v>
      </c>
      <c r="L264" s="31"/>
      <c r="M264" s="31"/>
      <c r="N264" s="31"/>
      <c r="O264" s="31"/>
      <c r="P264" s="31"/>
      <c r="Q264" s="31">
        <v>0.1</v>
      </c>
      <c r="R264" s="31">
        <v>6.4000000000000001E-2</v>
      </c>
      <c r="S264" s="31">
        <v>2E-3</v>
      </c>
      <c r="T264" s="31"/>
      <c r="U264" s="31"/>
      <c r="V264" s="31"/>
      <c r="W264" s="31"/>
      <c r="X264" s="31">
        <v>8.09</v>
      </c>
      <c r="Y264" s="31">
        <v>6</v>
      </c>
      <c r="Z264" s="31"/>
      <c r="AA264" s="31"/>
      <c r="AB264" s="31">
        <v>154.44</v>
      </c>
      <c r="AC264" s="31"/>
      <c r="AD264" s="31">
        <v>10</v>
      </c>
      <c r="AE264" s="31">
        <v>10</v>
      </c>
      <c r="AF264" s="31">
        <v>20</v>
      </c>
      <c r="AG264" s="31">
        <f>204.82/1000</f>
        <v>0.20482</v>
      </c>
      <c r="AH264" s="31">
        <f>209/1000</f>
        <v>0.20899999999999999</v>
      </c>
      <c r="AI264" s="31"/>
      <c r="AJ264" s="31">
        <v>50</v>
      </c>
      <c r="AK264" s="31">
        <v>50</v>
      </c>
      <c r="AL264" s="31"/>
      <c r="AM264" s="31"/>
      <c r="AN264" s="31">
        <f>42.47/1000</f>
        <v>4.2470000000000001E-2</v>
      </c>
      <c r="AO264" s="68">
        <f t="shared" si="3"/>
        <v>8.0000000000000002E-3</v>
      </c>
    </row>
    <row r="265" spans="1:41" x14ac:dyDescent="0.2">
      <c r="A265" s="8"/>
      <c r="B265" s="24">
        <v>43578</v>
      </c>
      <c r="C265" s="78" t="s">
        <v>14</v>
      </c>
      <c r="D265" s="31"/>
      <c r="E265" s="31"/>
      <c r="F265" s="31"/>
      <c r="G265" s="31"/>
      <c r="H265" s="31"/>
      <c r="I265" s="31">
        <v>1</v>
      </c>
      <c r="J265" s="31">
        <v>4</v>
      </c>
      <c r="K265" s="31">
        <v>69</v>
      </c>
      <c r="L265" s="31"/>
      <c r="M265" s="31"/>
      <c r="N265" s="31"/>
      <c r="O265" s="31"/>
      <c r="P265" s="31"/>
      <c r="Q265" s="31">
        <v>0.27</v>
      </c>
      <c r="R265" s="31">
        <v>9.5000000000000001E-2</v>
      </c>
      <c r="S265" s="31">
        <v>2E-3</v>
      </c>
      <c r="T265" s="31"/>
      <c r="U265" s="31"/>
      <c r="V265" s="31"/>
      <c r="W265" s="31"/>
      <c r="X265" s="31">
        <v>8.09</v>
      </c>
      <c r="Y265" s="31">
        <v>12.4</v>
      </c>
      <c r="Z265" s="31"/>
      <c r="AA265" s="31"/>
      <c r="AB265" s="31">
        <v>13772</v>
      </c>
      <c r="AC265" s="31"/>
      <c r="AD265" s="31">
        <v>10</v>
      </c>
      <c r="AE265" s="31">
        <v>28.776</v>
      </c>
      <c r="AF265" s="31">
        <v>20</v>
      </c>
      <c r="AG265" s="31">
        <f>14470.5/1000</f>
        <v>14.470499999999999</v>
      </c>
      <c r="AH265" s="31">
        <f>263.01/1000</f>
        <v>0.26300999999999997</v>
      </c>
      <c r="AI265" s="31"/>
      <c r="AJ265" s="31">
        <v>50</v>
      </c>
      <c r="AK265" s="31">
        <v>50</v>
      </c>
      <c r="AL265" s="31"/>
      <c r="AM265" s="31"/>
      <c r="AN265" s="31">
        <f>76.34/1000</f>
        <v>7.6340000000000005E-2</v>
      </c>
      <c r="AO265" s="68">
        <f t="shared" si="3"/>
        <v>5.7971014492753624E-2</v>
      </c>
    </row>
    <row r="266" spans="1:41" x14ac:dyDescent="0.2">
      <c r="A266" s="10"/>
      <c r="B266" s="22">
        <v>43704</v>
      </c>
      <c r="C266" s="27" t="s">
        <v>9</v>
      </c>
      <c r="D266" s="31"/>
      <c r="E266" s="31"/>
      <c r="F266" s="31"/>
      <c r="G266" s="31"/>
      <c r="H266" s="31"/>
      <c r="I266" s="31"/>
      <c r="J266" s="31">
        <v>1.75</v>
      </c>
      <c r="K266" s="31">
        <v>25</v>
      </c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>
        <v>8.33</v>
      </c>
      <c r="Y266" s="31"/>
      <c r="Z266" s="31"/>
      <c r="AA266" s="31"/>
      <c r="AB266" s="31"/>
      <c r="AC266" s="31"/>
      <c r="AD266" s="31">
        <v>10</v>
      </c>
      <c r="AE266" s="31">
        <v>14.343999999999999</v>
      </c>
      <c r="AF266" s="31">
        <v>20</v>
      </c>
      <c r="AG266" s="31">
        <f>231.55/1000</f>
        <v>0.23155000000000001</v>
      </c>
      <c r="AH266" s="31">
        <f>18.106/1000</f>
        <v>1.8106000000000001E-2</v>
      </c>
      <c r="AI266" s="31"/>
      <c r="AJ266" s="31">
        <v>50</v>
      </c>
      <c r="AK266" s="31">
        <v>50</v>
      </c>
      <c r="AL266" s="31"/>
      <c r="AM266" s="31"/>
      <c r="AN266" s="31">
        <f>31.614/1000</f>
        <v>3.1614000000000003E-2</v>
      </c>
      <c r="AO266" s="68">
        <f t="shared" si="3"/>
        <v>7.0000000000000007E-2</v>
      </c>
    </row>
    <row r="267" spans="1:41" x14ac:dyDescent="0.2">
      <c r="A267" s="9"/>
      <c r="B267" s="22">
        <v>43704</v>
      </c>
      <c r="C267" s="74" t="s">
        <v>10</v>
      </c>
      <c r="D267" s="31"/>
      <c r="E267" s="31"/>
      <c r="F267" s="31"/>
      <c r="G267" s="31"/>
      <c r="H267" s="31"/>
      <c r="I267" s="31"/>
      <c r="J267" s="31">
        <v>2.25</v>
      </c>
      <c r="K267" s="31">
        <v>25</v>
      </c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>
        <v>8.27</v>
      </c>
      <c r="Y267" s="31"/>
      <c r="Z267" s="31"/>
      <c r="AA267" s="31"/>
      <c r="AB267" s="31"/>
      <c r="AC267" s="31"/>
      <c r="AD267" s="31">
        <v>10</v>
      </c>
      <c r="AE267" s="31">
        <v>14.244999999999999</v>
      </c>
      <c r="AF267" s="31">
        <v>20</v>
      </c>
      <c r="AG267" s="31">
        <f>236.83/1000</f>
        <v>0.23683000000000001</v>
      </c>
      <c r="AH267" s="31">
        <f>31.229/1000</f>
        <v>3.1229E-2</v>
      </c>
      <c r="AI267" s="31"/>
      <c r="AJ267" s="31">
        <v>50</v>
      </c>
      <c r="AK267" s="31">
        <v>50</v>
      </c>
      <c r="AL267" s="31"/>
      <c r="AM267" s="31"/>
      <c r="AN267" s="31">
        <f>67.617/1000</f>
        <v>6.761700000000001E-2</v>
      </c>
      <c r="AO267" s="68">
        <f t="shared" si="3"/>
        <v>0.09</v>
      </c>
    </row>
    <row r="268" spans="1:41" x14ac:dyDescent="0.2">
      <c r="A268" s="8"/>
      <c r="B268" s="22">
        <v>43704</v>
      </c>
      <c r="C268" s="75" t="s">
        <v>11</v>
      </c>
      <c r="D268" s="31"/>
      <c r="E268" s="31"/>
      <c r="F268" s="31"/>
      <c r="G268" s="31"/>
      <c r="H268" s="31"/>
      <c r="I268" s="31"/>
      <c r="J268" s="31">
        <v>2</v>
      </c>
      <c r="K268" s="31">
        <v>25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>
        <v>8.23</v>
      </c>
      <c r="Y268" s="31"/>
      <c r="Z268" s="31"/>
      <c r="AA268" s="31"/>
      <c r="AB268" s="31"/>
      <c r="AC268" s="31"/>
      <c r="AD268" s="31">
        <v>10</v>
      </c>
      <c r="AE268" s="31">
        <v>11.032999999999999</v>
      </c>
      <c r="AF268" s="31">
        <v>20</v>
      </c>
      <c r="AG268" s="31">
        <f>325.44/1000</f>
        <v>0.32544000000000001</v>
      </c>
      <c r="AH268" s="31">
        <f>43.065/1000</f>
        <v>4.3064999999999999E-2</v>
      </c>
      <c r="AI268" s="31"/>
      <c r="AJ268" s="31">
        <v>50</v>
      </c>
      <c r="AK268" s="31">
        <v>50</v>
      </c>
      <c r="AL268" s="31"/>
      <c r="AM268" s="31"/>
      <c r="AN268" s="31">
        <f>22.605/1000</f>
        <v>2.2605E-2</v>
      </c>
      <c r="AO268" s="68">
        <f t="shared" si="3"/>
        <v>0.08</v>
      </c>
    </row>
    <row r="269" spans="1:41" x14ac:dyDescent="0.2">
      <c r="A269" s="8"/>
      <c r="B269" s="22">
        <v>43704</v>
      </c>
      <c r="C269" s="76" t="s">
        <v>12</v>
      </c>
      <c r="D269" s="31"/>
      <c r="E269" s="31"/>
      <c r="F269" s="31"/>
      <c r="G269" s="31"/>
      <c r="H269" s="31"/>
      <c r="I269" s="31"/>
      <c r="J269" s="31">
        <v>1.85</v>
      </c>
      <c r="K269" s="31">
        <v>25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>
        <v>8.3699999999999992</v>
      </c>
      <c r="Y269" s="31"/>
      <c r="Z269" s="31"/>
      <c r="AA269" s="31"/>
      <c r="AB269" s="31"/>
      <c r="AC269" s="31"/>
      <c r="AD269" s="31">
        <v>10</v>
      </c>
      <c r="AE269" s="31">
        <v>10</v>
      </c>
      <c r="AF269" s="31">
        <v>20</v>
      </c>
      <c r="AG269" s="31">
        <f>133.65/1000</f>
        <v>0.13365000000000002</v>
      </c>
      <c r="AH269" s="31">
        <f>21.109/1000</f>
        <v>2.1109000000000003E-2</v>
      </c>
      <c r="AI269" s="31"/>
      <c r="AJ269" s="31">
        <v>50</v>
      </c>
      <c r="AK269" s="31">
        <v>50</v>
      </c>
      <c r="AL269" s="31"/>
      <c r="AM269" s="31"/>
      <c r="AN269" s="31">
        <f>20.182/1000</f>
        <v>2.0181999999999999E-2</v>
      </c>
      <c r="AO269" s="68">
        <f t="shared" ref="AO269:AO283" si="4">+J269/K269</f>
        <v>7.400000000000001E-2</v>
      </c>
    </row>
    <row r="270" spans="1:41" x14ac:dyDescent="0.2">
      <c r="A270" s="8"/>
      <c r="B270" s="22">
        <v>43704</v>
      </c>
      <c r="C270" s="77" t="s">
        <v>13</v>
      </c>
      <c r="D270" s="31"/>
      <c r="E270" s="31"/>
      <c r="F270" s="31"/>
      <c r="G270" s="31"/>
      <c r="H270" s="31"/>
      <c r="I270" s="31"/>
      <c r="J270" s="31">
        <v>1.95</v>
      </c>
      <c r="K270" s="31">
        <v>25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>
        <v>8.42</v>
      </c>
      <c r="Y270" s="31"/>
      <c r="Z270" s="31"/>
      <c r="AA270" s="31"/>
      <c r="AB270" s="31"/>
      <c r="AC270" s="31"/>
      <c r="AD270" s="31">
        <v>10</v>
      </c>
      <c r="AE270" s="31">
        <v>10</v>
      </c>
      <c r="AF270" s="31">
        <v>20</v>
      </c>
      <c r="AG270" s="31">
        <f>184.8/1000</f>
        <v>0.18480000000000002</v>
      </c>
      <c r="AH270" s="31">
        <f>16.28/1000</f>
        <v>1.6280000000000003E-2</v>
      </c>
      <c r="AI270" s="31"/>
      <c r="AJ270" s="31">
        <v>50</v>
      </c>
      <c r="AK270" s="31">
        <v>50</v>
      </c>
      <c r="AL270" s="31"/>
      <c r="AM270" s="31"/>
      <c r="AN270" s="37">
        <f>20/1000</f>
        <v>0.02</v>
      </c>
      <c r="AO270" s="68">
        <f t="shared" si="4"/>
        <v>7.8E-2</v>
      </c>
    </row>
    <row r="271" spans="1:41" x14ac:dyDescent="0.2">
      <c r="A271" s="8"/>
      <c r="B271" s="22">
        <v>43704</v>
      </c>
      <c r="C271" s="78" t="s">
        <v>14</v>
      </c>
      <c r="D271" s="31"/>
      <c r="E271" s="31"/>
      <c r="F271" s="31"/>
      <c r="G271" s="31"/>
      <c r="H271" s="31"/>
      <c r="I271" s="31"/>
      <c r="J271" s="31">
        <v>2.2000000000000002</v>
      </c>
      <c r="K271" s="31">
        <v>25</v>
      </c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>
        <v>7.41</v>
      </c>
      <c r="Y271" s="31"/>
      <c r="Z271" s="31"/>
      <c r="AA271" s="31"/>
      <c r="AB271" s="31"/>
      <c r="AC271" s="31"/>
      <c r="AD271" s="31">
        <v>10</v>
      </c>
      <c r="AE271" s="31">
        <v>10</v>
      </c>
      <c r="AF271" s="31">
        <v>20</v>
      </c>
      <c r="AG271" s="31">
        <f>1618.1/1000</f>
        <v>1.6180999999999999</v>
      </c>
      <c r="AH271" s="31">
        <f>47.201/1000</f>
        <v>4.7201E-2</v>
      </c>
      <c r="AI271" s="31"/>
      <c r="AJ271" s="31">
        <v>50</v>
      </c>
      <c r="AK271" s="31">
        <v>50</v>
      </c>
      <c r="AL271" s="31"/>
      <c r="AM271" s="31"/>
      <c r="AN271" s="31">
        <f>21.406/1000</f>
        <v>2.1405999999999998E-2</v>
      </c>
      <c r="AO271" s="68">
        <f t="shared" si="4"/>
        <v>8.8000000000000009E-2</v>
      </c>
    </row>
    <row r="272" spans="1:41" x14ac:dyDescent="0.2">
      <c r="A272" s="10"/>
      <c r="B272" s="22">
        <v>43760</v>
      </c>
      <c r="C272" s="27" t="s">
        <v>9</v>
      </c>
      <c r="D272" s="31"/>
      <c r="E272" s="31"/>
      <c r="F272" s="31"/>
      <c r="G272" s="31"/>
      <c r="H272" s="31"/>
      <c r="I272" s="31">
        <v>1</v>
      </c>
      <c r="J272" s="31">
        <v>2.8</v>
      </c>
      <c r="K272" s="31">
        <v>59</v>
      </c>
      <c r="L272" s="31"/>
      <c r="M272" s="31"/>
      <c r="N272" s="31"/>
      <c r="O272" s="31"/>
      <c r="P272" s="31"/>
      <c r="Q272" s="31">
        <v>0.1</v>
      </c>
      <c r="R272" s="31">
        <v>0.22</v>
      </c>
      <c r="S272" s="31">
        <v>257.5</v>
      </c>
      <c r="T272" s="31"/>
      <c r="U272" s="31"/>
      <c r="V272" s="31"/>
      <c r="W272" s="31"/>
      <c r="X272" s="31">
        <v>8.0440000000000005</v>
      </c>
      <c r="Y272" s="31">
        <v>8.5</v>
      </c>
      <c r="Z272" s="31"/>
      <c r="AA272" s="31"/>
      <c r="AB272" s="31">
        <v>3008.5</v>
      </c>
      <c r="AC272" s="31"/>
      <c r="AD272" s="31">
        <v>10</v>
      </c>
      <c r="AE272" s="31">
        <v>10</v>
      </c>
      <c r="AF272" s="31">
        <v>20</v>
      </c>
      <c r="AG272" s="31">
        <f>2477.2/1000</f>
        <v>2.4771999999999998</v>
      </c>
      <c r="AH272" s="31">
        <f>51.864/1000</f>
        <v>5.1864E-2</v>
      </c>
      <c r="AI272" s="31"/>
      <c r="AJ272" s="31">
        <v>50</v>
      </c>
      <c r="AK272" s="31">
        <v>50</v>
      </c>
      <c r="AL272" s="31"/>
      <c r="AM272" s="31"/>
      <c r="AN272" s="31">
        <f>95.513/1000</f>
        <v>9.5513000000000001E-2</v>
      </c>
      <c r="AO272" s="68">
        <f t="shared" si="4"/>
        <v>4.7457627118644062E-2</v>
      </c>
    </row>
    <row r="273" spans="1:41" x14ac:dyDescent="0.2">
      <c r="A273" s="9"/>
      <c r="B273" s="22">
        <v>43760</v>
      </c>
      <c r="C273" s="74" t="s">
        <v>10</v>
      </c>
      <c r="D273" s="31"/>
      <c r="E273" s="31"/>
      <c r="F273" s="31"/>
      <c r="G273" s="31"/>
      <c r="H273" s="31"/>
      <c r="I273" s="31">
        <v>1</v>
      </c>
      <c r="J273" s="31">
        <v>1.3</v>
      </c>
      <c r="K273" s="31">
        <v>40</v>
      </c>
      <c r="L273" s="31"/>
      <c r="M273" s="31"/>
      <c r="N273" s="31"/>
      <c r="O273" s="31"/>
      <c r="P273" s="31"/>
      <c r="Q273" s="31">
        <v>0.1</v>
      </c>
      <c r="R273" s="31">
        <v>0.1</v>
      </c>
      <c r="S273" s="31">
        <v>49.92</v>
      </c>
      <c r="T273" s="31"/>
      <c r="U273" s="31"/>
      <c r="V273" s="31"/>
      <c r="W273" s="31"/>
      <c r="X273" s="31">
        <v>8.1300000000000008</v>
      </c>
      <c r="Y273" s="31">
        <v>9.5</v>
      </c>
      <c r="Z273" s="31"/>
      <c r="AA273" s="31"/>
      <c r="AB273" s="31">
        <v>3021.7</v>
      </c>
      <c r="AC273" s="31"/>
      <c r="AD273" s="31">
        <v>10</v>
      </c>
      <c r="AE273" s="31">
        <v>10</v>
      </c>
      <c r="AF273" s="31">
        <v>20</v>
      </c>
      <c r="AG273" s="31">
        <f>2568.5/1000</f>
        <v>2.5684999999999998</v>
      </c>
      <c r="AH273" s="31">
        <f>73.436/1000</f>
        <v>7.3436000000000001E-2</v>
      </c>
      <c r="AI273" s="31"/>
      <c r="AJ273" s="31">
        <v>50</v>
      </c>
      <c r="AK273" s="31">
        <v>50</v>
      </c>
      <c r="AL273" s="31"/>
      <c r="AM273" s="31"/>
      <c r="AN273" s="31">
        <f>44.594/1000</f>
        <v>4.4594000000000002E-2</v>
      </c>
      <c r="AO273" s="68">
        <f t="shared" si="4"/>
        <v>3.2500000000000001E-2</v>
      </c>
    </row>
    <row r="274" spans="1:41" x14ac:dyDescent="0.2">
      <c r="A274" s="8"/>
      <c r="B274" s="22">
        <v>43760</v>
      </c>
      <c r="C274" s="75" t="s">
        <v>11</v>
      </c>
      <c r="D274" s="31"/>
      <c r="E274" s="31"/>
      <c r="F274" s="31"/>
      <c r="G274" s="31"/>
      <c r="H274" s="31"/>
      <c r="I274" s="31">
        <v>1</v>
      </c>
      <c r="J274" s="31">
        <v>1.4</v>
      </c>
      <c r="K274" s="31">
        <v>58</v>
      </c>
      <c r="L274" s="31"/>
      <c r="M274" s="31"/>
      <c r="N274" s="31"/>
      <c r="O274" s="31"/>
      <c r="P274" s="31"/>
      <c r="Q274" s="31">
        <v>0.1</v>
      </c>
      <c r="R274" s="31">
        <v>0.08</v>
      </c>
      <c r="S274" s="31">
        <v>61.58</v>
      </c>
      <c r="T274" s="31"/>
      <c r="U274" s="31"/>
      <c r="V274" s="31"/>
      <c r="W274" s="31"/>
      <c r="X274" s="31">
        <v>8.11</v>
      </c>
      <c r="Y274" s="31">
        <v>10</v>
      </c>
      <c r="Z274" s="31"/>
      <c r="AA274" s="31"/>
      <c r="AB274" s="31">
        <v>3173.5</v>
      </c>
      <c r="AC274" s="31"/>
      <c r="AD274" s="31">
        <v>10</v>
      </c>
      <c r="AE274" s="31">
        <v>10</v>
      </c>
      <c r="AF274" s="31">
        <v>20</v>
      </c>
      <c r="AG274" s="31">
        <f>2662/1000</f>
        <v>2.6619999999999999</v>
      </c>
      <c r="AH274" s="31">
        <f>71.401/1000</f>
        <v>7.1400999999999992E-2</v>
      </c>
      <c r="AI274" s="31"/>
      <c r="AJ274" s="31">
        <v>50</v>
      </c>
      <c r="AK274" s="31">
        <v>50</v>
      </c>
      <c r="AL274" s="31"/>
      <c r="AM274" s="31"/>
      <c r="AN274" s="31">
        <f>46.629/1000</f>
        <v>4.6628999999999997E-2</v>
      </c>
      <c r="AO274" s="68">
        <f t="shared" si="4"/>
        <v>2.4137931034482758E-2</v>
      </c>
    </row>
    <row r="275" spans="1:41" x14ac:dyDescent="0.2">
      <c r="A275" s="8"/>
      <c r="B275" s="22">
        <v>43760</v>
      </c>
      <c r="C275" s="76" t="s">
        <v>12</v>
      </c>
      <c r="D275" s="31"/>
      <c r="E275" s="31"/>
      <c r="F275" s="31"/>
      <c r="G275" s="31"/>
      <c r="H275" s="31"/>
      <c r="I275" s="31">
        <v>1</v>
      </c>
      <c r="J275" s="31">
        <v>1.25</v>
      </c>
      <c r="K275" s="31">
        <v>62</v>
      </c>
      <c r="L275" s="31"/>
      <c r="M275" s="31"/>
      <c r="N275" s="31"/>
      <c r="O275" s="31"/>
      <c r="P275" s="31"/>
      <c r="Q275" s="31">
        <v>0.1</v>
      </c>
      <c r="R275" s="31">
        <v>0.13</v>
      </c>
      <c r="S275" s="31">
        <v>42.42</v>
      </c>
      <c r="T275" s="31"/>
      <c r="U275" s="31"/>
      <c r="V275" s="31"/>
      <c r="W275" s="31"/>
      <c r="X275" s="31">
        <v>8.1199999999999992</v>
      </c>
      <c r="Y275" s="31">
        <v>11</v>
      </c>
      <c r="Z275" s="31"/>
      <c r="AA275" s="31"/>
      <c r="AB275" s="31">
        <v>4551.8</v>
      </c>
      <c r="AC275" s="31"/>
      <c r="AD275" s="31">
        <v>10</v>
      </c>
      <c r="AE275" s="31">
        <v>10</v>
      </c>
      <c r="AF275" s="31">
        <v>20</v>
      </c>
      <c r="AG275" s="31">
        <f>4021.6/1000</f>
        <v>4.0216000000000003</v>
      </c>
      <c r="AH275" s="31">
        <f>121.66/1000</f>
        <v>0.12165999999999999</v>
      </c>
      <c r="AI275" s="31"/>
      <c r="AJ275" s="31">
        <v>50</v>
      </c>
      <c r="AK275" s="31">
        <v>50</v>
      </c>
      <c r="AL275" s="31"/>
      <c r="AM275" s="31"/>
      <c r="AN275" s="31">
        <f>103.147/1000</f>
        <v>0.103147</v>
      </c>
      <c r="AO275" s="68">
        <f t="shared" si="4"/>
        <v>2.0161290322580645E-2</v>
      </c>
    </row>
    <row r="276" spans="1:41" x14ac:dyDescent="0.2">
      <c r="A276" s="8"/>
      <c r="B276" s="25">
        <v>43760</v>
      </c>
      <c r="C276" s="77" t="s">
        <v>13</v>
      </c>
      <c r="D276" s="31"/>
      <c r="E276" s="31"/>
      <c r="F276" s="31"/>
      <c r="G276" s="31"/>
      <c r="H276" s="31"/>
      <c r="I276" s="31">
        <v>1</v>
      </c>
      <c r="J276" s="31">
        <v>1.1000000000000001</v>
      </c>
      <c r="K276" s="31">
        <v>51</v>
      </c>
      <c r="L276" s="31"/>
      <c r="M276" s="31"/>
      <c r="N276" s="31"/>
      <c r="O276" s="31"/>
      <c r="P276" s="31"/>
      <c r="Q276" s="31">
        <v>0.1</v>
      </c>
      <c r="R276" s="31">
        <v>0.12</v>
      </c>
      <c r="S276" s="31">
        <v>49.92</v>
      </c>
      <c r="T276" s="31"/>
      <c r="U276" s="31"/>
      <c r="V276" s="31"/>
      <c r="W276" s="31"/>
      <c r="X276" s="31">
        <v>8.14</v>
      </c>
      <c r="Y276" s="31">
        <v>10.5</v>
      </c>
      <c r="Z276" s="31"/>
      <c r="AA276" s="31"/>
      <c r="AB276" s="31">
        <v>3054.7</v>
      </c>
      <c r="AC276" s="31"/>
      <c r="AD276" s="31">
        <v>10</v>
      </c>
      <c r="AE276" s="31">
        <v>10</v>
      </c>
      <c r="AF276" s="31">
        <v>20</v>
      </c>
      <c r="AG276" s="31">
        <f>2587.2/1000</f>
        <v>2.5871999999999997</v>
      </c>
      <c r="AH276" s="31">
        <f>72.974/1000</f>
        <v>7.2973999999999997E-2</v>
      </c>
      <c r="AI276" s="31"/>
      <c r="AJ276" s="31">
        <v>50</v>
      </c>
      <c r="AK276" s="31">
        <v>50</v>
      </c>
      <c r="AL276" s="31"/>
      <c r="AM276" s="31"/>
      <c r="AN276" s="31">
        <f>52.8/1000</f>
        <v>5.28E-2</v>
      </c>
      <c r="AO276" s="68">
        <f t="shared" si="4"/>
        <v>2.1568627450980395E-2</v>
      </c>
    </row>
    <row r="277" spans="1:41" x14ac:dyDescent="0.2">
      <c r="A277" s="8"/>
      <c r="B277" s="25">
        <v>43760</v>
      </c>
      <c r="C277" s="78" t="s">
        <v>14</v>
      </c>
      <c r="D277" s="31"/>
      <c r="E277" s="31"/>
      <c r="F277" s="31"/>
      <c r="G277" s="31"/>
      <c r="H277" s="31"/>
      <c r="I277" s="31">
        <v>1</v>
      </c>
      <c r="J277" s="31">
        <v>0.4</v>
      </c>
      <c r="K277" s="31">
        <v>25</v>
      </c>
      <c r="L277" s="31"/>
      <c r="M277" s="31"/>
      <c r="N277" s="31"/>
      <c r="O277" s="31"/>
      <c r="P277" s="31"/>
      <c r="Q277" s="31">
        <v>0.1</v>
      </c>
      <c r="R277" s="31">
        <v>0.08</v>
      </c>
      <c r="S277" s="31">
        <v>23.25</v>
      </c>
      <c r="T277" s="31"/>
      <c r="U277" s="31"/>
      <c r="V277" s="31"/>
      <c r="W277" s="31"/>
      <c r="X277" s="31">
        <v>7.93</v>
      </c>
      <c r="Y277" s="31">
        <v>16</v>
      </c>
      <c r="Z277" s="31"/>
      <c r="AA277" s="31"/>
      <c r="AB277" s="31">
        <v>334.62</v>
      </c>
      <c r="AC277" s="31"/>
      <c r="AD277" s="31">
        <v>10</v>
      </c>
      <c r="AE277" s="31">
        <v>10</v>
      </c>
      <c r="AF277" s="31">
        <v>20</v>
      </c>
      <c r="AG277" s="31">
        <f>351.89/1000</f>
        <v>0.35188999999999998</v>
      </c>
      <c r="AH277" s="31">
        <f>9.994/1000</f>
        <v>9.9939999999999994E-3</v>
      </c>
      <c r="AI277" s="31"/>
      <c r="AJ277" s="31">
        <v>50</v>
      </c>
      <c r="AK277" s="31">
        <v>50</v>
      </c>
      <c r="AL277" s="31"/>
      <c r="AM277" s="31"/>
      <c r="AN277" s="31">
        <f>48.081/1000</f>
        <v>4.8081000000000006E-2</v>
      </c>
      <c r="AO277" s="68">
        <f t="shared" si="4"/>
        <v>1.6E-2</v>
      </c>
    </row>
    <row r="278" spans="1:41" x14ac:dyDescent="0.2">
      <c r="A278" s="10">
        <v>2020</v>
      </c>
      <c r="B278" s="25">
        <v>44021</v>
      </c>
      <c r="C278" s="27" t="s">
        <v>9</v>
      </c>
      <c r="D278" s="31"/>
      <c r="E278" s="31"/>
      <c r="F278" s="31"/>
      <c r="G278" s="31"/>
      <c r="H278" s="31"/>
      <c r="I278" s="31">
        <v>1</v>
      </c>
      <c r="J278" s="31">
        <v>1.75</v>
      </c>
      <c r="K278" s="31">
        <v>25</v>
      </c>
      <c r="L278" s="31"/>
      <c r="M278" s="31"/>
      <c r="N278" s="34"/>
      <c r="O278" s="34"/>
      <c r="P278" s="34"/>
      <c r="Q278" s="31">
        <v>0.1</v>
      </c>
      <c r="R278" s="45">
        <v>0.152</v>
      </c>
      <c r="S278" s="48">
        <v>8.0000000000000002E-3</v>
      </c>
      <c r="T278" s="34"/>
      <c r="U278" s="34"/>
      <c r="V278" s="34"/>
      <c r="W278" s="34"/>
      <c r="X278" s="34">
        <v>8.39</v>
      </c>
      <c r="Y278" s="34">
        <v>4.8</v>
      </c>
      <c r="Z278" s="34"/>
      <c r="AA278" s="34"/>
      <c r="AB278" s="34">
        <v>807.84</v>
      </c>
      <c r="AC278" s="45"/>
      <c r="AD278" s="31">
        <v>10</v>
      </c>
      <c r="AE278" s="31">
        <v>10</v>
      </c>
      <c r="AF278" s="31">
        <v>20</v>
      </c>
      <c r="AG278" s="34">
        <f>914.65/1000</f>
        <v>0.91464999999999996</v>
      </c>
      <c r="AH278" s="34">
        <f>50.798/1000</f>
        <v>5.0798000000000003E-2</v>
      </c>
      <c r="AI278" s="34"/>
      <c r="AJ278" s="31">
        <v>50</v>
      </c>
      <c r="AK278" s="31">
        <v>50</v>
      </c>
      <c r="AL278" s="34"/>
      <c r="AM278" s="34"/>
      <c r="AN278" s="34">
        <f>195.25/1000</f>
        <v>0.19525000000000001</v>
      </c>
      <c r="AO278" s="68">
        <f t="shared" si="4"/>
        <v>7.0000000000000007E-2</v>
      </c>
    </row>
    <row r="279" spans="1:41" x14ac:dyDescent="0.2">
      <c r="A279" s="9"/>
      <c r="B279" s="25">
        <v>44021</v>
      </c>
      <c r="C279" s="74" t="s">
        <v>10</v>
      </c>
      <c r="D279" s="31"/>
      <c r="E279" s="31"/>
      <c r="F279" s="31"/>
      <c r="G279" s="31"/>
      <c r="H279" s="31"/>
      <c r="I279" s="31">
        <v>1.07</v>
      </c>
      <c r="J279" s="31">
        <v>1.9</v>
      </c>
      <c r="K279" s="34">
        <v>25</v>
      </c>
      <c r="L279" s="31"/>
      <c r="M279" s="31"/>
      <c r="N279" s="34"/>
      <c r="O279" s="34"/>
      <c r="P279" s="34"/>
      <c r="Q279" s="31">
        <v>0.1</v>
      </c>
      <c r="R279" s="45">
        <v>6.8000000000000005E-2</v>
      </c>
      <c r="S279" s="48">
        <v>2E-3</v>
      </c>
      <c r="T279" s="34"/>
      <c r="U279" s="34"/>
      <c r="V279" s="34"/>
      <c r="W279" s="34"/>
      <c r="X279" s="34">
        <v>8.2899999999999991</v>
      </c>
      <c r="Y279" s="34">
        <v>10.8</v>
      </c>
      <c r="Z279" s="34"/>
      <c r="AA279" s="34"/>
      <c r="AB279" s="34">
        <v>930.05</v>
      </c>
      <c r="AC279" s="45"/>
      <c r="AD279" s="31">
        <v>10</v>
      </c>
      <c r="AE279" s="31">
        <v>10</v>
      </c>
      <c r="AF279" s="31">
        <v>20</v>
      </c>
      <c r="AG279" s="34">
        <f>1012/1000</f>
        <v>1.012</v>
      </c>
      <c r="AH279" s="34">
        <f>75.801/1000</f>
        <v>7.5801000000000007E-2</v>
      </c>
      <c r="AI279" s="34"/>
      <c r="AJ279" s="31">
        <v>50</v>
      </c>
      <c r="AK279" s="31">
        <v>50</v>
      </c>
      <c r="AL279" s="34"/>
      <c r="AM279" s="34"/>
      <c r="AN279" s="34">
        <f>85.14/1000</f>
        <v>8.5140000000000007E-2</v>
      </c>
      <c r="AO279" s="68">
        <f t="shared" si="4"/>
        <v>7.5999999999999998E-2</v>
      </c>
    </row>
    <row r="280" spans="1:41" x14ac:dyDescent="0.2">
      <c r="A280" s="8"/>
      <c r="B280" s="25">
        <v>44021</v>
      </c>
      <c r="C280" s="75" t="s">
        <v>11</v>
      </c>
      <c r="D280" s="31"/>
      <c r="E280" s="31"/>
      <c r="F280" s="31"/>
      <c r="G280" s="31"/>
      <c r="H280" s="31"/>
      <c r="I280" s="31">
        <v>1.07</v>
      </c>
      <c r="J280" s="31">
        <v>1.9</v>
      </c>
      <c r="K280" s="34">
        <v>28</v>
      </c>
      <c r="L280" s="31"/>
      <c r="M280" s="31"/>
      <c r="N280" s="34"/>
      <c r="O280" s="34"/>
      <c r="P280" s="34"/>
      <c r="Q280" s="31">
        <v>0.1</v>
      </c>
      <c r="R280" s="31">
        <v>0.01</v>
      </c>
      <c r="S280" s="43">
        <v>2E-3</v>
      </c>
      <c r="T280" s="34"/>
      <c r="U280" s="34"/>
      <c r="V280" s="34"/>
      <c r="W280" s="34"/>
      <c r="X280" s="34">
        <v>8.4700000000000006</v>
      </c>
      <c r="Y280" s="34">
        <v>0</v>
      </c>
      <c r="Z280" s="34"/>
      <c r="AA280" s="34"/>
      <c r="AB280" s="34">
        <v>719.62</v>
      </c>
      <c r="AC280" s="45"/>
      <c r="AD280" s="31">
        <v>10</v>
      </c>
      <c r="AE280" s="31">
        <v>10</v>
      </c>
      <c r="AF280" s="31">
        <v>20</v>
      </c>
      <c r="AG280" s="34">
        <f>851.18/1000</f>
        <v>0.85117999999999994</v>
      </c>
      <c r="AH280" s="34">
        <f>59.95/1000</f>
        <v>5.9950000000000003E-2</v>
      </c>
      <c r="AI280" s="34"/>
      <c r="AJ280" s="31">
        <v>50</v>
      </c>
      <c r="AK280" s="31">
        <v>50</v>
      </c>
      <c r="AL280" s="34"/>
      <c r="AM280" s="34"/>
      <c r="AN280" s="34">
        <f>64.735/1000</f>
        <v>6.4735000000000001E-2</v>
      </c>
      <c r="AO280" s="68">
        <f t="shared" si="4"/>
        <v>6.7857142857142852E-2</v>
      </c>
    </row>
    <row r="281" spans="1:41" x14ac:dyDescent="0.2">
      <c r="A281" s="8"/>
      <c r="B281" s="25">
        <v>44021</v>
      </c>
      <c r="C281" s="76" t="s">
        <v>12</v>
      </c>
      <c r="D281" s="31"/>
      <c r="E281" s="31"/>
      <c r="F281" s="31"/>
      <c r="G281" s="31"/>
      <c r="H281" s="31"/>
      <c r="I281" s="31">
        <v>1.07</v>
      </c>
      <c r="J281" s="31">
        <v>1.7</v>
      </c>
      <c r="K281" s="34">
        <v>23</v>
      </c>
      <c r="L281" s="31"/>
      <c r="M281" s="31"/>
      <c r="N281" s="34"/>
      <c r="O281" s="34"/>
      <c r="P281" s="34"/>
      <c r="Q281" s="31">
        <v>0.1</v>
      </c>
      <c r="R281" s="31">
        <v>0.01</v>
      </c>
      <c r="S281" s="43">
        <v>2E-3</v>
      </c>
      <c r="T281" s="34"/>
      <c r="U281" s="34"/>
      <c r="V281" s="34"/>
      <c r="W281" s="34"/>
      <c r="X281" s="34">
        <v>8.44</v>
      </c>
      <c r="Y281" s="34">
        <v>6.8</v>
      </c>
      <c r="Z281" s="34"/>
      <c r="AA281" s="34"/>
      <c r="AB281" s="34">
        <v>1325.5</v>
      </c>
      <c r="AC281" s="45"/>
      <c r="AD281" s="31">
        <v>10</v>
      </c>
      <c r="AE281" s="31">
        <v>10</v>
      </c>
      <c r="AF281" s="31">
        <v>20</v>
      </c>
      <c r="AG281" s="34">
        <f>1421.2/1000</f>
        <v>1.4212</v>
      </c>
      <c r="AH281" s="34">
        <f>70.543/1000</f>
        <v>7.0543000000000008E-2</v>
      </c>
      <c r="AI281" s="34"/>
      <c r="AJ281" s="31">
        <v>50</v>
      </c>
      <c r="AK281" s="31">
        <v>50</v>
      </c>
      <c r="AL281" s="34"/>
      <c r="AM281" s="34"/>
      <c r="AN281" s="34">
        <f>46.365/1000</f>
        <v>4.6365000000000003E-2</v>
      </c>
      <c r="AO281" s="68">
        <f t="shared" si="4"/>
        <v>7.3913043478260873E-2</v>
      </c>
    </row>
    <row r="282" spans="1:41" x14ac:dyDescent="0.2">
      <c r="A282" s="8"/>
      <c r="B282" s="25">
        <v>44021</v>
      </c>
      <c r="C282" s="77" t="s">
        <v>13</v>
      </c>
      <c r="D282" s="31" t="s">
        <v>17</v>
      </c>
      <c r="E282" s="31"/>
      <c r="F282" s="31"/>
      <c r="G282" s="31"/>
      <c r="H282" s="31"/>
      <c r="I282" s="31">
        <v>1.07</v>
      </c>
      <c r="J282" s="31">
        <v>1.75</v>
      </c>
      <c r="K282" s="34">
        <v>35</v>
      </c>
      <c r="L282" s="31"/>
      <c r="M282" s="31"/>
      <c r="N282" s="34"/>
      <c r="O282" s="34"/>
      <c r="P282" s="34"/>
      <c r="Q282" s="34">
        <v>0.11</v>
      </c>
      <c r="R282" s="31">
        <v>0.01</v>
      </c>
      <c r="S282" s="48">
        <v>0.03</v>
      </c>
      <c r="T282" s="34"/>
      <c r="U282" s="34"/>
      <c r="V282" s="34"/>
      <c r="W282" s="34"/>
      <c r="X282" s="34">
        <v>8.4</v>
      </c>
      <c r="Y282" s="34">
        <v>10.8</v>
      </c>
      <c r="Z282" s="34"/>
      <c r="AA282" s="34"/>
      <c r="AB282" s="34">
        <v>841.61</v>
      </c>
      <c r="AC282" s="45"/>
      <c r="AD282" s="31">
        <v>10</v>
      </c>
      <c r="AE282" s="31">
        <v>10</v>
      </c>
      <c r="AF282" s="31">
        <v>20</v>
      </c>
      <c r="AG282" s="34">
        <f>922.57/1000</f>
        <v>0.92257</v>
      </c>
      <c r="AH282" s="34">
        <f>71.544/1000</f>
        <v>7.1543999999999996E-2</v>
      </c>
      <c r="AI282" s="34"/>
      <c r="AJ282" s="31">
        <v>50</v>
      </c>
      <c r="AK282" s="31">
        <v>50</v>
      </c>
      <c r="AL282" s="34"/>
      <c r="AM282" s="34"/>
      <c r="AN282" s="34">
        <f>34.958/1000</f>
        <v>3.4957999999999996E-2</v>
      </c>
      <c r="AO282" s="68">
        <f t="shared" si="4"/>
        <v>0.05</v>
      </c>
    </row>
    <row r="283" spans="1:41" x14ac:dyDescent="0.2">
      <c r="A283" s="8"/>
      <c r="B283" s="25">
        <v>44021</v>
      </c>
      <c r="C283" s="78" t="s">
        <v>14</v>
      </c>
      <c r="D283" s="31"/>
      <c r="E283" s="31"/>
      <c r="F283" s="31"/>
      <c r="G283" s="31"/>
      <c r="H283" s="31"/>
      <c r="I283" s="31">
        <v>1.07</v>
      </c>
      <c r="J283" s="31">
        <v>1.1000000000000001</v>
      </c>
      <c r="K283" s="31">
        <v>25</v>
      </c>
      <c r="L283" s="31"/>
      <c r="M283" s="31"/>
      <c r="N283" s="34"/>
      <c r="O283" s="34"/>
      <c r="P283" s="34"/>
      <c r="Q283" s="31">
        <v>0.1</v>
      </c>
      <c r="R283" s="31">
        <v>0.01</v>
      </c>
      <c r="S283" s="43">
        <v>2E-3</v>
      </c>
      <c r="T283" s="34"/>
      <c r="U283" s="34"/>
      <c r="V283" s="34"/>
      <c r="W283" s="34"/>
      <c r="X283" s="34">
        <v>8.17</v>
      </c>
      <c r="Y283" s="34">
        <v>5.6</v>
      </c>
      <c r="Z283" s="34"/>
      <c r="AA283" s="34"/>
      <c r="AB283" s="34">
        <v>138.38</v>
      </c>
      <c r="AC283" s="45"/>
      <c r="AD283" s="31">
        <v>10</v>
      </c>
      <c r="AE283" s="31">
        <v>10</v>
      </c>
      <c r="AF283" s="31">
        <v>20</v>
      </c>
      <c r="AG283" s="34">
        <f>154.11/1000</f>
        <v>0.15411000000000002</v>
      </c>
      <c r="AH283" s="34">
        <f>10.04/1000</f>
        <v>1.0039999999999999E-2</v>
      </c>
      <c r="AI283" s="34"/>
      <c r="AJ283" s="31">
        <v>50</v>
      </c>
      <c r="AK283" s="31">
        <v>50</v>
      </c>
      <c r="AL283" s="34"/>
      <c r="AM283" s="34"/>
      <c r="AN283" s="34">
        <f>20/1000</f>
        <v>0.02</v>
      </c>
      <c r="AO283" s="68">
        <f t="shared" si="4"/>
        <v>4.4000000000000004E-2</v>
      </c>
    </row>
  </sheetData>
  <autoFilter ref="A11:AO283" xr:uid="{00000000-0009-0000-0000-00000300000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963"/>
  <sheetViews>
    <sheetView topLeftCell="A876" zoomScale="70" zoomScaleNormal="70" workbookViewId="0">
      <selection activeCell="B736" sqref="B736"/>
    </sheetView>
  </sheetViews>
  <sheetFormatPr defaultColWidth="11.42578125" defaultRowHeight="12.75" x14ac:dyDescent="0.2"/>
  <cols>
    <col min="2" max="5" width="14.42578125" customWidth="1"/>
  </cols>
  <sheetData>
    <row r="1" spans="1:44" x14ac:dyDescent="0.2">
      <c r="AR1" s="72"/>
    </row>
    <row r="2" spans="1:44" x14ac:dyDescent="0.2">
      <c r="AR2" s="72"/>
    </row>
    <row r="3" spans="1:44" x14ac:dyDescent="0.2">
      <c r="AR3" s="72"/>
    </row>
    <row r="4" spans="1:44" x14ac:dyDescent="0.2">
      <c r="AR4" s="72"/>
    </row>
    <row r="5" spans="1:44" x14ac:dyDescent="0.2">
      <c r="AR5" s="72"/>
    </row>
    <row r="6" spans="1:44" x14ac:dyDescent="0.2">
      <c r="AR6" s="72"/>
    </row>
    <row r="7" spans="1:44" ht="18" x14ac:dyDescent="0.25">
      <c r="A7" s="1" t="s">
        <v>0</v>
      </c>
      <c r="AR7" s="72"/>
    </row>
    <row r="8" spans="1:44" x14ac:dyDescent="0.2">
      <c r="A8" s="2" t="s">
        <v>1</v>
      </c>
    </row>
    <row r="9" spans="1:44" x14ac:dyDescent="0.2">
      <c r="A9" s="2" t="s">
        <v>102</v>
      </c>
      <c r="B9" s="3"/>
      <c r="C9" s="3"/>
      <c r="D9" s="3"/>
      <c r="E9" s="3"/>
      <c r="AR9" s="72"/>
    </row>
    <row r="10" spans="1:44" x14ac:dyDescent="0.2">
      <c r="A10" s="2"/>
      <c r="B10" s="3"/>
      <c r="C10" s="3"/>
      <c r="D10" s="3"/>
      <c r="E10" s="3"/>
      <c r="AR10" s="72"/>
    </row>
    <row r="11" spans="1:44" hidden="1" x14ac:dyDescent="0.2">
      <c r="A11" s="34"/>
      <c r="B11" s="36" t="s">
        <v>23</v>
      </c>
      <c r="C11" s="191"/>
      <c r="D11" s="191"/>
      <c r="E11" s="191"/>
    </row>
    <row r="12" spans="1:44" hidden="1" x14ac:dyDescent="0.2">
      <c r="A12" s="34"/>
      <c r="B12" s="29" t="s">
        <v>22</v>
      </c>
      <c r="C12" s="192"/>
      <c r="D12" s="192"/>
      <c r="E12" s="192"/>
    </row>
    <row r="13" spans="1:44" hidden="1" x14ac:dyDescent="0.2">
      <c r="A13" s="12" t="s">
        <v>7</v>
      </c>
      <c r="B13" s="27" t="s">
        <v>9</v>
      </c>
      <c r="C13" s="27"/>
      <c r="D13" s="27"/>
      <c r="E13" s="27"/>
      <c r="F13" s="75" t="s">
        <v>11</v>
      </c>
      <c r="G13" s="76" t="s">
        <v>12</v>
      </c>
    </row>
    <row r="14" spans="1:44" hidden="1" x14ac:dyDescent="0.2">
      <c r="A14" s="18">
        <v>37046</v>
      </c>
      <c r="B14" s="34"/>
      <c r="C14" s="34"/>
      <c r="D14" s="34"/>
      <c r="E14" s="34"/>
      <c r="F14" s="34"/>
      <c r="G14" s="34"/>
    </row>
    <row r="15" spans="1:44" hidden="1" x14ac:dyDescent="0.2">
      <c r="A15" s="18">
        <v>37076</v>
      </c>
      <c r="B15" s="34"/>
      <c r="C15" s="34"/>
      <c r="D15" s="34"/>
      <c r="E15" s="34"/>
      <c r="F15" s="34"/>
      <c r="G15" s="34"/>
    </row>
    <row r="16" spans="1:44" hidden="1" x14ac:dyDescent="0.2">
      <c r="A16" s="18">
        <v>37335</v>
      </c>
      <c r="B16" s="34"/>
      <c r="C16" s="34"/>
      <c r="D16" s="34"/>
      <c r="E16" s="34"/>
      <c r="F16" s="34"/>
      <c r="G16" s="34"/>
    </row>
    <row r="17" spans="1:7" hidden="1" x14ac:dyDescent="0.2">
      <c r="A17" s="18">
        <v>37566</v>
      </c>
      <c r="B17" s="34"/>
      <c r="C17" s="34"/>
      <c r="D17" s="34"/>
      <c r="E17" s="34"/>
      <c r="F17" s="34"/>
      <c r="G17" s="34"/>
    </row>
    <row r="18" spans="1:7" hidden="1" x14ac:dyDescent="0.2">
      <c r="A18" s="18">
        <v>37594</v>
      </c>
      <c r="B18" s="34"/>
      <c r="C18" s="34"/>
      <c r="D18" s="34"/>
      <c r="E18" s="34"/>
      <c r="F18" s="34"/>
      <c r="G18" s="34"/>
    </row>
    <row r="19" spans="1:7" hidden="1" x14ac:dyDescent="0.2">
      <c r="A19" s="18">
        <v>37711</v>
      </c>
      <c r="B19" s="34"/>
      <c r="C19" s="34"/>
      <c r="D19" s="34"/>
      <c r="E19" s="34"/>
      <c r="F19" s="34"/>
      <c r="G19" s="34"/>
    </row>
    <row r="20" spans="1:7" hidden="1" x14ac:dyDescent="0.2">
      <c r="A20" s="18">
        <v>37739</v>
      </c>
      <c r="B20" s="34"/>
      <c r="C20" s="34"/>
      <c r="D20" s="34"/>
      <c r="E20" s="34"/>
      <c r="F20" s="34"/>
      <c r="G20" s="34"/>
    </row>
    <row r="21" spans="1:7" hidden="1" x14ac:dyDescent="0.2">
      <c r="A21" s="18">
        <v>37825</v>
      </c>
      <c r="B21" s="34"/>
      <c r="C21" s="34"/>
      <c r="D21" s="34"/>
      <c r="E21" s="34"/>
      <c r="F21" s="34"/>
      <c r="G21" s="34"/>
    </row>
    <row r="22" spans="1:7" hidden="1" x14ac:dyDescent="0.2">
      <c r="A22" s="18">
        <v>37888</v>
      </c>
      <c r="B22" s="34"/>
      <c r="C22" s="34"/>
      <c r="D22" s="34"/>
      <c r="E22" s="34"/>
      <c r="F22" s="34"/>
      <c r="G22" s="34"/>
    </row>
    <row r="23" spans="1:7" hidden="1" x14ac:dyDescent="0.2">
      <c r="A23" s="18">
        <v>37963</v>
      </c>
      <c r="B23" s="34"/>
      <c r="C23" s="34"/>
      <c r="D23" s="34"/>
      <c r="E23" s="34"/>
      <c r="F23" s="34"/>
      <c r="G23" s="34"/>
    </row>
    <row r="24" spans="1:7" hidden="1" x14ac:dyDescent="0.2">
      <c r="A24" s="18">
        <v>38012</v>
      </c>
      <c r="B24" s="34"/>
      <c r="C24" s="34"/>
      <c r="D24" s="34"/>
      <c r="E24" s="34"/>
      <c r="F24" s="34"/>
      <c r="G24" s="34"/>
    </row>
    <row r="25" spans="1:7" hidden="1" x14ac:dyDescent="0.2">
      <c r="A25" s="18">
        <v>38033</v>
      </c>
      <c r="B25" s="34"/>
      <c r="C25" s="34"/>
      <c r="D25" s="34"/>
      <c r="E25" s="34"/>
      <c r="F25" s="34"/>
      <c r="G25" s="34"/>
    </row>
    <row r="26" spans="1:7" hidden="1" x14ac:dyDescent="0.2">
      <c r="A26" s="18">
        <v>38271</v>
      </c>
      <c r="B26" s="34">
        <v>0</v>
      </c>
      <c r="C26" s="34"/>
      <c r="D26" s="34"/>
      <c r="E26" s="34"/>
      <c r="F26" s="34">
        <v>0</v>
      </c>
      <c r="G26" s="34">
        <v>0</v>
      </c>
    </row>
    <row r="27" spans="1:7" hidden="1" x14ac:dyDescent="0.2">
      <c r="A27" s="18">
        <v>38474</v>
      </c>
      <c r="B27" s="34"/>
      <c r="C27" s="34"/>
      <c r="D27" s="34"/>
      <c r="E27" s="34"/>
      <c r="F27" s="34"/>
      <c r="G27" s="34"/>
    </row>
    <row r="28" spans="1:7" hidden="1" x14ac:dyDescent="0.2">
      <c r="A28" s="18">
        <v>38896</v>
      </c>
      <c r="B28" s="34">
        <v>0</v>
      </c>
      <c r="C28" s="34"/>
      <c r="D28" s="34"/>
      <c r="E28" s="34"/>
      <c r="F28" s="34">
        <v>0</v>
      </c>
      <c r="G28" s="34">
        <v>0</v>
      </c>
    </row>
    <row r="29" spans="1:7" hidden="1" x14ac:dyDescent="0.2">
      <c r="A29" s="18">
        <v>40625</v>
      </c>
      <c r="B29" s="34">
        <v>0.1</v>
      </c>
      <c r="C29" s="34"/>
      <c r="D29" s="34"/>
      <c r="E29" s="34"/>
      <c r="F29" s="34">
        <v>0.1</v>
      </c>
      <c r="G29" s="34">
        <v>0.1</v>
      </c>
    </row>
    <row r="30" spans="1:7" hidden="1" x14ac:dyDescent="0.2">
      <c r="A30" s="18">
        <v>40716</v>
      </c>
      <c r="B30" s="34"/>
      <c r="C30" s="34"/>
      <c r="D30" s="34"/>
      <c r="E30" s="34"/>
      <c r="F30" s="34"/>
      <c r="G30" s="34"/>
    </row>
    <row r="31" spans="1:7" hidden="1" x14ac:dyDescent="0.2">
      <c r="A31" s="18">
        <v>40821</v>
      </c>
      <c r="B31" s="34">
        <v>1</v>
      </c>
      <c r="C31" s="34"/>
      <c r="D31" s="34"/>
      <c r="E31" s="34"/>
      <c r="F31" s="34">
        <v>1</v>
      </c>
      <c r="G31" s="34">
        <v>1</v>
      </c>
    </row>
    <row r="32" spans="1:7" hidden="1" x14ac:dyDescent="0.2">
      <c r="A32" s="18">
        <v>40897</v>
      </c>
      <c r="B32" s="34"/>
      <c r="C32" s="34"/>
      <c r="D32" s="34"/>
      <c r="E32" s="34"/>
      <c r="F32" s="34"/>
      <c r="G32" s="34"/>
    </row>
    <row r="33" spans="1:7" hidden="1" x14ac:dyDescent="0.2">
      <c r="A33" s="18">
        <v>41008</v>
      </c>
      <c r="B33" s="34">
        <v>1</v>
      </c>
      <c r="C33" s="34"/>
      <c r="D33" s="34"/>
      <c r="E33" s="34"/>
      <c r="F33" s="34">
        <v>1</v>
      </c>
      <c r="G33" s="34">
        <v>1</v>
      </c>
    </row>
    <row r="34" spans="1:7" hidden="1" x14ac:dyDescent="0.2">
      <c r="A34" s="18">
        <v>41086</v>
      </c>
      <c r="B34" s="34"/>
      <c r="C34" s="34"/>
      <c r="D34" s="34"/>
      <c r="E34" s="34"/>
      <c r="F34" s="34"/>
      <c r="G34" s="34"/>
    </row>
    <row r="35" spans="1:7" hidden="1" x14ac:dyDescent="0.2">
      <c r="A35" s="18">
        <v>41179</v>
      </c>
      <c r="B35" s="34">
        <v>0.1</v>
      </c>
      <c r="C35" s="34"/>
      <c r="D35" s="34"/>
      <c r="E35" s="34"/>
      <c r="F35" s="34">
        <v>0.1</v>
      </c>
      <c r="G35" s="34">
        <v>0.1</v>
      </c>
    </row>
    <row r="36" spans="1:7" hidden="1" x14ac:dyDescent="0.2">
      <c r="A36" s="18">
        <v>41247</v>
      </c>
      <c r="B36" s="34"/>
      <c r="C36" s="34"/>
      <c r="D36" s="34"/>
      <c r="E36" s="34"/>
      <c r="F36" s="34"/>
      <c r="G36" s="34"/>
    </row>
    <row r="37" spans="1:7" hidden="1" x14ac:dyDescent="0.2">
      <c r="A37" s="18">
        <v>41352</v>
      </c>
      <c r="B37" s="34">
        <v>1</v>
      </c>
      <c r="C37" s="34"/>
      <c r="D37" s="34"/>
      <c r="E37" s="34"/>
      <c r="F37" s="34">
        <v>1</v>
      </c>
      <c r="G37" s="34">
        <v>1</v>
      </c>
    </row>
    <row r="38" spans="1:7" hidden="1" x14ac:dyDescent="0.2">
      <c r="A38" s="18">
        <v>41445</v>
      </c>
      <c r="B38" s="34"/>
      <c r="C38" s="34"/>
      <c r="D38" s="34"/>
      <c r="E38" s="34"/>
      <c r="F38" s="34"/>
      <c r="G38" s="34"/>
    </row>
    <row r="39" spans="1:7" hidden="1" x14ac:dyDescent="0.2">
      <c r="A39" s="18">
        <v>41528</v>
      </c>
      <c r="B39" s="34">
        <v>1</v>
      </c>
      <c r="C39" s="34"/>
      <c r="D39" s="34"/>
      <c r="E39" s="34"/>
      <c r="F39" s="34">
        <v>1</v>
      </c>
      <c r="G39" s="34">
        <v>1</v>
      </c>
    </row>
    <row r="40" spans="1:7" hidden="1" x14ac:dyDescent="0.2">
      <c r="A40" s="18">
        <v>41670</v>
      </c>
      <c r="B40" s="34"/>
      <c r="C40" s="34"/>
      <c r="D40" s="34"/>
      <c r="E40" s="34"/>
      <c r="F40" s="34"/>
      <c r="G40" s="34"/>
    </row>
    <row r="41" spans="1:7" hidden="1" x14ac:dyDescent="0.2">
      <c r="A41" s="18">
        <v>41758</v>
      </c>
      <c r="B41" s="34">
        <v>1</v>
      </c>
      <c r="C41" s="34"/>
      <c r="D41" s="34"/>
      <c r="E41" s="34"/>
      <c r="F41" s="34">
        <v>1</v>
      </c>
      <c r="G41" s="34">
        <v>1</v>
      </c>
    </row>
    <row r="42" spans="1:7" hidden="1" x14ac:dyDescent="0.2">
      <c r="A42" s="18">
        <v>41835</v>
      </c>
      <c r="B42" s="34"/>
      <c r="C42" s="34"/>
      <c r="D42" s="34"/>
      <c r="E42" s="34"/>
      <c r="F42" s="34"/>
      <c r="G42" s="34"/>
    </row>
    <row r="43" spans="1:7" hidden="1" x14ac:dyDescent="0.2">
      <c r="A43" s="18">
        <v>42031</v>
      </c>
      <c r="B43" s="34"/>
      <c r="C43" s="34"/>
      <c r="D43" s="34"/>
      <c r="E43" s="34"/>
      <c r="F43" s="34"/>
      <c r="G43" s="34"/>
    </row>
    <row r="44" spans="1:7" hidden="1" x14ac:dyDescent="0.2">
      <c r="A44" s="18">
        <v>42094</v>
      </c>
      <c r="B44" s="34">
        <v>1</v>
      </c>
      <c r="C44" s="34"/>
      <c r="D44" s="34"/>
      <c r="E44" s="34"/>
      <c r="F44" s="34">
        <v>1</v>
      </c>
      <c r="G44" s="34">
        <v>1</v>
      </c>
    </row>
    <row r="45" spans="1:7" hidden="1" x14ac:dyDescent="0.2">
      <c r="A45" s="18">
        <v>42192</v>
      </c>
      <c r="B45" s="34"/>
      <c r="C45" s="34"/>
      <c r="D45" s="34"/>
      <c r="E45" s="34"/>
      <c r="F45" s="34"/>
      <c r="G45" s="34"/>
    </row>
    <row r="46" spans="1:7" hidden="1" x14ac:dyDescent="0.2">
      <c r="A46" s="18">
        <v>42290</v>
      </c>
      <c r="B46" s="34">
        <v>1</v>
      </c>
      <c r="C46" s="34"/>
      <c r="D46" s="34"/>
      <c r="E46" s="34"/>
      <c r="F46" s="34">
        <v>1</v>
      </c>
      <c r="G46" s="34">
        <v>1</v>
      </c>
    </row>
    <row r="47" spans="1:7" hidden="1" x14ac:dyDescent="0.2">
      <c r="A47" s="18">
        <v>42381</v>
      </c>
      <c r="B47" s="34"/>
      <c r="C47" s="34"/>
      <c r="D47" s="34"/>
      <c r="E47" s="34"/>
      <c r="F47" s="34"/>
      <c r="G47" s="34"/>
    </row>
    <row r="48" spans="1:7" hidden="1" x14ac:dyDescent="0.2">
      <c r="A48" s="18">
        <v>42479</v>
      </c>
      <c r="B48" s="34">
        <v>1</v>
      </c>
      <c r="C48" s="34"/>
      <c r="D48" s="34"/>
      <c r="E48" s="34"/>
      <c r="F48" s="34">
        <v>1</v>
      </c>
      <c r="G48" s="34">
        <v>1</v>
      </c>
    </row>
    <row r="49" spans="1:7" hidden="1" x14ac:dyDescent="0.2">
      <c r="A49" s="18">
        <v>42570</v>
      </c>
      <c r="B49" s="34"/>
      <c r="C49" s="34"/>
      <c r="D49" s="34"/>
      <c r="E49" s="34"/>
      <c r="F49" s="34"/>
      <c r="G49" s="34"/>
    </row>
    <row r="50" spans="1:7" hidden="1" x14ac:dyDescent="0.2">
      <c r="A50" s="18">
        <v>42654</v>
      </c>
      <c r="B50" s="34">
        <v>1</v>
      </c>
      <c r="C50" s="34"/>
      <c r="D50" s="34"/>
      <c r="E50" s="34"/>
      <c r="F50" s="34">
        <v>1</v>
      </c>
      <c r="G50" s="34">
        <v>1</v>
      </c>
    </row>
    <row r="51" spans="1:7" hidden="1" x14ac:dyDescent="0.2">
      <c r="A51" s="18">
        <v>42745</v>
      </c>
      <c r="B51" s="34"/>
      <c r="C51" s="34"/>
      <c r="D51" s="34"/>
      <c r="E51" s="34"/>
      <c r="F51" s="34"/>
      <c r="G51" s="34"/>
    </row>
    <row r="52" spans="1:7" hidden="1" x14ac:dyDescent="0.2">
      <c r="A52" s="18">
        <v>42843</v>
      </c>
      <c r="B52" s="34">
        <v>1</v>
      </c>
      <c r="C52" s="34"/>
      <c r="D52" s="34"/>
      <c r="E52" s="34"/>
      <c r="F52" s="34">
        <v>1</v>
      </c>
      <c r="G52" s="34">
        <v>1</v>
      </c>
    </row>
    <row r="53" spans="1:7" hidden="1" x14ac:dyDescent="0.2">
      <c r="A53" s="18">
        <v>42934</v>
      </c>
      <c r="B53" s="34"/>
      <c r="C53" s="34"/>
      <c r="D53" s="34"/>
      <c r="E53" s="34"/>
      <c r="F53" s="34"/>
      <c r="G53" s="34"/>
    </row>
    <row r="54" spans="1:7" hidden="1" x14ac:dyDescent="0.2">
      <c r="A54" s="18">
        <v>43025</v>
      </c>
      <c r="B54" s="34">
        <v>1</v>
      </c>
      <c r="C54" s="34"/>
      <c r="D54" s="34"/>
      <c r="E54" s="34"/>
      <c r="F54" s="34">
        <v>1</v>
      </c>
      <c r="G54" s="34">
        <v>1</v>
      </c>
    </row>
    <row r="55" spans="1:7" hidden="1" x14ac:dyDescent="0.2">
      <c r="A55" s="18">
        <v>43109</v>
      </c>
      <c r="B55" s="34">
        <v>1</v>
      </c>
      <c r="C55" s="34"/>
      <c r="D55" s="34"/>
      <c r="E55" s="34"/>
      <c r="F55" s="34">
        <v>1</v>
      </c>
      <c r="G55" s="34">
        <v>1</v>
      </c>
    </row>
    <row r="56" spans="1:7" hidden="1" x14ac:dyDescent="0.2">
      <c r="A56" s="18">
        <v>43193</v>
      </c>
      <c r="B56" s="34">
        <v>1</v>
      </c>
      <c r="C56" s="34"/>
      <c r="D56" s="34"/>
      <c r="E56" s="34"/>
      <c r="F56" s="34">
        <v>1</v>
      </c>
      <c r="G56" s="34">
        <v>1.07</v>
      </c>
    </row>
    <row r="57" spans="1:7" hidden="1" x14ac:dyDescent="0.2">
      <c r="A57" s="18">
        <v>43298</v>
      </c>
      <c r="B57" s="34"/>
      <c r="C57" s="34"/>
      <c r="D57" s="34"/>
      <c r="E57" s="34"/>
      <c r="F57" s="34"/>
      <c r="G57" s="34"/>
    </row>
    <row r="58" spans="1:7" hidden="1" x14ac:dyDescent="0.2">
      <c r="A58" s="18">
        <v>43403</v>
      </c>
      <c r="B58" s="34">
        <v>1</v>
      </c>
      <c r="C58" s="34"/>
      <c r="D58" s="34"/>
      <c r="E58" s="34"/>
      <c r="F58" s="34">
        <v>1</v>
      </c>
      <c r="G58" s="34">
        <v>1</v>
      </c>
    </row>
    <row r="59" spans="1:7" hidden="1" x14ac:dyDescent="0.2">
      <c r="A59" s="18">
        <v>43487</v>
      </c>
      <c r="B59" s="34"/>
      <c r="C59" s="34"/>
      <c r="D59" s="34"/>
      <c r="E59" s="34"/>
      <c r="F59" s="34"/>
      <c r="G59" s="34"/>
    </row>
    <row r="60" spans="1:7" hidden="1" x14ac:dyDescent="0.2">
      <c r="A60" s="18">
        <v>43578</v>
      </c>
      <c r="B60" s="34">
        <v>1</v>
      </c>
      <c r="C60" s="34"/>
      <c r="D60" s="34"/>
      <c r="E60" s="34"/>
      <c r="F60" s="34">
        <v>1</v>
      </c>
      <c r="G60" s="34">
        <v>1</v>
      </c>
    </row>
    <row r="61" spans="1:7" hidden="1" x14ac:dyDescent="0.2">
      <c r="A61" s="18">
        <v>43704</v>
      </c>
      <c r="B61" s="34"/>
      <c r="C61" s="34"/>
      <c r="D61" s="34"/>
      <c r="E61" s="34"/>
      <c r="F61" s="34"/>
      <c r="G61" s="34"/>
    </row>
    <row r="62" spans="1:7" hidden="1" x14ac:dyDescent="0.2">
      <c r="A62" s="18">
        <v>43760</v>
      </c>
      <c r="B62" s="34">
        <v>1</v>
      </c>
      <c r="C62" s="34"/>
      <c r="D62" s="34"/>
      <c r="E62" s="34"/>
      <c r="F62" s="34">
        <v>1</v>
      </c>
      <c r="G62" s="34">
        <v>1</v>
      </c>
    </row>
    <row r="63" spans="1:7" hidden="1" x14ac:dyDescent="0.2">
      <c r="A63" s="18">
        <v>44021</v>
      </c>
      <c r="B63" s="34">
        <v>1</v>
      </c>
      <c r="C63" s="34"/>
      <c r="D63" s="34"/>
      <c r="E63" s="34"/>
      <c r="F63" s="34">
        <v>1.07</v>
      </c>
      <c r="G63" s="34">
        <v>1.07</v>
      </c>
    </row>
    <row r="64" spans="1:7" hidden="1" x14ac:dyDescent="0.2"/>
    <row r="65" spans="1:7" hidden="1" x14ac:dyDescent="0.2"/>
    <row r="66" spans="1:7" hidden="1" x14ac:dyDescent="0.2">
      <c r="A66" s="34"/>
      <c r="B66" s="36" t="s">
        <v>30</v>
      </c>
      <c r="C66" s="191"/>
      <c r="D66" s="191"/>
      <c r="E66" s="191"/>
    </row>
    <row r="67" spans="1:7" hidden="1" x14ac:dyDescent="0.2">
      <c r="A67" s="34"/>
      <c r="B67" s="29" t="s">
        <v>22</v>
      </c>
      <c r="C67" s="192"/>
      <c r="D67" s="192"/>
      <c r="E67" s="192"/>
    </row>
    <row r="68" spans="1:7" hidden="1" x14ac:dyDescent="0.2">
      <c r="A68" s="12" t="s">
        <v>7</v>
      </c>
      <c r="B68" s="78" t="s">
        <v>9</v>
      </c>
      <c r="C68" s="78"/>
      <c r="D68" s="78"/>
      <c r="E68" s="78"/>
      <c r="F68" s="76" t="s">
        <v>11</v>
      </c>
      <c r="G68" s="75" t="s">
        <v>12</v>
      </c>
    </row>
    <row r="69" spans="1:7" hidden="1" x14ac:dyDescent="0.2">
      <c r="A69" s="18">
        <v>37046</v>
      </c>
      <c r="B69" s="34">
        <v>0.68</v>
      </c>
      <c r="C69" s="34"/>
      <c r="D69" s="34"/>
      <c r="E69" s="34"/>
      <c r="F69" s="34">
        <v>0.48</v>
      </c>
      <c r="G69" s="34">
        <v>0.57999999999999996</v>
      </c>
    </row>
    <row r="70" spans="1:7" hidden="1" x14ac:dyDescent="0.2">
      <c r="A70" s="18">
        <v>37076</v>
      </c>
      <c r="B70" s="34">
        <v>0.35</v>
      </c>
      <c r="C70" s="34"/>
      <c r="D70" s="34"/>
      <c r="E70" s="34"/>
      <c r="F70" s="34">
        <v>0.37</v>
      </c>
      <c r="G70" s="34">
        <v>0.52</v>
      </c>
    </row>
    <row r="71" spans="1:7" hidden="1" x14ac:dyDescent="0.2">
      <c r="A71" s="18">
        <v>37335</v>
      </c>
      <c r="B71" s="34">
        <v>0.88</v>
      </c>
      <c r="C71" s="34"/>
      <c r="D71" s="34"/>
      <c r="E71" s="34"/>
      <c r="F71" s="34">
        <v>0.73</v>
      </c>
      <c r="G71" s="34">
        <v>0.93</v>
      </c>
    </row>
    <row r="72" spans="1:7" hidden="1" x14ac:dyDescent="0.2">
      <c r="A72" s="18">
        <v>37566</v>
      </c>
      <c r="B72" s="34"/>
      <c r="C72" s="34"/>
      <c r="D72" s="34"/>
      <c r="E72" s="34"/>
      <c r="F72" s="34"/>
      <c r="G72" s="34"/>
    </row>
    <row r="73" spans="1:7" hidden="1" x14ac:dyDescent="0.2">
      <c r="A73" s="18">
        <v>37594</v>
      </c>
      <c r="B73" s="34">
        <v>0.73</v>
      </c>
      <c r="C73" s="34"/>
      <c r="D73" s="34"/>
      <c r="E73" s="34"/>
      <c r="F73" s="34">
        <v>0.55000000000000004</v>
      </c>
      <c r="G73" s="34">
        <v>0.48</v>
      </c>
    </row>
    <row r="74" spans="1:7" hidden="1" x14ac:dyDescent="0.2">
      <c r="A74" s="18">
        <v>37711</v>
      </c>
      <c r="B74" s="34">
        <v>0.5</v>
      </c>
      <c r="C74" s="34"/>
      <c r="D74" s="34"/>
      <c r="E74" s="34"/>
      <c r="F74" s="34"/>
      <c r="G74" s="34"/>
    </row>
    <row r="75" spans="1:7" hidden="1" x14ac:dyDescent="0.2">
      <c r="A75" s="18">
        <v>37739</v>
      </c>
      <c r="B75" s="34"/>
      <c r="C75" s="34"/>
      <c r="D75" s="34"/>
      <c r="E75" s="34"/>
      <c r="F75" s="34"/>
      <c r="G75" s="34"/>
    </row>
    <row r="76" spans="1:7" hidden="1" x14ac:dyDescent="0.2">
      <c r="A76" s="18">
        <v>37825</v>
      </c>
      <c r="B76" s="34">
        <v>0.75</v>
      </c>
      <c r="C76" s="34"/>
      <c r="D76" s="34"/>
      <c r="E76" s="34"/>
      <c r="F76" s="34">
        <v>0.88</v>
      </c>
      <c r="G76" s="34">
        <v>1.1000000000000001</v>
      </c>
    </row>
    <row r="77" spans="1:7" hidden="1" x14ac:dyDescent="0.2">
      <c r="A77" s="18">
        <v>37888</v>
      </c>
      <c r="B77" s="34">
        <v>1.4</v>
      </c>
      <c r="C77" s="34"/>
      <c r="D77" s="34"/>
      <c r="E77" s="34"/>
      <c r="F77" s="34">
        <v>1.5</v>
      </c>
      <c r="G77" s="34">
        <v>1</v>
      </c>
    </row>
    <row r="78" spans="1:7" hidden="1" x14ac:dyDescent="0.2">
      <c r="A78" s="18">
        <v>37963</v>
      </c>
      <c r="B78" s="34">
        <v>1.1000000000000001</v>
      </c>
      <c r="C78" s="34"/>
      <c r="D78" s="34"/>
      <c r="E78" s="34"/>
      <c r="F78" s="34">
        <v>0.9</v>
      </c>
      <c r="G78" s="34">
        <v>0.4</v>
      </c>
    </row>
    <row r="79" spans="1:7" hidden="1" x14ac:dyDescent="0.2">
      <c r="A79" s="18">
        <v>38012</v>
      </c>
      <c r="B79" s="34">
        <v>0.8</v>
      </c>
      <c r="C79" s="34"/>
      <c r="D79" s="34"/>
      <c r="E79" s="34"/>
      <c r="F79" s="34">
        <v>0.8</v>
      </c>
      <c r="G79" s="34">
        <v>0.6</v>
      </c>
    </row>
    <row r="80" spans="1:7" hidden="1" x14ac:dyDescent="0.2">
      <c r="A80" s="18">
        <v>38033</v>
      </c>
      <c r="B80" s="34">
        <v>0.7</v>
      </c>
      <c r="C80" s="34"/>
      <c r="D80" s="34"/>
      <c r="E80" s="34"/>
      <c r="F80" s="34">
        <v>0.8</v>
      </c>
      <c r="G80" s="34">
        <v>0.4</v>
      </c>
    </row>
    <row r="81" spans="1:7" hidden="1" x14ac:dyDescent="0.2">
      <c r="A81" s="18">
        <v>38271</v>
      </c>
      <c r="B81" s="34">
        <v>1.3</v>
      </c>
      <c r="C81" s="34"/>
      <c r="D81" s="34"/>
      <c r="E81" s="34"/>
      <c r="F81" s="34">
        <v>0.7</v>
      </c>
      <c r="G81" s="34">
        <v>0.7</v>
      </c>
    </row>
    <row r="82" spans="1:7" hidden="1" x14ac:dyDescent="0.2">
      <c r="A82" s="18">
        <v>38474</v>
      </c>
      <c r="B82" s="34">
        <v>0.8</v>
      </c>
      <c r="C82" s="34"/>
      <c r="D82" s="34"/>
      <c r="E82" s="34"/>
      <c r="F82" s="34">
        <v>0.6</v>
      </c>
      <c r="G82" s="34">
        <v>0.7</v>
      </c>
    </row>
    <row r="83" spans="1:7" hidden="1" x14ac:dyDescent="0.2">
      <c r="A83" s="18">
        <v>38896</v>
      </c>
      <c r="B83" s="34">
        <v>0.2</v>
      </c>
      <c r="C83" s="34"/>
      <c r="D83" s="34"/>
      <c r="E83" s="34"/>
      <c r="F83" s="34">
        <v>0.3</v>
      </c>
      <c r="G83" s="34">
        <v>0.2</v>
      </c>
    </row>
    <row r="84" spans="1:7" hidden="1" x14ac:dyDescent="0.2">
      <c r="A84" s="18">
        <v>40625</v>
      </c>
      <c r="B84" s="34">
        <v>1.2</v>
      </c>
      <c r="C84" s="34"/>
      <c r="D84" s="34"/>
      <c r="E84" s="34"/>
      <c r="F84" s="34">
        <v>1.3</v>
      </c>
      <c r="G84" s="34">
        <v>1</v>
      </c>
    </row>
    <row r="85" spans="1:7" hidden="1" x14ac:dyDescent="0.2">
      <c r="A85" s="18">
        <v>40716</v>
      </c>
      <c r="B85" s="34">
        <v>0.6</v>
      </c>
      <c r="C85" s="34"/>
      <c r="D85" s="34"/>
      <c r="E85" s="34"/>
      <c r="F85" s="34">
        <v>0.6</v>
      </c>
      <c r="G85" s="34">
        <v>0.6</v>
      </c>
    </row>
    <row r="86" spans="1:7" hidden="1" x14ac:dyDescent="0.2">
      <c r="A86" s="18">
        <v>40821</v>
      </c>
      <c r="B86" s="34">
        <v>0.8</v>
      </c>
      <c r="C86" s="34"/>
      <c r="D86" s="34"/>
      <c r="E86" s="34"/>
      <c r="F86" s="34">
        <v>0.8</v>
      </c>
      <c r="G86" s="34">
        <v>0.6</v>
      </c>
    </row>
    <row r="87" spans="1:7" hidden="1" x14ac:dyDescent="0.2">
      <c r="A87" s="18">
        <v>40897</v>
      </c>
      <c r="B87" s="34">
        <v>1</v>
      </c>
      <c r="C87" s="34"/>
      <c r="D87" s="34"/>
      <c r="E87" s="34"/>
      <c r="F87" s="34">
        <v>1.4</v>
      </c>
      <c r="G87" s="34">
        <v>1.1000000000000001</v>
      </c>
    </row>
    <row r="88" spans="1:7" hidden="1" x14ac:dyDescent="0.2">
      <c r="A88" s="18">
        <v>41008</v>
      </c>
      <c r="B88" s="34">
        <v>0.7</v>
      </c>
      <c r="C88" s="34"/>
      <c r="D88" s="34"/>
      <c r="E88" s="34"/>
      <c r="F88" s="34">
        <v>3.1</v>
      </c>
      <c r="G88" s="34">
        <v>0.9</v>
      </c>
    </row>
    <row r="89" spans="1:7" hidden="1" x14ac:dyDescent="0.2">
      <c r="A89" s="18">
        <v>41086</v>
      </c>
      <c r="B89" s="34">
        <v>3.25</v>
      </c>
      <c r="C89" s="34"/>
      <c r="D89" s="34"/>
      <c r="E89" s="34"/>
      <c r="F89" s="34">
        <v>3.75</v>
      </c>
      <c r="G89" s="34">
        <v>2.5499999999999998</v>
      </c>
    </row>
    <row r="90" spans="1:7" hidden="1" x14ac:dyDescent="0.2">
      <c r="A90" s="18">
        <v>41179</v>
      </c>
      <c r="B90" s="34">
        <v>1.1000000000000001</v>
      </c>
      <c r="C90" s="34"/>
      <c r="D90" s="34"/>
      <c r="E90" s="34"/>
      <c r="F90" s="34">
        <v>0.9</v>
      </c>
      <c r="G90" s="34">
        <v>0.89</v>
      </c>
    </row>
    <row r="91" spans="1:7" hidden="1" x14ac:dyDescent="0.2">
      <c r="A91" s="18">
        <v>41247</v>
      </c>
      <c r="B91" s="34">
        <v>0.89</v>
      </c>
      <c r="C91" s="34"/>
      <c r="D91" s="34"/>
      <c r="E91" s="34"/>
      <c r="F91" s="34">
        <v>0.89</v>
      </c>
      <c r="G91" s="34">
        <v>0.89</v>
      </c>
    </row>
    <row r="92" spans="1:7" hidden="1" x14ac:dyDescent="0.2">
      <c r="A92" s="18">
        <v>41352</v>
      </c>
      <c r="B92" s="34">
        <v>5.35</v>
      </c>
      <c r="C92" s="34"/>
      <c r="D92" s="34"/>
      <c r="E92" s="34"/>
      <c r="F92" s="34">
        <v>5.0999999999999996</v>
      </c>
      <c r="G92" s="34">
        <v>5.05</v>
      </c>
    </row>
    <row r="93" spans="1:7" hidden="1" x14ac:dyDescent="0.2">
      <c r="A93" s="18">
        <v>41445</v>
      </c>
      <c r="B93" s="34">
        <v>1</v>
      </c>
      <c r="C93" s="34"/>
      <c r="D93" s="34"/>
      <c r="E93" s="34"/>
      <c r="F93" s="34">
        <v>1</v>
      </c>
      <c r="G93" s="34">
        <v>1</v>
      </c>
    </row>
    <row r="94" spans="1:7" hidden="1" x14ac:dyDescent="0.2">
      <c r="A94" s="18">
        <v>41528</v>
      </c>
      <c r="B94" s="34">
        <v>1.7</v>
      </c>
      <c r="C94" s="34"/>
      <c r="D94" s="34"/>
      <c r="E94" s="34"/>
      <c r="F94" s="34">
        <v>1.35</v>
      </c>
      <c r="G94" s="34">
        <v>0.7</v>
      </c>
    </row>
    <row r="95" spans="1:7" hidden="1" x14ac:dyDescent="0.2">
      <c r="A95" s="18">
        <v>41670</v>
      </c>
      <c r="B95" s="34">
        <v>3.6</v>
      </c>
      <c r="C95" s="34"/>
      <c r="D95" s="34"/>
      <c r="E95" s="34"/>
      <c r="F95" s="34">
        <v>2.7</v>
      </c>
      <c r="G95" s="34">
        <v>2.6</v>
      </c>
    </row>
    <row r="96" spans="1:7" hidden="1" x14ac:dyDescent="0.2">
      <c r="A96" s="18">
        <v>41758</v>
      </c>
      <c r="B96" s="34">
        <v>0.9</v>
      </c>
      <c r="C96" s="34"/>
      <c r="D96" s="34"/>
      <c r="E96" s="34"/>
      <c r="F96" s="34">
        <v>0.9</v>
      </c>
      <c r="G96" s="34">
        <v>1.35</v>
      </c>
    </row>
    <row r="97" spans="1:7" hidden="1" x14ac:dyDescent="0.2">
      <c r="A97" s="18">
        <v>41835</v>
      </c>
      <c r="B97" s="34">
        <v>0.4</v>
      </c>
      <c r="C97" s="34"/>
      <c r="D97" s="34"/>
      <c r="E97" s="34"/>
      <c r="F97" s="34">
        <v>0.35</v>
      </c>
      <c r="G97" s="34">
        <v>0.95</v>
      </c>
    </row>
    <row r="98" spans="1:7" hidden="1" x14ac:dyDescent="0.2">
      <c r="A98" s="18">
        <v>42031</v>
      </c>
      <c r="B98" s="34">
        <v>1.05</v>
      </c>
      <c r="C98" s="34"/>
      <c r="D98" s="34"/>
      <c r="E98" s="34"/>
      <c r="F98" s="34">
        <v>1.1000000000000001</v>
      </c>
      <c r="G98" s="34">
        <v>4.0999999999999996</v>
      </c>
    </row>
    <row r="99" spans="1:7" hidden="1" x14ac:dyDescent="0.2">
      <c r="A99" s="18">
        <v>42094</v>
      </c>
      <c r="B99" s="34">
        <v>1.25</v>
      </c>
      <c r="C99" s="34"/>
      <c r="D99" s="34"/>
      <c r="E99" s="34"/>
      <c r="F99" s="34">
        <v>0.55000000000000004</v>
      </c>
      <c r="G99" s="34">
        <v>0.55000000000000004</v>
      </c>
    </row>
    <row r="100" spans="1:7" hidden="1" x14ac:dyDescent="0.2">
      <c r="A100" s="18">
        <v>42192</v>
      </c>
      <c r="B100" s="34">
        <v>0.6</v>
      </c>
      <c r="C100" s="34"/>
      <c r="D100" s="34"/>
      <c r="E100" s="34"/>
      <c r="F100" s="34">
        <v>0.5</v>
      </c>
      <c r="G100" s="34">
        <v>0.65</v>
      </c>
    </row>
    <row r="101" spans="1:7" hidden="1" x14ac:dyDescent="0.2">
      <c r="A101" s="18">
        <v>42290</v>
      </c>
      <c r="B101" s="34">
        <v>0.85</v>
      </c>
      <c r="C101" s="34"/>
      <c r="D101" s="34"/>
      <c r="E101" s="34"/>
      <c r="F101" s="34">
        <v>0.9</v>
      </c>
      <c r="G101" s="34">
        <v>0.8</v>
      </c>
    </row>
    <row r="102" spans="1:7" hidden="1" x14ac:dyDescent="0.2">
      <c r="A102" s="18">
        <v>42381</v>
      </c>
      <c r="B102" s="34">
        <v>1.7</v>
      </c>
      <c r="C102" s="34"/>
      <c r="D102" s="34"/>
      <c r="E102" s="34"/>
      <c r="F102" s="34">
        <v>1.8</v>
      </c>
      <c r="G102" s="34">
        <v>1.6</v>
      </c>
    </row>
    <row r="103" spans="1:7" hidden="1" x14ac:dyDescent="0.2">
      <c r="A103" s="18">
        <v>42479</v>
      </c>
      <c r="B103" s="34">
        <v>0.8</v>
      </c>
      <c r="C103" s="34"/>
      <c r="D103" s="34"/>
      <c r="E103" s="34"/>
      <c r="F103" s="34">
        <v>0.7</v>
      </c>
      <c r="G103" s="34">
        <v>1</v>
      </c>
    </row>
    <row r="104" spans="1:7" hidden="1" x14ac:dyDescent="0.2">
      <c r="A104" s="18">
        <v>42570</v>
      </c>
      <c r="B104" s="34">
        <v>0</v>
      </c>
      <c r="C104" s="34"/>
      <c r="D104" s="34"/>
      <c r="E104" s="34"/>
      <c r="F104" s="34">
        <v>0</v>
      </c>
      <c r="G104" s="34">
        <v>0</v>
      </c>
    </row>
    <row r="105" spans="1:7" hidden="1" x14ac:dyDescent="0.2">
      <c r="A105" s="18">
        <v>42654</v>
      </c>
      <c r="B105" s="34">
        <v>1.1000000000000001</v>
      </c>
      <c r="C105" s="34"/>
      <c r="D105" s="34"/>
      <c r="E105" s="34"/>
      <c r="F105" s="34">
        <v>1.2</v>
      </c>
      <c r="G105" s="34">
        <v>1</v>
      </c>
    </row>
    <row r="106" spans="1:7" hidden="1" x14ac:dyDescent="0.2">
      <c r="A106" s="18">
        <v>42745</v>
      </c>
      <c r="B106" s="34">
        <v>2.5499999999999998</v>
      </c>
      <c r="C106" s="34"/>
      <c r="D106" s="34"/>
      <c r="E106" s="34"/>
      <c r="F106" s="34">
        <v>2.6</v>
      </c>
      <c r="G106" s="34">
        <v>2.8</v>
      </c>
    </row>
    <row r="107" spans="1:7" hidden="1" x14ac:dyDescent="0.2">
      <c r="A107" s="18">
        <v>42843</v>
      </c>
      <c r="B107" s="34">
        <v>0.7</v>
      </c>
      <c r="C107" s="34"/>
      <c r="D107" s="34"/>
      <c r="E107" s="34"/>
      <c r="F107" s="34">
        <v>0.4</v>
      </c>
      <c r="G107" s="34">
        <v>0.15</v>
      </c>
    </row>
    <row r="108" spans="1:7" hidden="1" x14ac:dyDescent="0.2">
      <c r="A108" s="18">
        <v>42934</v>
      </c>
      <c r="B108" s="34">
        <v>0.5</v>
      </c>
      <c r="C108" s="34"/>
      <c r="D108" s="34"/>
      <c r="E108" s="34"/>
      <c r="F108" s="34">
        <v>0.6</v>
      </c>
      <c r="G108" s="34">
        <v>0.5</v>
      </c>
    </row>
    <row r="109" spans="1:7" hidden="1" x14ac:dyDescent="0.2">
      <c r="A109" s="18">
        <v>43025</v>
      </c>
      <c r="B109" s="34">
        <v>1</v>
      </c>
      <c r="C109" s="34"/>
      <c r="D109" s="34"/>
      <c r="E109" s="34"/>
      <c r="F109" s="34">
        <v>0.38</v>
      </c>
      <c r="G109" s="34">
        <v>0.4</v>
      </c>
    </row>
    <row r="110" spans="1:7" hidden="1" x14ac:dyDescent="0.2">
      <c r="A110" s="18">
        <v>43109</v>
      </c>
      <c r="B110" s="34">
        <v>0.6</v>
      </c>
      <c r="C110" s="34"/>
      <c r="D110" s="34"/>
      <c r="E110" s="34"/>
      <c r="F110" s="34">
        <v>0.5</v>
      </c>
      <c r="G110" s="34">
        <v>0.6</v>
      </c>
    </row>
    <row r="111" spans="1:7" hidden="1" x14ac:dyDescent="0.2">
      <c r="A111" s="18">
        <v>43193</v>
      </c>
      <c r="B111" s="34">
        <v>3.4</v>
      </c>
      <c r="C111" s="34"/>
      <c r="D111" s="34"/>
      <c r="E111" s="34"/>
      <c r="F111" s="34">
        <v>2.8</v>
      </c>
      <c r="G111" s="34">
        <v>3.53</v>
      </c>
    </row>
    <row r="112" spans="1:7" hidden="1" x14ac:dyDescent="0.2">
      <c r="A112" s="18">
        <v>43298</v>
      </c>
      <c r="B112" s="34">
        <v>1</v>
      </c>
      <c r="C112" s="34"/>
      <c r="D112" s="34"/>
      <c r="E112" s="34"/>
      <c r="F112" s="34">
        <v>1</v>
      </c>
      <c r="G112" s="34">
        <v>1</v>
      </c>
    </row>
    <row r="113" spans="1:7" hidden="1" x14ac:dyDescent="0.2">
      <c r="A113" s="18">
        <v>43403</v>
      </c>
      <c r="B113" s="34">
        <v>1.95</v>
      </c>
      <c r="C113" s="34"/>
      <c r="D113" s="34"/>
      <c r="E113" s="34"/>
      <c r="F113" s="34">
        <v>1.95</v>
      </c>
      <c r="G113" s="34">
        <v>2.2999999999999998</v>
      </c>
    </row>
    <row r="114" spans="1:7" hidden="1" x14ac:dyDescent="0.2">
      <c r="A114" s="18">
        <v>43487</v>
      </c>
      <c r="B114" s="34">
        <v>1.35</v>
      </c>
      <c r="C114" s="34"/>
      <c r="D114" s="34"/>
      <c r="E114" s="34"/>
      <c r="F114" s="34">
        <v>1.0249999999999999</v>
      </c>
      <c r="G114" s="34"/>
    </row>
    <row r="115" spans="1:7" hidden="1" x14ac:dyDescent="0.2">
      <c r="A115" s="18">
        <v>43578</v>
      </c>
      <c r="B115" s="34">
        <v>4</v>
      </c>
      <c r="C115" s="34"/>
      <c r="D115" s="34"/>
      <c r="E115" s="34"/>
      <c r="F115" s="34">
        <v>4</v>
      </c>
      <c r="G115" s="34">
        <v>3</v>
      </c>
    </row>
    <row r="116" spans="1:7" hidden="1" x14ac:dyDescent="0.2">
      <c r="A116" s="18">
        <v>43704</v>
      </c>
      <c r="B116" s="34">
        <v>1.75</v>
      </c>
      <c r="C116" s="34"/>
      <c r="D116" s="34"/>
      <c r="E116" s="34"/>
      <c r="F116" s="34">
        <v>2</v>
      </c>
      <c r="G116" s="34">
        <v>1.85</v>
      </c>
    </row>
    <row r="117" spans="1:7" hidden="1" x14ac:dyDescent="0.2">
      <c r="A117" s="18">
        <v>43760</v>
      </c>
      <c r="B117" s="34">
        <v>2.8</v>
      </c>
      <c r="C117" s="34"/>
      <c r="D117" s="34"/>
      <c r="E117" s="34"/>
      <c r="F117" s="34">
        <v>1.4</v>
      </c>
      <c r="G117" s="34">
        <v>1.25</v>
      </c>
    </row>
    <row r="118" spans="1:7" hidden="1" x14ac:dyDescent="0.2">
      <c r="A118" s="18">
        <v>44021</v>
      </c>
      <c r="B118" s="34">
        <v>1.75</v>
      </c>
      <c r="C118" s="34"/>
      <c r="D118" s="34"/>
      <c r="E118" s="34"/>
      <c r="F118" s="34">
        <v>1.9</v>
      </c>
      <c r="G118" s="34">
        <v>1.7</v>
      </c>
    </row>
    <row r="119" spans="1:7" hidden="1" x14ac:dyDescent="0.2"/>
    <row r="120" spans="1:7" hidden="1" x14ac:dyDescent="0.2"/>
    <row r="121" spans="1:7" hidden="1" x14ac:dyDescent="0.2">
      <c r="A121" s="34"/>
      <c r="B121" s="36" t="s">
        <v>32</v>
      </c>
      <c r="C121" s="191"/>
      <c r="D121" s="191"/>
      <c r="E121" s="191"/>
    </row>
    <row r="122" spans="1:7" hidden="1" x14ac:dyDescent="0.2">
      <c r="A122" s="34"/>
      <c r="B122" s="29" t="s">
        <v>22</v>
      </c>
      <c r="C122" s="192"/>
      <c r="D122" s="192"/>
      <c r="E122" s="192"/>
    </row>
    <row r="123" spans="1:7" hidden="1" x14ac:dyDescent="0.2">
      <c r="A123" s="12" t="s">
        <v>7</v>
      </c>
      <c r="B123" s="78" t="s">
        <v>9</v>
      </c>
      <c r="C123" s="78"/>
      <c r="D123" s="78"/>
      <c r="E123" s="78"/>
      <c r="F123" s="76" t="s">
        <v>11</v>
      </c>
      <c r="G123" s="75" t="s">
        <v>12</v>
      </c>
    </row>
    <row r="124" spans="1:7" hidden="1" x14ac:dyDescent="0.2">
      <c r="A124" s="18">
        <v>37046</v>
      </c>
      <c r="B124" s="34">
        <v>11.81</v>
      </c>
      <c r="C124" s="34"/>
      <c r="D124" s="34"/>
      <c r="E124" s="34"/>
      <c r="F124" s="34">
        <v>19.68</v>
      </c>
      <c r="G124" s="34">
        <v>7.87</v>
      </c>
    </row>
    <row r="125" spans="1:7" hidden="1" x14ac:dyDescent="0.2">
      <c r="A125" s="18">
        <v>37076</v>
      </c>
      <c r="B125" s="34">
        <v>7.75</v>
      </c>
      <c r="C125" s="34"/>
      <c r="D125" s="34"/>
      <c r="E125" s="34"/>
      <c r="F125" s="34">
        <v>9.69</v>
      </c>
      <c r="G125" s="34">
        <v>23.62</v>
      </c>
    </row>
    <row r="126" spans="1:7" hidden="1" x14ac:dyDescent="0.2">
      <c r="A126" s="18">
        <v>37335</v>
      </c>
      <c r="B126" s="34">
        <v>11.79</v>
      </c>
      <c r="C126" s="34"/>
      <c r="D126" s="34"/>
      <c r="E126" s="34"/>
      <c r="F126" s="34">
        <v>1.96</v>
      </c>
      <c r="G126" s="34">
        <v>3.93</v>
      </c>
    </row>
    <row r="127" spans="1:7" hidden="1" x14ac:dyDescent="0.2">
      <c r="A127" s="18">
        <v>37566</v>
      </c>
      <c r="B127" s="34">
        <v>1.83</v>
      </c>
      <c r="C127" s="34"/>
      <c r="D127" s="34"/>
      <c r="E127" s="34"/>
      <c r="F127" s="34">
        <v>1.68</v>
      </c>
      <c r="G127" s="34">
        <v>1.75</v>
      </c>
    </row>
    <row r="128" spans="1:7" hidden="1" x14ac:dyDescent="0.2">
      <c r="A128" s="18">
        <v>37594</v>
      </c>
      <c r="B128" s="34"/>
      <c r="C128" s="34"/>
      <c r="D128" s="34"/>
      <c r="E128" s="34"/>
      <c r="F128" s="34"/>
      <c r="G128" s="34"/>
    </row>
    <row r="129" spans="1:7" hidden="1" x14ac:dyDescent="0.2">
      <c r="A129" s="18">
        <v>37711</v>
      </c>
      <c r="B129" s="34"/>
      <c r="C129" s="34"/>
      <c r="D129" s="34"/>
      <c r="E129" s="34"/>
      <c r="F129" s="34"/>
      <c r="G129" s="34"/>
    </row>
    <row r="130" spans="1:7" hidden="1" x14ac:dyDescent="0.2">
      <c r="A130" s="18">
        <v>37739</v>
      </c>
      <c r="B130" s="34"/>
      <c r="C130" s="34"/>
      <c r="D130" s="34"/>
      <c r="E130" s="34"/>
      <c r="F130" s="34"/>
      <c r="G130" s="34"/>
    </row>
    <row r="131" spans="1:7" hidden="1" x14ac:dyDescent="0.2">
      <c r="A131" s="18">
        <v>37825</v>
      </c>
      <c r="B131" s="34"/>
      <c r="C131" s="34"/>
      <c r="D131" s="34"/>
      <c r="E131" s="34"/>
      <c r="F131" s="34"/>
      <c r="G131" s="34"/>
    </row>
    <row r="132" spans="1:7" hidden="1" x14ac:dyDescent="0.2">
      <c r="A132" s="18">
        <v>37888</v>
      </c>
      <c r="B132" s="34">
        <v>23.7</v>
      </c>
      <c r="C132" s="34"/>
      <c r="D132" s="34"/>
      <c r="E132" s="34"/>
      <c r="F132" s="34">
        <v>27.7</v>
      </c>
      <c r="G132" s="34">
        <v>19.8</v>
      </c>
    </row>
    <row r="133" spans="1:7" hidden="1" x14ac:dyDescent="0.2">
      <c r="A133" s="18">
        <v>37963</v>
      </c>
      <c r="B133" s="34">
        <v>5.9</v>
      </c>
      <c r="C133" s="34"/>
      <c r="D133" s="34"/>
      <c r="E133" s="34"/>
      <c r="F133" s="34">
        <v>3.7</v>
      </c>
      <c r="G133" s="34">
        <v>3.7</v>
      </c>
    </row>
    <row r="134" spans="1:7" hidden="1" x14ac:dyDescent="0.2">
      <c r="A134" s="18">
        <v>38012</v>
      </c>
      <c r="B134" s="34">
        <v>16</v>
      </c>
      <c r="C134" s="34"/>
      <c r="D134" s="34"/>
      <c r="E134" s="34"/>
      <c r="F134" s="34">
        <v>14</v>
      </c>
      <c r="G134" s="34">
        <v>12</v>
      </c>
    </row>
    <row r="135" spans="1:7" hidden="1" x14ac:dyDescent="0.2">
      <c r="A135" s="18">
        <v>38033</v>
      </c>
      <c r="B135" s="34">
        <v>1.95</v>
      </c>
      <c r="C135" s="34"/>
      <c r="D135" s="34"/>
      <c r="E135" s="34"/>
      <c r="F135" s="34">
        <v>1.95</v>
      </c>
      <c r="G135" s="34">
        <v>3.9</v>
      </c>
    </row>
    <row r="136" spans="1:7" hidden="1" x14ac:dyDescent="0.2">
      <c r="A136" s="18">
        <v>38271</v>
      </c>
      <c r="B136" s="34"/>
      <c r="C136" s="34"/>
      <c r="D136" s="34"/>
      <c r="E136" s="34"/>
      <c r="F136" s="34"/>
      <c r="G136" s="34"/>
    </row>
    <row r="137" spans="1:7" hidden="1" x14ac:dyDescent="0.2">
      <c r="A137" s="18">
        <v>38474</v>
      </c>
      <c r="B137" s="34">
        <v>29</v>
      </c>
      <c r="C137" s="34"/>
      <c r="D137" s="34"/>
      <c r="E137" s="34"/>
      <c r="F137" s="34">
        <v>27</v>
      </c>
      <c r="G137" s="34">
        <v>35</v>
      </c>
    </row>
    <row r="138" spans="1:7" hidden="1" x14ac:dyDescent="0.2">
      <c r="A138" s="18">
        <v>38896</v>
      </c>
      <c r="B138" s="34">
        <v>18</v>
      </c>
      <c r="C138" s="34"/>
      <c r="D138" s="34"/>
      <c r="E138" s="34"/>
      <c r="F138" s="34">
        <v>31</v>
      </c>
      <c r="G138" s="34">
        <v>10</v>
      </c>
    </row>
    <row r="139" spans="1:7" hidden="1" x14ac:dyDescent="0.2">
      <c r="A139" s="18">
        <v>40625</v>
      </c>
      <c r="B139" s="34">
        <v>54</v>
      </c>
      <c r="C139" s="34"/>
      <c r="D139" s="34"/>
      <c r="E139" s="34"/>
      <c r="F139" s="34">
        <v>44</v>
      </c>
      <c r="G139" s="34">
        <v>50</v>
      </c>
    </row>
    <row r="140" spans="1:7" hidden="1" x14ac:dyDescent="0.2">
      <c r="A140" s="18">
        <v>40716</v>
      </c>
      <c r="B140" s="34">
        <v>16</v>
      </c>
      <c r="C140" s="34"/>
      <c r="D140" s="34"/>
      <c r="E140" s="34"/>
      <c r="F140" s="34">
        <v>8</v>
      </c>
      <c r="G140" s="34">
        <v>16</v>
      </c>
    </row>
    <row r="141" spans="1:7" hidden="1" x14ac:dyDescent="0.2">
      <c r="A141" s="18">
        <v>40821</v>
      </c>
      <c r="B141" s="34">
        <v>58</v>
      </c>
      <c r="C141" s="34"/>
      <c r="D141" s="34"/>
      <c r="E141" s="34"/>
      <c r="F141" s="34">
        <v>46</v>
      </c>
      <c r="G141" s="34">
        <v>46</v>
      </c>
    </row>
    <row r="142" spans="1:7" hidden="1" x14ac:dyDescent="0.2">
      <c r="A142" s="18">
        <v>40897</v>
      </c>
      <c r="B142" s="34">
        <v>42</v>
      </c>
      <c r="C142" s="34"/>
      <c r="D142" s="34"/>
      <c r="E142" s="34"/>
      <c r="F142" s="34">
        <v>40</v>
      </c>
      <c r="G142" s="34">
        <v>46</v>
      </c>
    </row>
    <row r="143" spans="1:7" hidden="1" x14ac:dyDescent="0.2">
      <c r="A143" s="18">
        <v>41008</v>
      </c>
      <c r="B143" s="34">
        <v>21</v>
      </c>
      <c r="C143" s="34"/>
      <c r="D143" s="34"/>
      <c r="E143" s="34"/>
      <c r="F143" s="34">
        <v>107</v>
      </c>
      <c r="G143" s="34">
        <v>32</v>
      </c>
    </row>
    <row r="144" spans="1:7" hidden="1" x14ac:dyDescent="0.2">
      <c r="A144" s="18">
        <v>41086</v>
      </c>
      <c r="B144" s="34">
        <v>68</v>
      </c>
      <c r="C144" s="34"/>
      <c r="D144" s="34"/>
      <c r="E144" s="34"/>
      <c r="F144" s="34">
        <v>70</v>
      </c>
      <c r="G144" s="34">
        <v>50</v>
      </c>
    </row>
    <row r="145" spans="1:7" hidden="1" x14ac:dyDescent="0.2">
      <c r="A145" s="18">
        <v>41179</v>
      </c>
      <c r="B145" s="34">
        <v>25</v>
      </c>
      <c r="C145" s="34"/>
      <c r="D145" s="34"/>
      <c r="E145" s="34"/>
      <c r="F145" s="34">
        <v>25</v>
      </c>
      <c r="G145" s="34">
        <v>25</v>
      </c>
    </row>
    <row r="146" spans="1:7" hidden="1" x14ac:dyDescent="0.2">
      <c r="A146" s="18">
        <v>41247</v>
      </c>
      <c r="B146" s="34">
        <v>25</v>
      </c>
      <c r="C146" s="34"/>
      <c r="D146" s="34"/>
      <c r="E146" s="34"/>
      <c r="F146" s="34">
        <v>25</v>
      </c>
      <c r="G146" s="34">
        <v>25</v>
      </c>
    </row>
    <row r="147" spans="1:7" hidden="1" x14ac:dyDescent="0.2">
      <c r="A147" s="18">
        <v>41352</v>
      </c>
      <c r="B147" s="34">
        <v>74</v>
      </c>
      <c r="C147" s="34"/>
      <c r="D147" s="34"/>
      <c r="E147" s="34"/>
      <c r="F147" s="34">
        <v>75</v>
      </c>
      <c r="G147" s="34">
        <v>73</v>
      </c>
    </row>
    <row r="148" spans="1:7" hidden="1" x14ac:dyDescent="0.2">
      <c r="A148" s="18">
        <v>41445</v>
      </c>
      <c r="B148" s="34">
        <v>26</v>
      </c>
      <c r="C148" s="34"/>
      <c r="D148" s="34"/>
      <c r="E148" s="34"/>
      <c r="F148" s="34">
        <v>35</v>
      </c>
      <c r="G148" s="34">
        <v>25</v>
      </c>
    </row>
    <row r="149" spans="1:7" hidden="1" x14ac:dyDescent="0.2">
      <c r="A149" s="18">
        <v>41528</v>
      </c>
      <c r="B149" s="34">
        <v>25</v>
      </c>
      <c r="C149" s="34"/>
      <c r="D149" s="34"/>
      <c r="E149" s="34"/>
      <c r="F149" s="34">
        <v>25</v>
      </c>
      <c r="G149" s="34">
        <v>25</v>
      </c>
    </row>
    <row r="150" spans="1:7" hidden="1" x14ac:dyDescent="0.2">
      <c r="A150" s="18">
        <v>41670</v>
      </c>
      <c r="B150" s="34">
        <v>46</v>
      </c>
      <c r="C150" s="34"/>
      <c r="D150" s="34"/>
      <c r="E150" s="34"/>
      <c r="F150" s="34">
        <v>37</v>
      </c>
      <c r="G150" s="34">
        <v>91</v>
      </c>
    </row>
    <row r="151" spans="1:7" hidden="1" x14ac:dyDescent="0.2">
      <c r="A151" s="18">
        <v>41758</v>
      </c>
      <c r="B151" s="34">
        <v>41</v>
      </c>
      <c r="C151" s="34"/>
      <c r="D151" s="34"/>
      <c r="E151" s="34"/>
      <c r="F151" s="34">
        <v>41</v>
      </c>
      <c r="G151" s="34">
        <v>31</v>
      </c>
    </row>
    <row r="152" spans="1:7" hidden="1" x14ac:dyDescent="0.2">
      <c r="A152" s="18">
        <v>41835</v>
      </c>
      <c r="B152" s="34">
        <v>25</v>
      </c>
      <c r="C152" s="34"/>
      <c r="D152" s="34"/>
      <c r="E152" s="34"/>
      <c r="F152" s="34">
        <v>25</v>
      </c>
      <c r="G152" s="34">
        <v>25</v>
      </c>
    </row>
    <row r="153" spans="1:7" hidden="1" x14ac:dyDescent="0.2">
      <c r="A153" s="18">
        <v>42031</v>
      </c>
      <c r="B153" s="34">
        <v>34</v>
      </c>
      <c r="C153" s="34"/>
      <c r="D153" s="34"/>
      <c r="E153" s="34"/>
      <c r="F153" s="34">
        <v>32</v>
      </c>
      <c r="G153" s="34">
        <v>45</v>
      </c>
    </row>
    <row r="154" spans="1:7" hidden="1" x14ac:dyDescent="0.2">
      <c r="A154" s="18">
        <v>42094</v>
      </c>
      <c r="B154" s="34">
        <v>40</v>
      </c>
      <c r="C154" s="34"/>
      <c r="D154" s="34"/>
      <c r="E154" s="34"/>
      <c r="F154" s="34">
        <v>26</v>
      </c>
      <c r="G154" s="34">
        <v>37</v>
      </c>
    </row>
    <row r="155" spans="1:7" hidden="1" x14ac:dyDescent="0.2">
      <c r="A155" s="18">
        <v>42192</v>
      </c>
      <c r="B155" s="34">
        <v>25</v>
      </c>
      <c r="C155" s="34"/>
      <c r="D155" s="34"/>
      <c r="E155" s="34"/>
      <c r="F155" s="34">
        <v>25</v>
      </c>
      <c r="G155" s="34">
        <v>25</v>
      </c>
    </row>
    <row r="156" spans="1:7" hidden="1" x14ac:dyDescent="0.2">
      <c r="A156" s="18">
        <v>42290</v>
      </c>
      <c r="B156" s="34">
        <v>50</v>
      </c>
      <c r="C156" s="34"/>
      <c r="D156" s="34"/>
      <c r="E156" s="34"/>
      <c r="F156" s="34">
        <v>25</v>
      </c>
      <c r="G156" s="34">
        <v>25</v>
      </c>
    </row>
    <row r="157" spans="1:7" hidden="1" x14ac:dyDescent="0.2">
      <c r="A157" s="18">
        <v>42381</v>
      </c>
      <c r="B157" s="34">
        <v>30</v>
      </c>
      <c r="C157" s="34"/>
      <c r="D157" s="34"/>
      <c r="E157" s="34"/>
      <c r="F157" s="34">
        <v>25</v>
      </c>
      <c r="G157" s="34">
        <v>25</v>
      </c>
    </row>
    <row r="158" spans="1:7" hidden="1" x14ac:dyDescent="0.2">
      <c r="A158" s="18">
        <v>42479</v>
      </c>
      <c r="B158" s="34">
        <v>40</v>
      </c>
      <c r="C158" s="34"/>
      <c r="D158" s="34"/>
      <c r="E158" s="34"/>
      <c r="F158" s="34">
        <v>37</v>
      </c>
      <c r="G158" s="34">
        <v>27</v>
      </c>
    </row>
    <row r="159" spans="1:7" hidden="1" x14ac:dyDescent="0.2">
      <c r="A159" s="18">
        <v>42570</v>
      </c>
      <c r="B159" s="34">
        <v>31</v>
      </c>
      <c r="C159" s="34"/>
      <c r="D159" s="34"/>
      <c r="E159" s="34"/>
      <c r="F159" s="34">
        <v>30</v>
      </c>
      <c r="G159" s="34">
        <v>25</v>
      </c>
    </row>
    <row r="160" spans="1:7" hidden="1" x14ac:dyDescent="0.2">
      <c r="A160" s="18">
        <v>42654</v>
      </c>
      <c r="B160" s="34">
        <v>53</v>
      </c>
      <c r="C160" s="34"/>
      <c r="D160" s="34"/>
      <c r="E160" s="34"/>
      <c r="F160" s="34">
        <v>21</v>
      </c>
      <c r="G160" s="34">
        <v>29</v>
      </c>
    </row>
    <row r="161" spans="1:7" hidden="1" x14ac:dyDescent="0.2">
      <c r="A161" s="18">
        <v>42745</v>
      </c>
      <c r="B161" s="34">
        <v>78</v>
      </c>
      <c r="C161" s="34"/>
      <c r="D161" s="34"/>
      <c r="E161" s="34"/>
      <c r="F161" s="34">
        <v>55</v>
      </c>
      <c r="G161" s="34">
        <v>59</v>
      </c>
    </row>
    <row r="162" spans="1:7" hidden="1" x14ac:dyDescent="0.2">
      <c r="A162" s="18">
        <v>42843</v>
      </c>
      <c r="B162" s="34">
        <v>34</v>
      </c>
      <c r="C162" s="34"/>
      <c r="D162" s="34"/>
      <c r="E162" s="34"/>
      <c r="F162" s="34">
        <v>31</v>
      </c>
      <c r="G162" s="34">
        <v>33</v>
      </c>
    </row>
    <row r="163" spans="1:7" hidden="1" x14ac:dyDescent="0.2">
      <c r="A163" s="18">
        <v>42934</v>
      </c>
      <c r="B163" s="34">
        <v>25</v>
      </c>
      <c r="C163" s="34"/>
      <c r="D163" s="34"/>
      <c r="E163" s="34"/>
      <c r="F163" s="34">
        <v>25</v>
      </c>
      <c r="G163" s="34">
        <v>25</v>
      </c>
    </row>
    <row r="164" spans="1:7" hidden="1" x14ac:dyDescent="0.2">
      <c r="A164" s="18">
        <v>43025</v>
      </c>
      <c r="B164" s="34">
        <v>25</v>
      </c>
      <c r="C164" s="34"/>
      <c r="D164" s="34"/>
      <c r="E164" s="34"/>
      <c r="F164" s="34">
        <v>27</v>
      </c>
      <c r="G164" s="34">
        <v>25</v>
      </c>
    </row>
    <row r="165" spans="1:7" hidden="1" x14ac:dyDescent="0.2">
      <c r="A165" s="18">
        <v>43109</v>
      </c>
      <c r="B165" s="34">
        <v>35</v>
      </c>
      <c r="C165" s="34"/>
      <c r="D165" s="34"/>
      <c r="E165" s="34"/>
      <c r="F165" s="34">
        <v>25</v>
      </c>
      <c r="G165" s="34">
        <v>25</v>
      </c>
    </row>
    <row r="166" spans="1:7" hidden="1" x14ac:dyDescent="0.2">
      <c r="A166" s="18">
        <v>43193</v>
      </c>
      <c r="B166" s="34">
        <v>79</v>
      </c>
      <c r="C166" s="34"/>
      <c r="D166" s="34"/>
      <c r="E166" s="34"/>
      <c r="F166" s="34">
        <v>74</v>
      </c>
      <c r="G166" s="34">
        <v>90</v>
      </c>
    </row>
    <row r="167" spans="1:7" hidden="1" x14ac:dyDescent="0.2">
      <c r="A167" s="18">
        <v>43298</v>
      </c>
      <c r="B167" s="34">
        <v>25</v>
      </c>
      <c r="C167" s="34"/>
      <c r="D167" s="34"/>
      <c r="E167" s="34"/>
      <c r="F167" s="34">
        <v>25</v>
      </c>
      <c r="G167" s="34">
        <v>25</v>
      </c>
    </row>
    <row r="168" spans="1:7" hidden="1" x14ac:dyDescent="0.2">
      <c r="A168" s="18">
        <v>43403</v>
      </c>
      <c r="B168" s="34">
        <v>26</v>
      </c>
      <c r="C168" s="34"/>
      <c r="D168" s="34"/>
      <c r="E168" s="34"/>
      <c r="F168" s="34">
        <v>25</v>
      </c>
      <c r="G168" s="34">
        <v>25</v>
      </c>
    </row>
    <row r="169" spans="1:7" hidden="1" x14ac:dyDescent="0.2">
      <c r="A169" s="18">
        <v>43487</v>
      </c>
      <c r="B169" s="34">
        <v>25</v>
      </c>
      <c r="C169" s="34"/>
      <c r="D169" s="34"/>
      <c r="E169" s="34"/>
      <c r="F169" s="34">
        <v>25</v>
      </c>
      <c r="G169" s="34"/>
    </row>
    <row r="170" spans="1:7" hidden="1" x14ac:dyDescent="0.2">
      <c r="A170" s="18">
        <v>43578</v>
      </c>
      <c r="B170" s="34">
        <v>64</v>
      </c>
      <c r="C170" s="34"/>
      <c r="D170" s="34"/>
      <c r="E170" s="34"/>
      <c r="F170" s="34">
        <v>64</v>
      </c>
      <c r="G170" s="34">
        <v>64</v>
      </c>
    </row>
    <row r="171" spans="1:7" hidden="1" x14ac:dyDescent="0.2">
      <c r="A171" s="18">
        <v>43704</v>
      </c>
      <c r="B171" s="34">
        <v>25</v>
      </c>
      <c r="C171" s="34"/>
      <c r="D171" s="34"/>
      <c r="E171" s="34"/>
      <c r="F171" s="34">
        <v>25</v>
      </c>
      <c r="G171" s="34">
        <v>25</v>
      </c>
    </row>
    <row r="172" spans="1:7" hidden="1" x14ac:dyDescent="0.2">
      <c r="A172" s="18">
        <v>43760</v>
      </c>
      <c r="B172" s="34">
        <v>59</v>
      </c>
      <c r="C172" s="34"/>
      <c r="D172" s="34"/>
      <c r="E172" s="34"/>
      <c r="F172" s="34">
        <v>58</v>
      </c>
      <c r="G172" s="34">
        <v>62</v>
      </c>
    </row>
    <row r="173" spans="1:7" hidden="1" x14ac:dyDescent="0.2">
      <c r="A173" s="18">
        <v>44021</v>
      </c>
      <c r="B173" s="34">
        <v>25</v>
      </c>
      <c r="C173" s="34"/>
      <c r="D173" s="34"/>
      <c r="E173" s="34"/>
      <c r="F173" s="34">
        <v>28</v>
      </c>
      <c r="G173" s="34">
        <v>23</v>
      </c>
    </row>
    <row r="174" spans="1:7" hidden="1" x14ac:dyDescent="0.2"/>
    <row r="175" spans="1:7" hidden="1" x14ac:dyDescent="0.2"/>
    <row r="176" spans="1:7" hidden="1" x14ac:dyDescent="0.2">
      <c r="A176" s="34"/>
      <c r="B176" s="36" t="s">
        <v>39</v>
      </c>
      <c r="C176" s="191"/>
      <c r="D176" s="191"/>
      <c r="E176" s="191"/>
    </row>
    <row r="177" spans="1:7" hidden="1" x14ac:dyDescent="0.2">
      <c r="A177" s="34"/>
      <c r="B177" s="29" t="s">
        <v>22</v>
      </c>
      <c r="C177" s="192"/>
      <c r="D177" s="192"/>
      <c r="E177" s="192"/>
    </row>
    <row r="178" spans="1:7" hidden="1" x14ac:dyDescent="0.2">
      <c r="A178" s="12" t="s">
        <v>7</v>
      </c>
      <c r="B178" s="78" t="s">
        <v>9</v>
      </c>
      <c r="C178" s="78"/>
      <c r="D178" s="78"/>
      <c r="E178" s="78"/>
      <c r="F178" s="76" t="s">
        <v>11</v>
      </c>
      <c r="G178" s="75" t="s">
        <v>12</v>
      </c>
    </row>
    <row r="179" spans="1:7" hidden="1" x14ac:dyDescent="0.2">
      <c r="A179" s="18">
        <v>37046</v>
      </c>
      <c r="B179" s="34">
        <v>7.0000000000000007E-2</v>
      </c>
      <c r="C179" s="34"/>
      <c r="D179" s="34"/>
      <c r="E179" s="34"/>
      <c r="F179" s="34">
        <v>0.21</v>
      </c>
      <c r="G179" s="34">
        <v>0.05</v>
      </c>
    </row>
    <row r="180" spans="1:7" hidden="1" x14ac:dyDescent="0.2">
      <c r="A180" s="18">
        <v>37076</v>
      </c>
      <c r="B180" s="34">
        <v>0.03</v>
      </c>
      <c r="C180" s="34"/>
      <c r="D180" s="34"/>
      <c r="E180" s="34"/>
      <c r="F180" s="34">
        <v>0.03</v>
      </c>
      <c r="G180" s="34">
        <v>0.02</v>
      </c>
    </row>
    <row r="181" spans="1:7" hidden="1" x14ac:dyDescent="0.2">
      <c r="A181" s="18">
        <v>37335</v>
      </c>
      <c r="B181" s="34">
        <v>0.02</v>
      </c>
      <c r="C181" s="34"/>
      <c r="D181" s="34"/>
      <c r="E181" s="34"/>
      <c r="F181" s="34">
        <v>0.05</v>
      </c>
      <c r="G181" s="34">
        <v>0.09</v>
      </c>
    </row>
    <row r="182" spans="1:7" hidden="1" x14ac:dyDescent="0.2">
      <c r="A182" s="18">
        <v>37566</v>
      </c>
      <c r="B182" s="34">
        <v>0.64</v>
      </c>
      <c r="C182" s="34"/>
      <c r="D182" s="34"/>
      <c r="E182" s="34"/>
      <c r="F182" s="34">
        <v>0.91</v>
      </c>
      <c r="G182" s="34">
        <v>1.17</v>
      </c>
    </row>
    <row r="183" spans="1:7" hidden="1" x14ac:dyDescent="0.2">
      <c r="A183" s="18">
        <v>37594</v>
      </c>
      <c r="B183" s="34">
        <v>0.03</v>
      </c>
      <c r="C183" s="34"/>
      <c r="D183" s="34"/>
      <c r="E183" s="34"/>
      <c r="F183" s="34">
        <v>0.04</v>
      </c>
      <c r="G183" s="34">
        <v>0.03</v>
      </c>
    </row>
    <row r="184" spans="1:7" hidden="1" x14ac:dyDescent="0.2">
      <c r="A184" s="18">
        <v>37711</v>
      </c>
      <c r="B184" s="34">
        <v>0.09</v>
      </c>
      <c r="C184" s="34"/>
      <c r="D184" s="34"/>
      <c r="E184" s="34"/>
      <c r="F184" s="34"/>
      <c r="G184" s="34"/>
    </row>
    <row r="185" spans="1:7" hidden="1" x14ac:dyDescent="0.2">
      <c r="A185" s="18">
        <v>37739</v>
      </c>
      <c r="B185" s="34"/>
      <c r="C185" s="34"/>
      <c r="D185" s="34"/>
      <c r="E185" s="34"/>
      <c r="F185" s="34"/>
      <c r="G185" s="34"/>
    </row>
    <row r="186" spans="1:7" hidden="1" x14ac:dyDescent="0.2">
      <c r="A186" s="18">
        <v>37825</v>
      </c>
      <c r="B186" s="34">
        <v>0.05</v>
      </c>
      <c r="C186" s="34"/>
      <c r="D186" s="34"/>
      <c r="E186" s="34"/>
      <c r="F186" s="34"/>
      <c r="G186" s="34"/>
    </row>
    <row r="187" spans="1:7" hidden="1" x14ac:dyDescent="0.2">
      <c r="A187" s="18">
        <v>37888</v>
      </c>
      <c r="B187" s="34">
        <v>7.0000000000000007E-2</v>
      </c>
      <c r="C187" s="34"/>
      <c r="D187" s="34"/>
      <c r="E187" s="34"/>
      <c r="F187" s="34">
        <v>0.05</v>
      </c>
      <c r="G187" s="34">
        <v>0.04</v>
      </c>
    </row>
    <row r="188" spans="1:7" hidden="1" x14ac:dyDescent="0.2">
      <c r="A188" s="18">
        <v>37963</v>
      </c>
      <c r="B188" s="34">
        <v>0.04</v>
      </c>
      <c r="C188" s="34"/>
      <c r="D188" s="34"/>
      <c r="E188" s="34"/>
      <c r="F188" s="34">
        <v>0.05</v>
      </c>
      <c r="G188" s="34">
        <v>0.05</v>
      </c>
    </row>
    <row r="189" spans="1:7" hidden="1" x14ac:dyDescent="0.2">
      <c r="A189" s="18">
        <v>38012</v>
      </c>
      <c r="B189" s="34">
        <v>7.0000000000000007E-2</v>
      </c>
      <c r="C189" s="34"/>
      <c r="D189" s="34"/>
      <c r="E189" s="34"/>
      <c r="F189" s="34">
        <v>0.05</v>
      </c>
      <c r="G189" s="34">
        <v>0.04</v>
      </c>
    </row>
    <row r="190" spans="1:7" hidden="1" x14ac:dyDescent="0.2">
      <c r="A190" s="18">
        <v>38033</v>
      </c>
      <c r="B190" s="34">
        <v>0.05</v>
      </c>
      <c r="C190" s="34"/>
      <c r="D190" s="34"/>
      <c r="E190" s="34"/>
      <c r="F190" s="34">
        <v>0.06</v>
      </c>
      <c r="G190" s="34">
        <v>0.02</v>
      </c>
    </row>
    <row r="191" spans="1:7" hidden="1" x14ac:dyDescent="0.2">
      <c r="A191" s="18">
        <v>38271</v>
      </c>
      <c r="B191" s="34"/>
      <c r="C191" s="34"/>
      <c r="D191" s="34"/>
      <c r="E191" s="34"/>
      <c r="F191" s="34"/>
      <c r="G191" s="34"/>
    </row>
    <row r="192" spans="1:7" hidden="1" x14ac:dyDescent="0.2">
      <c r="A192" s="18">
        <v>38474</v>
      </c>
      <c r="B192" s="34">
        <v>0.22</v>
      </c>
      <c r="C192" s="34"/>
      <c r="D192" s="34"/>
      <c r="E192" s="34"/>
      <c r="F192" s="34">
        <v>0.25</v>
      </c>
      <c r="G192" s="34">
        <v>0.27</v>
      </c>
    </row>
    <row r="193" spans="1:7" hidden="1" x14ac:dyDescent="0.2">
      <c r="A193" s="18">
        <v>38896</v>
      </c>
      <c r="B193" s="34">
        <v>0.03</v>
      </c>
      <c r="C193" s="34"/>
      <c r="D193" s="34"/>
      <c r="E193" s="34"/>
      <c r="F193" s="34">
        <v>0.03</v>
      </c>
      <c r="G193" s="34">
        <v>0.03</v>
      </c>
    </row>
    <row r="194" spans="1:7" hidden="1" x14ac:dyDescent="0.2">
      <c r="A194" s="18">
        <v>40625</v>
      </c>
      <c r="B194" s="34">
        <v>0.13</v>
      </c>
      <c r="C194" s="34"/>
      <c r="D194" s="34"/>
      <c r="E194" s="34"/>
      <c r="F194" s="34">
        <v>0.12</v>
      </c>
      <c r="G194" s="34">
        <v>0.19</v>
      </c>
    </row>
    <row r="195" spans="1:7" hidden="1" x14ac:dyDescent="0.2">
      <c r="A195" s="18">
        <v>40716</v>
      </c>
      <c r="B195" s="34"/>
      <c r="C195" s="34"/>
      <c r="D195" s="34"/>
      <c r="E195" s="34"/>
      <c r="F195" s="34"/>
      <c r="G195" s="34"/>
    </row>
    <row r="196" spans="1:7" hidden="1" x14ac:dyDescent="0.2">
      <c r="A196" s="18">
        <v>40821</v>
      </c>
      <c r="B196" s="34">
        <v>0.3</v>
      </c>
      <c r="C196" s="34"/>
      <c r="D196" s="34"/>
      <c r="E196" s="34"/>
      <c r="F196" s="34">
        <v>0.14000000000000001</v>
      </c>
      <c r="G196" s="34">
        <v>0.27</v>
      </c>
    </row>
    <row r="197" spans="1:7" hidden="1" x14ac:dyDescent="0.2">
      <c r="A197" s="18">
        <v>40897</v>
      </c>
      <c r="B197" s="34"/>
      <c r="C197" s="34"/>
      <c r="D197" s="34"/>
      <c r="E197" s="34"/>
      <c r="F197" s="34"/>
      <c r="G197" s="34"/>
    </row>
    <row r="198" spans="1:7" hidden="1" x14ac:dyDescent="0.2">
      <c r="A198" s="18">
        <v>41008</v>
      </c>
      <c r="B198" s="34">
        <v>0.03</v>
      </c>
      <c r="C198" s="34"/>
      <c r="D198" s="34"/>
      <c r="E198" s="34"/>
      <c r="F198" s="34">
        <v>0.69</v>
      </c>
      <c r="G198" s="34">
        <v>0.12</v>
      </c>
    </row>
    <row r="199" spans="1:7" hidden="1" x14ac:dyDescent="0.2">
      <c r="A199" s="18">
        <v>41086</v>
      </c>
      <c r="B199" s="34"/>
      <c r="C199" s="34"/>
      <c r="D199" s="34"/>
      <c r="E199" s="34"/>
      <c r="F199" s="34"/>
      <c r="G199" s="34"/>
    </row>
    <row r="200" spans="1:7" hidden="1" x14ac:dyDescent="0.2">
      <c r="A200" s="18">
        <v>41179</v>
      </c>
      <c r="B200" s="34">
        <v>0.03</v>
      </c>
      <c r="C200" s="34"/>
      <c r="D200" s="34"/>
      <c r="E200" s="34"/>
      <c r="F200" s="34">
        <v>0.05</v>
      </c>
      <c r="G200" s="34">
        <v>0.03</v>
      </c>
    </row>
    <row r="201" spans="1:7" hidden="1" x14ac:dyDescent="0.2">
      <c r="A201" s="18">
        <v>41247</v>
      </c>
      <c r="B201" s="34"/>
      <c r="C201" s="34"/>
      <c r="D201" s="34"/>
      <c r="E201" s="34"/>
      <c r="F201" s="34"/>
      <c r="G201" s="34"/>
    </row>
    <row r="202" spans="1:7" hidden="1" x14ac:dyDescent="0.2">
      <c r="A202" s="18">
        <v>41352</v>
      </c>
      <c r="B202" s="34">
        <v>0.38</v>
      </c>
      <c r="C202" s="34"/>
      <c r="D202" s="34"/>
      <c r="E202" s="34"/>
      <c r="F202" s="34">
        <v>0.42</v>
      </c>
      <c r="G202" s="34">
        <v>0.41</v>
      </c>
    </row>
    <row r="203" spans="1:7" hidden="1" x14ac:dyDescent="0.2">
      <c r="A203" s="18">
        <v>41445</v>
      </c>
      <c r="B203" s="34"/>
      <c r="C203" s="34"/>
      <c r="D203" s="34"/>
      <c r="E203" s="34"/>
      <c r="F203" s="34"/>
      <c r="G203" s="34"/>
    </row>
    <row r="204" spans="1:7" hidden="1" x14ac:dyDescent="0.2">
      <c r="A204" s="18">
        <v>41528</v>
      </c>
      <c r="B204" s="34">
        <v>0.03</v>
      </c>
      <c r="C204" s="34"/>
      <c r="D204" s="34"/>
      <c r="E204" s="34"/>
      <c r="F204" s="34">
        <v>0.03</v>
      </c>
      <c r="G204" s="34">
        <v>0.03</v>
      </c>
    </row>
    <row r="205" spans="1:7" hidden="1" x14ac:dyDescent="0.2">
      <c r="A205" s="18">
        <v>41670</v>
      </c>
      <c r="B205" s="34"/>
      <c r="C205" s="34"/>
      <c r="D205" s="34"/>
      <c r="E205" s="34"/>
      <c r="F205" s="34"/>
      <c r="G205" s="34"/>
    </row>
    <row r="206" spans="1:7" hidden="1" x14ac:dyDescent="0.2">
      <c r="A206" s="18">
        <v>41758</v>
      </c>
      <c r="B206" s="34">
        <v>0.1</v>
      </c>
      <c r="C206" s="34"/>
      <c r="D206" s="34"/>
      <c r="E206" s="34"/>
      <c r="F206" s="34">
        <v>0.1</v>
      </c>
      <c r="G206" s="34">
        <v>0.18</v>
      </c>
    </row>
    <row r="207" spans="1:7" hidden="1" x14ac:dyDescent="0.2">
      <c r="A207" s="18">
        <v>41835</v>
      </c>
      <c r="B207" s="34"/>
      <c r="C207" s="34"/>
      <c r="D207" s="34"/>
      <c r="E207" s="34"/>
      <c r="F207" s="34"/>
      <c r="G207" s="34"/>
    </row>
    <row r="208" spans="1:7" hidden="1" x14ac:dyDescent="0.2">
      <c r="A208" s="18">
        <v>42031</v>
      </c>
      <c r="B208" s="34"/>
      <c r="C208" s="34"/>
      <c r="D208" s="34"/>
      <c r="E208" s="34"/>
      <c r="F208" s="34"/>
      <c r="G208" s="34"/>
    </row>
    <row r="209" spans="1:7" hidden="1" x14ac:dyDescent="0.2">
      <c r="A209" s="18">
        <v>42094</v>
      </c>
      <c r="B209" s="34">
        <v>0.13</v>
      </c>
      <c r="C209" s="34"/>
      <c r="D209" s="34"/>
      <c r="E209" s="34"/>
      <c r="F209" s="34">
        <v>0.23</v>
      </c>
      <c r="G209" s="34">
        <v>0.28999999999999998</v>
      </c>
    </row>
    <row r="210" spans="1:7" hidden="1" x14ac:dyDescent="0.2">
      <c r="A210" s="18">
        <v>42192</v>
      </c>
      <c r="B210" s="34"/>
      <c r="C210" s="34"/>
      <c r="D210" s="34"/>
      <c r="E210" s="34"/>
      <c r="F210" s="34"/>
      <c r="G210" s="34"/>
    </row>
    <row r="211" spans="1:7" hidden="1" x14ac:dyDescent="0.2">
      <c r="A211" s="18">
        <v>42290</v>
      </c>
      <c r="B211" s="34">
        <v>0.1</v>
      </c>
      <c r="C211" s="34"/>
      <c r="D211" s="34"/>
      <c r="E211" s="34"/>
      <c r="F211" s="34">
        <v>0.1</v>
      </c>
      <c r="G211" s="34">
        <v>0.1</v>
      </c>
    </row>
    <row r="212" spans="1:7" hidden="1" x14ac:dyDescent="0.2">
      <c r="A212" s="18">
        <v>42381</v>
      </c>
      <c r="B212" s="34"/>
      <c r="C212" s="34"/>
      <c r="D212" s="34"/>
      <c r="E212" s="34"/>
      <c r="F212" s="34"/>
      <c r="G212" s="34"/>
    </row>
    <row r="213" spans="1:7" hidden="1" x14ac:dyDescent="0.2">
      <c r="A213" s="18">
        <v>42479</v>
      </c>
      <c r="B213" s="34">
        <v>0.1</v>
      </c>
      <c r="C213" s="34"/>
      <c r="D213" s="34"/>
      <c r="E213" s="34"/>
      <c r="F213" s="34">
        <v>0.1</v>
      </c>
      <c r="G213" s="34">
        <v>0.11</v>
      </c>
    </row>
    <row r="214" spans="1:7" hidden="1" x14ac:dyDescent="0.2">
      <c r="A214" s="18">
        <v>42570</v>
      </c>
      <c r="B214" s="34"/>
      <c r="C214" s="34"/>
      <c r="D214" s="34"/>
      <c r="E214" s="34"/>
      <c r="F214" s="34"/>
      <c r="G214" s="34"/>
    </row>
    <row r="215" spans="1:7" hidden="1" x14ac:dyDescent="0.2">
      <c r="A215" s="18">
        <v>42654</v>
      </c>
      <c r="B215" s="34">
        <v>0.1</v>
      </c>
      <c r="C215" s="34"/>
      <c r="D215" s="34"/>
      <c r="E215" s="34"/>
      <c r="F215" s="34">
        <v>0.17</v>
      </c>
      <c r="G215" s="34">
        <v>0.1</v>
      </c>
    </row>
    <row r="216" spans="1:7" hidden="1" x14ac:dyDescent="0.2">
      <c r="A216" s="18">
        <v>42745</v>
      </c>
      <c r="B216" s="34"/>
      <c r="C216" s="34"/>
      <c r="D216" s="34"/>
      <c r="E216" s="34"/>
      <c r="F216" s="34"/>
      <c r="G216" s="34"/>
    </row>
    <row r="217" spans="1:7" hidden="1" x14ac:dyDescent="0.2">
      <c r="A217" s="18">
        <v>42843</v>
      </c>
      <c r="B217" s="34">
        <v>0.28999999999999998</v>
      </c>
      <c r="C217" s="34"/>
      <c r="D217" s="34"/>
      <c r="E217" s="34"/>
      <c r="F217" s="34">
        <v>0.1</v>
      </c>
      <c r="G217" s="34">
        <v>0.1</v>
      </c>
    </row>
    <row r="218" spans="1:7" hidden="1" x14ac:dyDescent="0.2">
      <c r="A218" s="18">
        <v>42934</v>
      </c>
      <c r="B218" s="34"/>
      <c r="C218" s="34"/>
      <c r="D218" s="34"/>
      <c r="E218" s="34"/>
      <c r="F218" s="34"/>
      <c r="G218" s="34"/>
    </row>
    <row r="219" spans="1:7" hidden="1" x14ac:dyDescent="0.2">
      <c r="A219" s="18">
        <v>43025</v>
      </c>
      <c r="B219" s="34">
        <v>0.1</v>
      </c>
      <c r="C219" s="34"/>
      <c r="D219" s="34"/>
      <c r="E219" s="34"/>
      <c r="F219" s="34">
        <v>0.1</v>
      </c>
      <c r="G219" s="34">
        <v>0.1</v>
      </c>
    </row>
    <row r="220" spans="1:7" hidden="1" x14ac:dyDescent="0.2">
      <c r="A220" s="18">
        <v>43109</v>
      </c>
      <c r="B220" s="34">
        <v>0.1</v>
      </c>
      <c r="C220" s="34"/>
      <c r="D220" s="34"/>
      <c r="E220" s="34"/>
      <c r="F220" s="34">
        <v>0.1</v>
      </c>
      <c r="G220" s="34">
        <v>0.1</v>
      </c>
    </row>
    <row r="221" spans="1:7" hidden="1" x14ac:dyDescent="0.2">
      <c r="A221" s="18">
        <v>43193</v>
      </c>
      <c r="B221" s="34">
        <v>0.3</v>
      </c>
      <c r="C221" s="34"/>
      <c r="D221" s="34"/>
      <c r="E221" s="34"/>
      <c r="F221" s="34">
        <v>0.35</v>
      </c>
      <c r="G221" s="34">
        <v>0.39</v>
      </c>
    </row>
    <row r="222" spans="1:7" hidden="1" x14ac:dyDescent="0.2">
      <c r="A222" s="18">
        <v>43298</v>
      </c>
      <c r="B222" s="34"/>
      <c r="C222" s="34"/>
      <c r="D222" s="34"/>
      <c r="E222" s="34"/>
      <c r="F222" s="34"/>
      <c r="G222" s="34"/>
    </row>
    <row r="223" spans="1:7" hidden="1" x14ac:dyDescent="0.2">
      <c r="A223" s="18">
        <v>43403</v>
      </c>
      <c r="B223" s="34">
        <v>0.1</v>
      </c>
      <c r="C223" s="34"/>
      <c r="D223" s="34"/>
      <c r="E223" s="34"/>
      <c r="F223" s="34">
        <v>0.1</v>
      </c>
      <c r="G223" s="34">
        <v>0.11</v>
      </c>
    </row>
    <row r="224" spans="1:7" hidden="1" x14ac:dyDescent="0.2">
      <c r="A224" s="18">
        <v>43487</v>
      </c>
      <c r="B224" s="34"/>
      <c r="C224" s="34"/>
      <c r="D224" s="34"/>
      <c r="E224" s="34"/>
      <c r="F224" s="34"/>
      <c r="G224" s="34"/>
    </row>
    <row r="225" spans="1:7" hidden="1" x14ac:dyDescent="0.2">
      <c r="A225" s="18">
        <v>43578</v>
      </c>
      <c r="B225" s="34">
        <v>0.31</v>
      </c>
      <c r="C225" s="34"/>
      <c r="D225" s="34"/>
      <c r="E225" s="34"/>
      <c r="F225" s="34">
        <v>0.27</v>
      </c>
      <c r="G225" s="34">
        <v>0.3</v>
      </c>
    </row>
    <row r="226" spans="1:7" hidden="1" x14ac:dyDescent="0.2">
      <c r="A226" s="18">
        <v>43704</v>
      </c>
      <c r="B226" s="34"/>
      <c r="C226" s="34"/>
      <c r="D226" s="34"/>
      <c r="E226" s="34"/>
      <c r="F226" s="34"/>
      <c r="G226" s="34"/>
    </row>
    <row r="227" spans="1:7" hidden="1" x14ac:dyDescent="0.2">
      <c r="A227" s="18">
        <v>43760</v>
      </c>
      <c r="B227" s="34">
        <v>0.1</v>
      </c>
      <c r="C227" s="34"/>
      <c r="D227" s="34"/>
      <c r="E227" s="34"/>
      <c r="F227" s="34">
        <v>0.1</v>
      </c>
      <c r="G227" s="34">
        <v>0.1</v>
      </c>
    </row>
    <row r="228" spans="1:7" hidden="1" x14ac:dyDescent="0.2">
      <c r="A228" s="18">
        <v>44021</v>
      </c>
      <c r="B228" s="34">
        <v>0.1</v>
      </c>
      <c r="C228" s="34"/>
      <c r="D228" s="34"/>
      <c r="E228" s="34"/>
      <c r="F228" s="34">
        <v>0.1</v>
      </c>
      <c r="G228" s="34">
        <v>0.1</v>
      </c>
    </row>
    <row r="229" spans="1:7" hidden="1" x14ac:dyDescent="0.2"/>
    <row r="230" spans="1:7" hidden="1" x14ac:dyDescent="0.2"/>
    <row r="231" spans="1:7" hidden="1" x14ac:dyDescent="0.2">
      <c r="A231" s="34"/>
      <c r="B231" s="36" t="s">
        <v>42</v>
      </c>
      <c r="C231" s="191"/>
      <c r="D231" s="191"/>
      <c r="E231" s="191"/>
    </row>
    <row r="232" spans="1:7" hidden="1" x14ac:dyDescent="0.2">
      <c r="A232" s="34"/>
      <c r="B232" s="29" t="s">
        <v>43</v>
      </c>
      <c r="C232" s="192"/>
      <c r="D232" s="192"/>
      <c r="E232" s="192"/>
    </row>
    <row r="233" spans="1:7" hidden="1" x14ac:dyDescent="0.2">
      <c r="A233" s="12" t="s">
        <v>7</v>
      </c>
      <c r="B233" s="78" t="s">
        <v>9</v>
      </c>
      <c r="C233" s="78"/>
      <c r="D233" s="78"/>
      <c r="E233" s="78"/>
      <c r="F233" s="76" t="s">
        <v>11</v>
      </c>
      <c r="G233" s="75" t="s">
        <v>12</v>
      </c>
    </row>
    <row r="234" spans="1:7" hidden="1" x14ac:dyDescent="0.2">
      <c r="A234" s="18">
        <v>37046</v>
      </c>
      <c r="B234" s="34"/>
      <c r="C234" s="34"/>
      <c r="D234" s="34"/>
      <c r="E234" s="34"/>
      <c r="F234" s="34"/>
      <c r="G234" s="34"/>
    </row>
    <row r="235" spans="1:7" hidden="1" x14ac:dyDescent="0.2">
      <c r="A235" s="18">
        <v>37076</v>
      </c>
      <c r="B235" s="34"/>
      <c r="C235" s="34"/>
      <c r="D235" s="34"/>
      <c r="E235" s="34"/>
      <c r="F235" s="34"/>
      <c r="G235" s="34"/>
    </row>
    <row r="236" spans="1:7" hidden="1" x14ac:dyDescent="0.2">
      <c r="A236" s="18">
        <v>37335</v>
      </c>
      <c r="B236" s="34"/>
      <c r="C236" s="34"/>
      <c r="D236" s="34"/>
      <c r="E236" s="34"/>
      <c r="F236" s="34"/>
      <c r="G236" s="34"/>
    </row>
    <row r="237" spans="1:7" hidden="1" x14ac:dyDescent="0.2">
      <c r="A237" s="18">
        <v>37566</v>
      </c>
      <c r="B237" s="34"/>
      <c r="C237" s="34"/>
      <c r="D237" s="34"/>
      <c r="E237" s="34"/>
      <c r="F237" s="34"/>
      <c r="G237" s="34"/>
    </row>
    <row r="238" spans="1:7" hidden="1" x14ac:dyDescent="0.2">
      <c r="A238" s="18">
        <v>37594</v>
      </c>
      <c r="B238" s="34"/>
      <c r="C238" s="34"/>
      <c r="D238" s="34"/>
      <c r="E238" s="34"/>
      <c r="F238" s="34"/>
      <c r="G238" s="34"/>
    </row>
    <row r="239" spans="1:7" hidden="1" x14ac:dyDescent="0.2">
      <c r="A239" s="18">
        <v>37711</v>
      </c>
      <c r="B239" s="34"/>
      <c r="C239" s="34"/>
      <c r="D239" s="34"/>
      <c r="E239" s="34"/>
      <c r="F239" s="34"/>
      <c r="G239" s="34"/>
    </row>
    <row r="240" spans="1:7" hidden="1" x14ac:dyDescent="0.2">
      <c r="A240" s="18">
        <v>37739</v>
      </c>
      <c r="B240" s="34"/>
      <c r="C240" s="34"/>
      <c r="D240" s="34"/>
      <c r="E240" s="34"/>
      <c r="F240" s="34"/>
      <c r="G240" s="34"/>
    </row>
    <row r="241" spans="1:7" hidden="1" x14ac:dyDescent="0.2">
      <c r="A241" s="18">
        <v>37825</v>
      </c>
      <c r="B241" s="34"/>
      <c r="C241" s="34"/>
      <c r="D241" s="34"/>
      <c r="E241" s="34"/>
      <c r="F241" s="34"/>
      <c r="G241" s="34"/>
    </row>
    <row r="242" spans="1:7" hidden="1" x14ac:dyDescent="0.2">
      <c r="A242" s="18">
        <v>37888</v>
      </c>
      <c r="B242" s="34"/>
      <c r="C242" s="34"/>
      <c r="D242" s="34"/>
      <c r="E242" s="34"/>
      <c r="F242" s="34"/>
      <c r="G242" s="34"/>
    </row>
    <row r="243" spans="1:7" hidden="1" x14ac:dyDescent="0.2">
      <c r="A243" s="18">
        <v>37963</v>
      </c>
      <c r="B243" s="34"/>
      <c r="C243" s="34"/>
      <c r="D243" s="34"/>
      <c r="E243" s="34"/>
      <c r="F243" s="34"/>
      <c r="G243" s="34"/>
    </row>
    <row r="244" spans="1:7" hidden="1" x14ac:dyDescent="0.2">
      <c r="A244" s="18">
        <v>38012</v>
      </c>
      <c r="B244" s="34"/>
      <c r="C244" s="34"/>
      <c r="D244" s="34"/>
      <c r="E244" s="34"/>
      <c r="F244" s="34"/>
      <c r="G244" s="34"/>
    </row>
    <row r="245" spans="1:7" hidden="1" x14ac:dyDescent="0.2">
      <c r="A245" s="18">
        <v>38033</v>
      </c>
      <c r="B245" s="34"/>
      <c r="C245" s="34"/>
      <c r="D245" s="34"/>
      <c r="E245" s="34"/>
      <c r="F245" s="34"/>
      <c r="G245" s="34"/>
    </row>
    <row r="246" spans="1:7" hidden="1" x14ac:dyDescent="0.2">
      <c r="A246" s="18">
        <v>38271</v>
      </c>
      <c r="B246" s="34">
        <v>1.0999999999999999E-2</v>
      </c>
      <c r="C246" s="34"/>
      <c r="D246" s="34"/>
      <c r="E246" s="34"/>
      <c r="F246" s="34">
        <v>0.01</v>
      </c>
      <c r="G246" s="34">
        <v>0.01</v>
      </c>
    </row>
    <row r="247" spans="1:7" hidden="1" x14ac:dyDescent="0.2">
      <c r="A247" s="18">
        <v>38474</v>
      </c>
      <c r="B247" s="34"/>
      <c r="C247" s="34"/>
      <c r="D247" s="34"/>
      <c r="E247" s="34"/>
      <c r="F247" s="34"/>
      <c r="G247" s="34"/>
    </row>
    <row r="248" spans="1:7" hidden="1" x14ac:dyDescent="0.2">
      <c r="A248" s="18">
        <v>38896</v>
      </c>
      <c r="B248" s="34">
        <v>0.01</v>
      </c>
      <c r="C248" s="34"/>
      <c r="D248" s="34"/>
      <c r="E248" s="34"/>
      <c r="F248" s="34">
        <v>0.01</v>
      </c>
      <c r="G248" s="34">
        <v>0.01</v>
      </c>
    </row>
    <row r="249" spans="1:7" hidden="1" x14ac:dyDescent="0.2">
      <c r="A249" s="18">
        <v>40625</v>
      </c>
      <c r="B249" s="34">
        <v>0.08</v>
      </c>
      <c r="C249" s="34"/>
      <c r="D249" s="34"/>
      <c r="E249" s="34"/>
      <c r="F249" s="34">
        <v>0.04</v>
      </c>
      <c r="G249" s="34">
        <v>7.0000000000000007E-2</v>
      </c>
    </row>
    <row r="250" spans="1:7" hidden="1" x14ac:dyDescent="0.2">
      <c r="A250" s="18">
        <v>40716</v>
      </c>
      <c r="B250" s="34"/>
      <c r="C250" s="34"/>
      <c r="D250" s="34"/>
      <c r="E250" s="34"/>
      <c r="F250" s="34"/>
      <c r="G250" s="34"/>
    </row>
    <row r="251" spans="1:7" hidden="1" x14ac:dyDescent="0.2">
      <c r="A251" s="18">
        <v>40821</v>
      </c>
      <c r="B251" s="34">
        <v>0.11</v>
      </c>
      <c r="C251" s="34"/>
      <c r="D251" s="34"/>
      <c r="E251" s="34"/>
      <c r="F251" s="34">
        <v>0.09</v>
      </c>
      <c r="G251" s="34">
        <v>0.09</v>
      </c>
    </row>
    <row r="252" spans="1:7" hidden="1" x14ac:dyDescent="0.2">
      <c r="A252" s="18">
        <v>40897</v>
      </c>
      <c r="B252" s="34"/>
      <c r="C252" s="34"/>
      <c r="D252" s="34"/>
      <c r="E252" s="34"/>
      <c r="F252" s="34"/>
      <c r="G252" s="34"/>
    </row>
    <row r="253" spans="1:7" hidden="1" x14ac:dyDescent="0.2">
      <c r="A253" s="18">
        <v>41008</v>
      </c>
      <c r="B253" s="34">
        <v>0.02</v>
      </c>
      <c r="C253" s="34"/>
      <c r="D253" s="34"/>
      <c r="E253" s="34"/>
      <c r="F253" s="34">
        <v>0.1</v>
      </c>
      <c r="G253" s="34">
        <v>0.01</v>
      </c>
    </row>
    <row r="254" spans="1:7" hidden="1" x14ac:dyDescent="0.2">
      <c r="A254" s="18">
        <v>41086</v>
      </c>
      <c r="B254" s="34"/>
      <c r="C254" s="34"/>
      <c r="D254" s="34"/>
      <c r="E254" s="34"/>
      <c r="F254" s="34"/>
      <c r="G254" s="34"/>
    </row>
    <row r="255" spans="1:7" hidden="1" x14ac:dyDescent="0.2">
      <c r="A255" s="18">
        <v>41179</v>
      </c>
      <c r="B255" s="34">
        <v>0.04</v>
      </c>
      <c r="C255" s="34"/>
      <c r="D255" s="34"/>
      <c r="E255" s="34"/>
      <c r="F255" s="34">
        <v>0.04</v>
      </c>
      <c r="G255" s="34">
        <v>0.04</v>
      </c>
    </row>
    <row r="256" spans="1:7" hidden="1" x14ac:dyDescent="0.2">
      <c r="A256" s="18">
        <v>41247</v>
      </c>
      <c r="B256" s="34"/>
      <c r="C256" s="34"/>
      <c r="D256" s="34"/>
      <c r="E256" s="34"/>
      <c r="F256" s="34"/>
      <c r="G256" s="34"/>
    </row>
    <row r="257" spans="1:7" hidden="1" x14ac:dyDescent="0.2">
      <c r="A257" s="18">
        <v>41352</v>
      </c>
      <c r="B257" s="34">
        <v>0.89</v>
      </c>
      <c r="C257" s="34"/>
      <c r="D257" s="34"/>
      <c r="E257" s="34"/>
      <c r="F257" s="34">
        <v>0.14000000000000001</v>
      </c>
      <c r="G257" s="34">
        <v>0.08</v>
      </c>
    </row>
    <row r="258" spans="1:7" hidden="1" x14ac:dyDescent="0.2">
      <c r="A258" s="18">
        <v>41445</v>
      </c>
      <c r="B258" s="34"/>
      <c r="C258" s="34"/>
      <c r="D258" s="34"/>
      <c r="E258" s="34"/>
      <c r="F258" s="34"/>
      <c r="G258" s="34"/>
    </row>
    <row r="259" spans="1:7" hidden="1" x14ac:dyDescent="0.2">
      <c r="A259" s="18">
        <v>41528</v>
      </c>
      <c r="B259" s="34">
        <v>0.01</v>
      </c>
      <c r="C259" s="34"/>
      <c r="D259" s="34"/>
      <c r="E259" s="34"/>
      <c r="F259" s="34">
        <v>0.01</v>
      </c>
      <c r="G259" s="34">
        <v>0.01</v>
      </c>
    </row>
    <row r="260" spans="1:7" hidden="1" x14ac:dyDescent="0.2">
      <c r="A260" s="18">
        <v>41670</v>
      </c>
      <c r="B260" s="34"/>
      <c r="C260" s="34"/>
      <c r="D260" s="34"/>
      <c r="E260" s="34"/>
      <c r="F260" s="34"/>
      <c r="G260" s="34"/>
    </row>
    <row r="261" spans="1:7" hidden="1" x14ac:dyDescent="0.2">
      <c r="A261" s="18">
        <v>41758</v>
      </c>
      <c r="B261" s="34">
        <v>0</v>
      </c>
      <c r="C261" s="34"/>
      <c r="D261" s="34"/>
      <c r="E261" s="34"/>
      <c r="F261" s="34">
        <v>0</v>
      </c>
      <c r="G261" s="34">
        <v>0</v>
      </c>
    </row>
    <row r="262" spans="1:7" hidden="1" x14ac:dyDescent="0.2">
      <c r="A262" s="18">
        <v>41835</v>
      </c>
      <c r="B262" s="34"/>
      <c r="C262" s="34"/>
      <c r="D262" s="34"/>
      <c r="E262" s="34"/>
      <c r="F262" s="34"/>
      <c r="G262" s="34"/>
    </row>
    <row r="263" spans="1:7" hidden="1" x14ac:dyDescent="0.2">
      <c r="A263" s="18">
        <v>42031</v>
      </c>
      <c r="B263" s="34"/>
      <c r="C263" s="34"/>
      <c r="D263" s="34"/>
      <c r="E263" s="34"/>
      <c r="F263" s="34"/>
      <c r="G263" s="34"/>
    </row>
    <row r="264" spans="1:7" hidden="1" x14ac:dyDescent="0.2">
      <c r="A264" s="18">
        <v>42094</v>
      </c>
      <c r="B264" s="34">
        <v>7.0000000000000007E-2</v>
      </c>
      <c r="C264" s="34"/>
      <c r="D264" s="34"/>
      <c r="E264" s="34"/>
      <c r="F264" s="34">
        <v>0.08</v>
      </c>
      <c r="G264" s="34">
        <v>0.09</v>
      </c>
    </row>
    <row r="265" spans="1:7" hidden="1" x14ac:dyDescent="0.2">
      <c r="A265" s="18">
        <v>42192</v>
      </c>
      <c r="B265" s="34"/>
      <c r="C265" s="34"/>
      <c r="D265" s="34"/>
      <c r="E265" s="34"/>
      <c r="F265" s="34"/>
      <c r="G265" s="34"/>
    </row>
    <row r="266" spans="1:7" hidden="1" x14ac:dyDescent="0.2">
      <c r="A266" s="18">
        <v>42290</v>
      </c>
      <c r="B266" s="34">
        <v>0.01</v>
      </c>
      <c r="C266" s="34"/>
      <c r="D266" s="34"/>
      <c r="E266" s="34"/>
      <c r="F266" s="34">
        <v>0.01</v>
      </c>
      <c r="G266" s="34">
        <v>0.01</v>
      </c>
    </row>
    <row r="267" spans="1:7" hidden="1" x14ac:dyDescent="0.2">
      <c r="A267" s="18">
        <v>42381</v>
      </c>
      <c r="B267" s="34"/>
      <c r="C267" s="34"/>
      <c r="D267" s="34"/>
      <c r="E267" s="34"/>
      <c r="F267" s="34"/>
      <c r="G267" s="34"/>
    </row>
    <row r="268" spans="1:7" hidden="1" x14ac:dyDescent="0.2">
      <c r="A268" s="18">
        <v>42479</v>
      </c>
      <c r="B268" s="34">
        <v>0.16</v>
      </c>
      <c r="C268" s="34"/>
      <c r="D268" s="34"/>
      <c r="E268" s="34"/>
      <c r="F268" s="34">
        <v>0.13</v>
      </c>
      <c r="G268" s="34">
        <v>0.12</v>
      </c>
    </row>
    <row r="269" spans="1:7" hidden="1" x14ac:dyDescent="0.2">
      <c r="A269" s="18">
        <v>42570</v>
      </c>
      <c r="B269" s="34"/>
      <c r="C269" s="34"/>
      <c r="D269" s="34"/>
      <c r="E269" s="34"/>
      <c r="F269" s="34"/>
      <c r="G269" s="34"/>
    </row>
    <row r="270" spans="1:7" hidden="1" x14ac:dyDescent="0.2">
      <c r="A270" s="18">
        <v>42654</v>
      </c>
      <c r="B270" s="34">
        <v>1.0900000000000001</v>
      </c>
      <c r="C270" s="34"/>
      <c r="D270" s="34"/>
      <c r="E270" s="34"/>
      <c r="F270" s="34">
        <v>0.02</v>
      </c>
      <c r="G270" s="34">
        <v>0.03</v>
      </c>
    </row>
    <row r="271" spans="1:7" hidden="1" x14ac:dyDescent="0.2">
      <c r="A271" s="18">
        <v>42745</v>
      </c>
      <c r="B271" s="34"/>
      <c r="C271" s="34"/>
      <c r="D271" s="34"/>
      <c r="E271" s="34"/>
      <c r="F271" s="34"/>
      <c r="G271" s="34"/>
    </row>
    <row r="272" spans="1:7" hidden="1" x14ac:dyDescent="0.2">
      <c r="A272" s="18">
        <v>42843</v>
      </c>
      <c r="B272" s="34">
        <v>0.72</v>
      </c>
      <c r="C272" s="34"/>
      <c r="D272" s="34"/>
      <c r="E272" s="34"/>
      <c r="F272" s="34">
        <v>0.16300000000000001</v>
      </c>
      <c r="G272" s="34">
        <v>0.16400000000000001</v>
      </c>
    </row>
    <row r="273" spans="1:7" hidden="1" x14ac:dyDescent="0.2">
      <c r="A273" s="18">
        <v>42934</v>
      </c>
      <c r="B273" s="34"/>
      <c r="C273" s="34"/>
      <c r="D273" s="34"/>
      <c r="E273" s="34"/>
      <c r="F273" s="34"/>
      <c r="G273" s="34"/>
    </row>
    <row r="274" spans="1:7" hidden="1" x14ac:dyDescent="0.2">
      <c r="A274" s="18">
        <v>43025</v>
      </c>
      <c r="B274" s="34">
        <v>0.03</v>
      </c>
      <c r="C274" s="34"/>
      <c r="D274" s="34"/>
      <c r="E274" s="34"/>
      <c r="F274" s="34">
        <v>0.04</v>
      </c>
      <c r="G274" s="34">
        <v>0.05</v>
      </c>
    </row>
    <row r="275" spans="1:7" hidden="1" x14ac:dyDescent="0.2">
      <c r="A275" s="18">
        <v>43109</v>
      </c>
      <c r="B275" s="34">
        <v>0.09</v>
      </c>
      <c r="C275" s="34"/>
      <c r="D275" s="34"/>
      <c r="E275" s="34"/>
      <c r="F275" s="34">
        <v>0.1</v>
      </c>
      <c r="G275" s="34">
        <v>0.15</v>
      </c>
    </row>
    <row r="276" spans="1:7" hidden="1" x14ac:dyDescent="0.2">
      <c r="A276" s="18">
        <v>43193</v>
      </c>
      <c r="B276" s="34">
        <v>0.254</v>
      </c>
      <c r="C276" s="34"/>
      <c r="D276" s="34"/>
      <c r="E276" s="34"/>
      <c r="F276" s="34">
        <v>7.0000000000000007E-2</v>
      </c>
      <c r="G276" s="34">
        <v>4.8000000000000001E-2</v>
      </c>
    </row>
    <row r="277" spans="1:7" hidden="1" x14ac:dyDescent="0.2">
      <c r="A277" s="18">
        <v>43298</v>
      </c>
      <c r="B277" s="34"/>
      <c r="C277" s="34"/>
      <c r="D277" s="34"/>
      <c r="E277" s="34"/>
      <c r="F277" s="34"/>
      <c r="G277" s="34"/>
    </row>
    <row r="278" spans="1:7" hidden="1" x14ac:dyDescent="0.2">
      <c r="A278" s="18">
        <v>43403</v>
      </c>
      <c r="B278" s="34">
        <v>0.71</v>
      </c>
      <c r="C278" s="34"/>
      <c r="D278" s="34"/>
      <c r="E278" s="34"/>
      <c r="F278" s="34">
        <v>0.12</v>
      </c>
      <c r="G278" s="34">
        <v>0.22</v>
      </c>
    </row>
    <row r="279" spans="1:7" hidden="1" x14ac:dyDescent="0.2">
      <c r="A279" s="18">
        <v>43487</v>
      </c>
      <c r="B279" s="34"/>
      <c r="C279" s="34"/>
      <c r="D279" s="34"/>
      <c r="E279" s="34"/>
      <c r="F279" s="34"/>
      <c r="G279" s="34"/>
    </row>
    <row r="280" spans="1:7" hidden="1" x14ac:dyDescent="0.2">
      <c r="A280" s="18">
        <v>43578</v>
      </c>
      <c r="B280" s="34">
        <v>0.112</v>
      </c>
      <c r="C280" s="34"/>
      <c r="D280" s="34"/>
      <c r="E280" s="34"/>
      <c r="F280" s="34">
        <v>6.4000000000000001E-2</v>
      </c>
      <c r="G280" s="34">
        <v>0.16400000000000001</v>
      </c>
    </row>
    <row r="281" spans="1:7" hidden="1" x14ac:dyDescent="0.2">
      <c r="A281" s="18">
        <v>43704</v>
      </c>
      <c r="B281" s="34"/>
      <c r="C281" s="34"/>
      <c r="D281" s="34"/>
      <c r="E281" s="34"/>
      <c r="F281" s="34"/>
      <c r="G281" s="34"/>
    </row>
    <row r="282" spans="1:7" hidden="1" x14ac:dyDescent="0.2">
      <c r="A282" s="18">
        <v>43760</v>
      </c>
      <c r="B282" s="34">
        <v>0.22</v>
      </c>
      <c r="C282" s="34"/>
      <c r="D282" s="34"/>
      <c r="E282" s="34"/>
      <c r="F282" s="34">
        <v>0.08</v>
      </c>
      <c r="G282" s="34">
        <v>0.13</v>
      </c>
    </row>
    <row r="283" spans="1:7" hidden="1" x14ac:dyDescent="0.2">
      <c r="A283" s="18">
        <v>44021</v>
      </c>
      <c r="B283" s="34">
        <v>0.152</v>
      </c>
      <c r="C283" s="34"/>
      <c r="D283" s="34"/>
      <c r="E283" s="34"/>
      <c r="F283" s="34">
        <v>0.01</v>
      </c>
      <c r="G283" s="34">
        <v>0.01</v>
      </c>
    </row>
    <row r="284" spans="1:7" hidden="1" x14ac:dyDescent="0.2"/>
    <row r="285" spans="1:7" hidden="1" x14ac:dyDescent="0.2"/>
    <row r="286" spans="1:7" hidden="1" x14ac:dyDescent="0.2">
      <c r="A286" s="34"/>
      <c r="B286" s="36" t="s">
        <v>45</v>
      </c>
      <c r="C286" s="191"/>
      <c r="D286" s="191"/>
      <c r="E286" s="191"/>
    </row>
    <row r="287" spans="1:7" hidden="1" x14ac:dyDescent="0.2">
      <c r="A287" s="34"/>
      <c r="B287" s="29" t="s">
        <v>43</v>
      </c>
      <c r="C287" s="192"/>
      <c r="D287" s="192"/>
      <c r="E287" s="192"/>
    </row>
    <row r="288" spans="1:7" hidden="1" x14ac:dyDescent="0.2">
      <c r="A288" s="12" t="s">
        <v>7</v>
      </c>
      <c r="B288" s="78" t="s">
        <v>9</v>
      </c>
      <c r="C288" s="78"/>
      <c r="D288" s="78"/>
      <c r="E288" s="78"/>
      <c r="F288" s="76" t="s">
        <v>11</v>
      </c>
      <c r="G288" s="75" t="s">
        <v>12</v>
      </c>
    </row>
    <row r="289" spans="1:7" hidden="1" x14ac:dyDescent="0.2">
      <c r="A289" s="18">
        <v>37046</v>
      </c>
      <c r="B289" s="34"/>
      <c r="C289" s="34"/>
      <c r="D289" s="34"/>
      <c r="E289" s="34"/>
      <c r="F289" s="34"/>
      <c r="G289" s="34"/>
    </row>
    <row r="290" spans="1:7" hidden="1" x14ac:dyDescent="0.2">
      <c r="A290" s="18">
        <v>37076</v>
      </c>
      <c r="B290" s="34"/>
      <c r="C290" s="34"/>
      <c r="D290" s="34"/>
      <c r="E290" s="34"/>
      <c r="F290" s="34"/>
      <c r="G290" s="34"/>
    </row>
    <row r="291" spans="1:7" hidden="1" x14ac:dyDescent="0.2">
      <c r="A291" s="18">
        <v>37335</v>
      </c>
      <c r="B291" s="34"/>
      <c r="C291" s="34"/>
      <c r="D291" s="34"/>
      <c r="E291" s="34"/>
      <c r="F291" s="34"/>
      <c r="G291" s="34"/>
    </row>
    <row r="292" spans="1:7" hidden="1" x14ac:dyDescent="0.2">
      <c r="A292" s="18">
        <v>37566</v>
      </c>
      <c r="B292" s="34"/>
      <c r="C292" s="34"/>
      <c r="D292" s="34"/>
      <c r="E292" s="34"/>
      <c r="F292" s="34"/>
      <c r="G292" s="34"/>
    </row>
    <row r="293" spans="1:7" hidden="1" x14ac:dyDescent="0.2">
      <c r="A293" s="18">
        <v>37594</v>
      </c>
      <c r="B293" s="34"/>
      <c r="C293" s="34"/>
      <c r="D293" s="34"/>
      <c r="E293" s="34"/>
      <c r="F293" s="34"/>
      <c r="G293" s="34"/>
    </row>
    <row r="294" spans="1:7" hidden="1" x14ac:dyDescent="0.2">
      <c r="A294" s="18">
        <v>37711</v>
      </c>
      <c r="B294" s="34"/>
      <c r="C294" s="34"/>
      <c r="D294" s="34"/>
      <c r="E294" s="34"/>
      <c r="F294" s="34"/>
      <c r="G294" s="34"/>
    </row>
    <row r="295" spans="1:7" hidden="1" x14ac:dyDescent="0.2">
      <c r="A295" s="18">
        <v>37739</v>
      </c>
      <c r="B295" s="34"/>
      <c r="C295" s="34"/>
      <c r="D295" s="34"/>
      <c r="E295" s="34"/>
      <c r="F295" s="34"/>
      <c r="G295" s="34"/>
    </row>
    <row r="296" spans="1:7" hidden="1" x14ac:dyDescent="0.2">
      <c r="A296" s="18">
        <v>37825</v>
      </c>
      <c r="B296" s="34"/>
      <c r="C296" s="34"/>
      <c r="D296" s="34"/>
      <c r="E296" s="34"/>
      <c r="F296" s="34"/>
      <c r="G296" s="34"/>
    </row>
    <row r="297" spans="1:7" hidden="1" x14ac:dyDescent="0.2">
      <c r="A297" s="18">
        <v>37888</v>
      </c>
      <c r="B297" s="34"/>
      <c r="C297" s="34"/>
      <c r="D297" s="34"/>
      <c r="E297" s="34"/>
      <c r="F297" s="34"/>
      <c r="G297" s="34"/>
    </row>
    <row r="298" spans="1:7" hidden="1" x14ac:dyDescent="0.2">
      <c r="A298" s="18">
        <v>37963</v>
      </c>
      <c r="B298" s="34"/>
      <c r="C298" s="34"/>
      <c r="D298" s="34"/>
      <c r="E298" s="34"/>
      <c r="F298" s="34"/>
      <c r="G298" s="34"/>
    </row>
    <row r="299" spans="1:7" hidden="1" x14ac:dyDescent="0.2">
      <c r="A299" s="18">
        <v>38012</v>
      </c>
      <c r="B299" s="34"/>
      <c r="C299" s="34"/>
      <c r="D299" s="34"/>
      <c r="E299" s="34"/>
      <c r="F299" s="34"/>
      <c r="G299" s="34"/>
    </row>
    <row r="300" spans="1:7" hidden="1" x14ac:dyDescent="0.2">
      <c r="A300" s="18">
        <v>38033</v>
      </c>
      <c r="B300" s="34"/>
      <c r="C300" s="34"/>
      <c r="D300" s="34"/>
      <c r="E300" s="34"/>
      <c r="F300" s="34"/>
      <c r="G300" s="34"/>
    </row>
    <row r="301" spans="1:7" hidden="1" x14ac:dyDescent="0.2">
      <c r="A301" s="18">
        <v>38271</v>
      </c>
      <c r="B301" s="34">
        <v>0</v>
      </c>
      <c r="C301" s="34"/>
      <c r="D301" s="34"/>
      <c r="E301" s="34"/>
      <c r="F301" s="34">
        <v>0</v>
      </c>
      <c r="G301" s="34">
        <v>0</v>
      </c>
    </row>
    <row r="302" spans="1:7" hidden="1" x14ac:dyDescent="0.2">
      <c r="A302" s="18">
        <v>38474</v>
      </c>
      <c r="B302" s="34"/>
      <c r="C302" s="34"/>
      <c r="D302" s="34"/>
      <c r="E302" s="34"/>
      <c r="F302" s="34"/>
      <c r="G302" s="34"/>
    </row>
    <row r="303" spans="1:7" hidden="1" x14ac:dyDescent="0.2">
      <c r="A303" s="18">
        <v>38896</v>
      </c>
      <c r="B303" s="34">
        <v>0</v>
      </c>
      <c r="C303" s="34"/>
      <c r="D303" s="34"/>
      <c r="E303" s="34"/>
      <c r="F303" s="34">
        <v>0</v>
      </c>
      <c r="G303" s="34">
        <v>0</v>
      </c>
    </row>
    <row r="304" spans="1:7" hidden="1" x14ac:dyDescent="0.2">
      <c r="A304" s="18">
        <v>40625</v>
      </c>
      <c r="B304" s="34">
        <v>2.3E-2</v>
      </c>
      <c r="C304" s="34"/>
      <c r="D304" s="34"/>
      <c r="E304" s="34"/>
      <c r="F304" s="34">
        <v>1.7000000000000001E-2</v>
      </c>
      <c r="G304" s="34">
        <v>4.0000000000000001E-3</v>
      </c>
    </row>
    <row r="305" spans="1:7" hidden="1" x14ac:dyDescent="0.2">
      <c r="A305" s="18">
        <v>40716</v>
      </c>
      <c r="B305" s="34"/>
      <c r="C305" s="34"/>
      <c r="D305" s="34"/>
      <c r="E305" s="34"/>
      <c r="F305" s="34"/>
      <c r="G305" s="34"/>
    </row>
    <row r="306" spans="1:7" hidden="1" x14ac:dyDescent="0.2">
      <c r="A306" s="18">
        <v>40821</v>
      </c>
      <c r="B306" s="34">
        <v>2E-3</v>
      </c>
      <c r="C306" s="34"/>
      <c r="D306" s="34"/>
      <c r="E306" s="34"/>
      <c r="F306" s="34">
        <v>2E-3</v>
      </c>
      <c r="G306" s="34">
        <v>2E-3</v>
      </c>
    </row>
    <row r="307" spans="1:7" hidden="1" x14ac:dyDescent="0.2">
      <c r="A307" s="18">
        <v>40897</v>
      </c>
      <c r="B307" s="34"/>
      <c r="C307" s="34"/>
      <c r="D307" s="34"/>
      <c r="E307" s="34"/>
      <c r="F307" s="34"/>
      <c r="G307" s="34"/>
    </row>
    <row r="308" spans="1:7" hidden="1" x14ac:dyDescent="0.2">
      <c r="A308" s="18">
        <v>41008</v>
      </c>
      <c r="B308" s="34">
        <v>2</v>
      </c>
      <c r="C308" s="34"/>
      <c r="D308" s="34"/>
      <c r="E308" s="34"/>
      <c r="F308" s="34">
        <v>23.6</v>
      </c>
      <c r="G308" s="34">
        <v>11.9</v>
      </c>
    </row>
    <row r="309" spans="1:7" hidden="1" x14ac:dyDescent="0.2">
      <c r="A309" s="18">
        <v>41086</v>
      </c>
      <c r="B309" s="34"/>
      <c r="C309" s="34"/>
      <c r="D309" s="34"/>
      <c r="E309" s="34"/>
      <c r="F309" s="34"/>
      <c r="G309" s="34"/>
    </row>
    <row r="310" spans="1:7" hidden="1" x14ac:dyDescent="0.2">
      <c r="A310" s="18">
        <v>41179</v>
      </c>
      <c r="B310" s="34">
        <v>2E-3</v>
      </c>
      <c r="C310" s="34"/>
      <c r="D310" s="34"/>
      <c r="E310" s="34"/>
      <c r="F310" s="34">
        <v>2E-3</v>
      </c>
      <c r="G310" s="34">
        <v>2E-3</v>
      </c>
    </row>
    <row r="311" spans="1:7" hidden="1" x14ac:dyDescent="0.2">
      <c r="A311" s="18">
        <v>41247</v>
      </c>
      <c r="B311" s="34"/>
      <c r="C311" s="34"/>
      <c r="D311" s="34"/>
      <c r="E311" s="34"/>
      <c r="F311" s="34"/>
      <c r="G311" s="34"/>
    </row>
    <row r="312" spans="1:7" hidden="1" x14ac:dyDescent="0.2">
      <c r="A312" s="18">
        <v>41352</v>
      </c>
      <c r="B312" s="34">
        <v>2E-3</v>
      </c>
      <c r="C312" s="34"/>
      <c r="D312" s="34"/>
      <c r="E312" s="34"/>
      <c r="F312" s="34">
        <v>2E-3</v>
      </c>
      <c r="G312" s="34">
        <v>2E-3</v>
      </c>
    </row>
    <row r="313" spans="1:7" hidden="1" x14ac:dyDescent="0.2">
      <c r="A313" s="18">
        <v>41445</v>
      </c>
      <c r="B313" s="34"/>
      <c r="C313" s="34"/>
      <c r="D313" s="34"/>
      <c r="E313" s="34"/>
      <c r="F313" s="34"/>
      <c r="G313" s="34"/>
    </row>
    <row r="314" spans="1:7" hidden="1" x14ac:dyDescent="0.2">
      <c r="A314" s="18">
        <v>41528</v>
      </c>
      <c r="B314" s="34">
        <v>2E-3</v>
      </c>
      <c r="C314" s="34"/>
      <c r="D314" s="34"/>
      <c r="E314" s="34"/>
      <c r="F314" s="34">
        <v>2E-3</v>
      </c>
      <c r="G314" s="34">
        <v>2E-3</v>
      </c>
    </row>
    <row r="315" spans="1:7" hidden="1" x14ac:dyDescent="0.2">
      <c r="A315" s="18">
        <v>41670</v>
      </c>
      <c r="B315" s="34"/>
      <c r="C315" s="34"/>
      <c r="D315" s="34"/>
      <c r="E315" s="34"/>
      <c r="F315" s="34"/>
      <c r="G315" s="34"/>
    </row>
    <row r="316" spans="1:7" hidden="1" x14ac:dyDescent="0.2">
      <c r="A316" s="18">
        <v>41758</v>
      </c>
      <c r="B316" s="34">
        <v>1.4E-2</v>
      </c>
      <c r="C316" s="34"/>
      <c r="D316" s="34"/>
      <c r="E316" s="34"/>
      <c r="F316" s="34">
        <v>5.0000000000000001E-3</v>
      </c>
      <c r="G316" s="34">
        <v>5.0000000000000001E-3</v>
      </c>
    </row>
    <row r="317" spans="1:7" hidden="1" x14ac:dyDescent="0.2">
      <c r="A317" s="18">
        <v>41835</v>
      </c>
      <c r="B317" s="34"/>
      <c r="C317" s="34"/>
      <c r="D317" s="34"/>
      <c r="E317" s="34"/>
      <c r="F317" s="34"/>
      <c r="G317" s="34"/>
    </row>
    <row r="318" spans="1:7" hidden="1" x14ac:dyDescent="0.2">
      <c r="A318" s="18">
        <v>42031</v>
      </c>
      <c r="B318" s="34"/>
      <c r="C318" s="34"/>
      <c r="D318" s="34"/>
      <c r="E318" s="34"/>
      <c r="F318" s="34"/>
      <c r="G318" s="34"/>
    </row>
    <row r="319" spans="1:7" hidden="1" x14ac:dyDescent="0.2">
      <c r="A319" s="18">
        <v>42094</v>
      </c>
      <c r="B319" s="34">
        <v>2E-3</v>
      </c>
      <c r="C319" s="34"/>
      <c r="D319" s="34"/>
      <c r="E319" s="34"/>
      <c r="F319" s="34">
        <v>2E-3</v>
      </c>
      <c r="G319" s="34">
        <v>2E-3</v>
      </c>
    </row>
    <row r="320" spans="1:7" hidden="1" x14ac:dyDescent="0.2">
      <c r="A320" s="18">
        <v>42192</v>
      </c>
      <c r="B320" s="34"/>
      <c r="C320" s="34"/>
      <c r="D320" s="34"/>
      <c r="E320" s="34"/>
      <c r="F320" s="34"/>
      <c r="G320" s="34"/>
    </row>
    <row r="321" spans="1:7" hidden="1" x14ac:dyDescent="0.2">
      <c r="A321" s="18">
        <v>42290</v>
      </c>
      <c r="B321" s="34">
        <v>2E-3</v>
      </c>
      <c r="C321" s="34"/>
      <c r="D321" s="34"/>
      <c r="E321" s="34"/>
      <c r="F321" s="34">
        <v>2E-3</v>
      </c>
      <c r="G321" s="34">
        <v>2E-3</v>
      </c>
    </row>
    <row r="322" spans="1:7" hidden="1" x14ac:dyDescent="0.2">
      <c r="A322" s="18">
        <v>42381</v>
      </c>
      <c r="B322" s="34"/>
      <c r="C322" s="34"/>
      <c r="D322" s="34"/>
      <c r="E322" s="34"/>
      <c r="F322" s="34"/>
      <c r="G322" s="34"/>
    </row>
    <row r="323" spans="1:7" hidden="1" x14ac:dyDescent="0.2">
      <c r="A323" s="18">
        <v>42479</v>
      </c>
      <c r="B323" s="34">
        <v>1.6E-2</v>
      </c>
      <c r="C323" s="34"/>
      <c r="D323" s="34"/>
      <c r="E323" s="34"/>
      <c r="F323" s="34">
        <v>0.01</v>
      </c>
      <c r="G323" s="34">
        <v>4.1000000000000002E-2</v>
      </c>
    </row>
    <row r="324" spans="1:7" hidden="1" x14ac:dyDescent="0.2">
      <c r="A324" s="18">
        <v>42570</v>
      </c>
      <c r="B324" s="34"/>
      <c r="C324" s="34"/>
      <c r="D324" s="34"/>
      <c r="E324" s="34"/>
      <c r="F324" s="34"/>
      <c r="G324" s="34"/>
    </row>
    <row r="325" spans="1:7" hidden="1" x14ac:dyDescent="0.2">
      <c r="A325" s="18">
        <v>42654</v>
      </c>
      <c r="B325" s="34">
        <v>6.0000000000000001E-3</v>
      </c>
      <c r="C325" s="34"/>
      <c r="D325" s="34"/>
      <c r="E325" s="34"/>
      <c r="F325" s="34">
        <v>3.0000000000000001E-3</v>
      </c>
      <c r="G325" s="34">
        <v>0.01</v>
      </c>
    </row>
    <row r="326" spans="1:7" hidden="1" x14ac:dyDescent="0.2">
      <c r="A326" s="18">
        <v>42745</v>
      </c>
      <c r="B326" s="34"/>
      <c r="C326" s="34"/>
      <c r="D326" s="34"/>
      <c r="E326" s="34"/>
      <c r="F326" s="34"/>
      <c r="G326" s="34"/>
    </row>
    <row r="327" spans="1:7" hidden="1" x14ac:dyDescent="0.2">
      <c r="A327" s="18">
        <v>42843</v>
      </c>
      <c r="B327" s="34">
        <v>0.01</v>
      </c>
      <c r="C327" s="34"/>
      <c r="D327" s="34"/>
      <c r="E327" s="34"/>
      <c r="F327" s="34">
        <v>7.0000000000000001E-3</v>
      </c>
      <c r="G327" s="34">
        <v>6.0000000000000001E-3</v>
      </c>
    </row>
    <row r="328" spans="1:7" hidden="1" x14ac:dyDescent="0.2">
      <c r="A328" s="18">
        <v>42934</v>
      </c>
      <c r="B328" s="34"/>
      <c r="C328" s="34"/>
      <c r="D328" s="34"/>
      <c r="E328" s="34"/>
      <c r="F328" s="34"/>
      <c r="G328" s="34"/>
    </row>
    <row r="329" spans="1:7" hidden="1" x14ac:dyDescent="0.2">
      <c r="A329" s="18">
        <v>43025</v>
      </c>
      <c r="B329" s="34">
        <v>2E-3</v>
      </c>
      <c r="C329" s="34"/>
      <c r="D329" s="34"/>
      <c r="E329" s="34"/>
      <c r="F329" s="34">
        <v>2E-3</v>
      </c>
      <c r="G329" s="34">
        <v>2E-3</v>
      </c>
    </row>
    <row r="330" spans="1:7" hidden="1" x14ac:dyDescent="0.2">
      <c r="A330" s="18">
        <v>43109</v>
      </c>
      <c r="B330" s="34">
        <v>8.0000000000000002E-3</v>
      </c>
      <c r="C330" s="34"/>
      <c r="D330" s="34"/>
      <c r="E330" s="34"/>
      <c r="F330" s="34">
        <v>6.0000000000000001E-3</v>
      </c>
      <c r="G330" s="34">
        <v>1.2E-2</v>
      </c>
    </row>
    <row r="331" spans="1:7" hidden="1" x14ac:dyDescent="0.2">
      <c r="A331" s="18">
        <v>43193</v>
      </c>
      <c r="B331" s="34">
        <v>1.6E-2</v>
      </c>
      <c r="C331" s="34"/>
      <c r="D331" s="34"/>
      <c r="E331" s="34"/>
      <c r="F331" s="34">
        <v>0.02</v>
      </c>
      <c r="G331" s="34">
        <v>2.1999999999999999E-2</v>
      </c>
    </row>
    <row r="332" spans="1:7" hidden="1" x14ac:dyDescent="0.2">
      <c r="A332" s="18">
        <v>43298</v>
      </c>
      <c r="B332" s="34"/>
      <c r="C332" s="34"/>
      <c r="D332" s="34"/>
      <c r="E332" s="34"/>
      <c r="F332" s="34"/>
      <c r="G332" s="34"/>
    </row>
    <row r="333" spans="1:7" hidden="1" x14ac:dyDescent="0.2">
      <c r="A333" s="18">
        <v>43403</v>
      </c>
      <c r="B333" s="34">
        <v>2E-3</v>
      </c>
      <c r="C333" s="34"/>
      <c r="D333" s="34"/>
      <c r="E333" s="34"/>
      <c r="F333" s="34">
        <v>2E-3</v>
      </c>
      <c r="G333" s="34">
        <v>2E-3</v>
      </c>
    </row>
    <row r="334" spans="1:7" hidden="1" x14ac:dyDescent="0.2">
      <c r="A334" s="18">
        <v>43487</v>
      </c>
      <c r="B334" s="34"/>
      <c r="C334" s="34"/>
      <c r="D334" s="34"/>
      <c r="E334" s="34"/>
      <c r="F334" s="34"/>
      <c r="G334" s="34"/>
    </row>
    <row r="335" spans="1:7" hidden="1" x14ac:dyDescent="0.2">
      <c r="A335" s="18">
        <v>43578</v>
      </c>
      <c r="B335" s="34">
        <v>2E-3</v>
      </c>
      <c r="C335" s="34"/>
      <c r="D335" s="34"/>
      <c r="E335" s="34"/>
      <c r="F335" s="34">
        <v>2E-3</v>
      </c>
      <c r="G335" s="34">
        <v>2E-3</v>
      </c>
    </row>
    <row r="336" spans="1:7" hidden="1" x14ac:dyDescent="0.2">
      <c r="A336" s="18">
        <v>43704</v>
      </c>
      <c r="B336" s="34"/>
      <c r="C336" s="34"/>
      <c r="D336" s="34"/>
      <c r="E336" s="34"/>
      <c r="F336" s="34"/>
      <c r="G336" s="34"/>
    </row>
    <row r="337" spans="1:7" hidden="1" x14ac:dyDescent="0.2">
      <c r="A337" s="18">
        <v>43760</v>
      </c>
      <c r="B337" s="34">
        <v>257.5</v>
      </c>
      <c r="C337" s="34"/>
      <c r="D337" s="34"/>
      <c r="E337" s="34"/>
      <c r="F337" s="34">
        <v>61.58</v>
      </c>
      <c r="G337" s="34">
        <v>42.42</v>
      </c>
    </row>
    <row r="338" spans="1:7" hidden="1" x14ac:dyDescent="0.2">
      <c r="A338" s="18">
        <v>44021</v>
      </c>
      <c r="B338" s="34">
        <v>8.0000000000000002E-3</v>
      </c>
      <c r="C338" s="34"/>
      <c r="D338" s="34"/>
      <c r="E338" s="34"/>
      <c r="F338" s="34">
        <v>2E-3</v>
      </c>
      <c r="G338" s="34">
        <v>2E-3</v>
      </c>
    </row>
    <row r="339" spans="1:7" hidden="1" x14ac:dyDescent="0.2"/>
    <row r="340" spans="1:7" hidden="1" x14ac:dyDescent="0.2"/>
    <row r="341" spans="1:7" hidden="1" x14ac:dyDescent="0.2">
      <c r="A341" s="34"/>
      <c r="B341" s="36" t="s">
        <v>52</v>
      </c>
      <c r="C341" s="191"/>
      <c r="D341" s="191"/>
      <c r="E341" s="191"/>
    </row>
    <row r="342" spans="1:7" hidden="1" x14ac:dyDescent="0.2">
      <c r="A342" s="34"/>
      <c r="B342" s="34"/>
    </row>
    <row r="343" spans="1:7" hidden="1" x14ac:dyDescent="0.2">
      <c r="A343" s="12" t="s">
        <v>7</v>
      </c>
      <c r="B343" s="78" t="s">
        <v>9</v>
      </c>
      <c r="C343" s="78"/>
      <c r="D343" s="78"/>
      <c r="E343" s="78"/>
      <c r="F343" s="76" t="s">
        <v>11</v>
      </c>
      <c r="G343" s="75" t="s">
        <v>12</v>
      </c>
    </row>
    <row r="344" spans="1:7" hidden="1" x14ac:dyDescent="0.2">
      <c r="A344" s="18">
        <v>37046</v>
      </c>
      <c r="B344" s="34">
        <v>8.1999999999999993</v>
      </c>
      <c r="C344" s="34"/>
      <c r="D344" s="34"/>
      <c r="E344" s="34"/>
      <c r="F344" s="34">
        <v>8.4700000000000006</v>
      </c>
      <c r="G344" s="34">
        <v>8.34</v>
      </c>
    </row>
    <row r="345" spans="1:7" hidden="1" x14ac:dyDescent="0.2">
      <c r="A345" s="18">
        <v>37076</v>
      </c>
      <c r="B345" s="34">
        <v>8.44</v>
      </c>
      <c r="C345" s="34"/>
      <c r="D345" s="34"/>
      <c r="E345" s="34"/>
      <c r="F345" s="34">
        <v>8.1999999999999993</v>
      </c>
      <c r="G345" s="34">
        <v>8.1999999999999993</v>
      </c>
    </row>
    <row r="346" spans="1:7" hidden="1" x14ac:dyDescent="0.2">
      <c r="A346" s="18">
        <v>37335</v>
      </c>
      <c r="B346" s="34">
        <v>8.6300000000000008</v>
      </c>
      <c r="C346" s="34"/>
      <c r="D346" s="34"/>
      <c r="E346" s="34"/>
      <c r="F346" s="34">
        <v>8.5500000000000007</v>
      </c>
      <c r="G346" s="34">
        <v>8.5500000000000007</v>
      </c>
    </row>
    <row r="347" spans="1:7" hidden="1" x14ac:dyDescent="0.2">
      <c r="A347" s="18">
        <v>37566</v>
      </c>
      <c r="B347" s="34"/>
      <c r="C347" s="34"/>
      <c r="D347" s="34"/>
      <c r="E347" s="34"/>
      <c r="F347" s="34"/>
      <c r="G347" s="34"/>
    </row>
    <row r="348" spans="1:7" hidden="1" x14ac:dyDescent="0.2">
      <c r="A348" s="18">
        <v>37594</v>
      </c>
      <c r="B348" s="34">
        <v>8.8000000000000007</v>
      </c>
      <c r="C348" s="34"/>
      <c r="D348" s="34"/>
      <c r="E348" s="34"/>
      <c r="F348" s="34">
        <v>8.6999999999999993</v>
      </c>
      <c r="G348" s="34">
        <v>8.6999999999999993</v>
      </c>
    </row>
    <row r="349" spans="1:7" hidden="1" x14ac:dyDescent="0.2">
      <c r="A349" s="18">
        <v>37711</v>
      </c>
      <c r="B349" s="34"/>
      <c r="C349" s="34"/>
      <c r="D349" s="34"/>
      <c r="E349" s="34"/>
      <c r="F349" s="34"/>
      <c r="G349" s="34"/>
    </row>
    <row r="350" spans="1:7" hidden="1" x14ac:dyDescent="0.2">
      <c r="A350" s="18">
        <v>37739</v>
      </c>
      <c r="B350" s="34"/>
      <c r="C350" s="34"/>
      <c r="D350" s="34"/>
      <c r="E350" s="34"/>
      <c r="F350" s="34"/>
      <c r="G350" s="34"/>
    </row>
    <row r="351" spans="1:7" hidden="1" x14ac:dyDescent="0.2">
      <c r="A351" s="18">
        <v>37825</v>
      </c>
      <c r="B351" s="34"/>
      <c r="C351" s="34"/>
      <c r="D351" s="34"/>
      <c r="E351" s="34"/>
      <c r="F351" s="34"/>
      <c r="G351" s="34"/>
    </row>
    <row r="352" spans="1:7" hidden="1" x14ac:dyDescent="0.2">
      <c r="A352" s="18">
        <v>37888</v>
      </c>
      <c r="B352" s="34"/>
      <c r="C352" s="34"/>
      <c r="D352" s="34"/>
      <c r="E352" s="34"/>
      <c r="F352" s="34"/>
      <c r="G352" s="34"/>
    </row>
    <row r="353" spans="1:7" hidden="1" x14ac:dyDescent="0.2">
      <c r="A353" s="18">
        <v>37963</v>
      </c>
      <c r="B353" s="34"/>
      <c r="C353" s="34"/>
      <c r="D353" s="34"/>
      <c r="E353" s="34"/>
      <c r="F353" s="34"/>
      <c r="G353" s="34"/>
    </row>
    <row r="354" spans="1:7" hidden="1" x14ac:dyDescent="0.2">
      <c r="A354" s="18">
        <v>38012</v>
      </c>
      <c r="B354" s="34"/>
      <c r="C354" s="34"/>
      <c r="D354" s="34"/>
      <c r="E354" s="34"/>
      <c r="F354" s="34"/>
      <c r="G354" s="34"/>
    </row>
    <row r="355" spans="1:7" hidden="1" x14ac:dyDescent="0.2">
      <c r="A355" s="18">
        <v>38033</v>
      </c>
      <c r="B355" s="34"/>
      <c r="C355" s="34"/>
      <c r="D355" s="34"/>
      <c r="E355" s="34"/>
      <c r="F355" s="34"/>
      <c r="G355" s="34"/>
    </row>
    <row r="356" spans="1:7" hidden="1" x14ac:dyDescent="0.2">
      <c r="A356" s="18">
        <v>38271</v>
      </c>
      <c r="B356" s="34">
        <v>8.42</v>
      </c>
      <c r="C356" s="34"/>
      <c r="D356" s="34"/>
      <c r="E356" s="34"/>
      <c r="F356" s="34">
        <v>8.4</v>
      </c>
      <c r="G356" s="34">
        <v>8.43</v>
      </c>
    </row>
    <row r="357" spans="1:7" hidden="1" x14ac:dyDescent="0.2">
      <c r="A357" s="18">
        <v>38474</v>
      </c>
      <c r="B357" s="34"/>
      <c r="C357" s="34"/>
      <c r="D357" s="34"/>
      <c r="E357" s="34"/>
      <c r="F357" s="34"/>
      <c r="G357" s="34"/>
    </row>
    <row r="358" spans="1:7" hidden="1" x14ac:dyDescent="0.2">
      <c r="A358" s="18">
        <v>38896</v>
      </c>
      <c r="B358" s="34">
        <v>8.42</v>
      </c>
      <c r="C358" s="34"/>
      <c r="D358" s="34"/>
      <c r="E358" s="34"/>
      <c r="F358" s="34">
        <v>8.36</v>
      </c>
      <c r="G358" s="34">
        <v>8.4700000000000006</v>
      </c>
    </row>
    <row r="359" spans="1:7" hidden="1" x14ac:dyDescent="0.2">
      <c r="A359" s="18">
        <v>40625</v>
      </c>
      <c r="B359" s="34">
        <v>7.5</v>
      </c>
      <c r="C359" s="34"/>
      <c r="D359" s="34"/>
      <c r="E359" s="34"/>
      <c r="F359" s="34">
        <v>7.77</v>
      </c>
      <c r="G359" s="34">
        <v>7.88</v>
      </c>
    </row>
    <row r="360" spans="1:7" hidden="1" x14ac:dyDescent="0.2">
      <c r="A360" s="18">
        <v>40716</v>
      </c>
      <c r="B360" s="34">
        <v>7.98</v>
      </c>
      <c r="C360" s="34"/>
      <c r="D360" s="34"/>
      <c r="E360" s="34"/>
      <c r="F360" s="34">
        <v>8.06</v>
      </c>
      <c r="G360" s="34">
        <v>8.11</v>
      </c>
    </row>
    <row r="361" spans="1:7" hidden="1" x14ac:dyDescent="0.2">
      <c r="A361" s="18">
        <v>40821</v>
      </c>
      <c r="B361" s="34">
        <v>7.82</v>
      </c>
      <c r="C361" s="34"/>
      <c r="D361" s="34"/>
      <c r="E361" s="34"/>
      <c r="F361" s="34">
        <v>7.88</v>
      </c>
      <c r="G361" s="34">
        <v>8.0299999999999994</v>
      </c>
    </row>
    <row r="362" spans="1:7" hidden="1" x14ac:dyDescent="0.2">
      <c r="A362" s="18">
        <v>40897</v>
      </c>
      <c r="B362" s="34">
        <v>7.84</v>
      </c>
      <c r="C362" s="34"/>
      <c r="D362" s="34"/>
      <c r="E362" s="34"/>
      <c r="F362" s="34">
        <v>7.72</v>
      </c>
      <c r="G362" s="34">
        <v>7.79</v>
      </c>
    </row>
    <row r="363" spans="1:7" hidden="1" x14ac:dyDescent="0.2">
      <c r="A363" s="18">
        <v>41008</v>
      </c>
      <c r="B363" s="34">
        <v>8.3000000000000007</v>
      </c>
      <c r="C363" s="34"/>
      <c r="D363" s="34"/>
      <c r="E363" s="34"/>
      <c r="F363" s="34">
        <v>7.91</v>
      </c>
      <c r="G363" s="34">
        <v>8.31</v>
      </c>
    </row>
    <row r="364" spans="1:7" hidden="1" x14ac:dyDescent="0.2">
      <c r="A364" s="18">
        <v>41086</v>
      </c>
      <c r="B364" s="34">
        <v>7.66</v>
      </c>
      <c r="C364" s="34"/>
      <c r="D364" s="34"/>
      <c r="E364" s="34"/>
      <c r="F364" s="34">
        <v>7.49</v>
      </c>
      <c r="G364" s="34">
        <v>7.6</v>
      </c>
    </row>
    <row r="365" spans="1:7" hidden="1" x14ac:dyDescent="0.2">
      <c r="A365" s="18">
        <v>41179</v>
      </c>
      <c r="B365" s="34">
        <v>8.64</v>
      </c>
      <c r="C365" s="34"/>
      <c r="D365" s="34"/>
      <c r="E365" s="34"/>
      <c r="F365" s="34">
        <v>8.75</v>
      </c>
      <c r="G365" s="34">
        <v>8.6300000000000008</v>
      </c>
    </row>
    <row r="366" spans="1:7" hidden="1" x14ac:dyDescent="0.2">
      <c r="A366" s="18">
        <v>41247</v>
      </c>
      <c r="B366" s="34">
        <v>8.3699999999999992</v>
      </c>
      <c r="C366" s="34"/>
      <c r="D366" s="34"/>
      <c r="E366" s="34"/>
      <c r="F366" s="34">
        <v>8.3000000000000007</v>
      </c>
      <c r="G366" s="34">
        <v>8.32</v>
      </c>
    </row>
    <row r="367" spans="1:7" hidden="1" x14ac:dyDescent="0.2">
      <c r="A367" s="18">
        <v>41352</v>
      </c>
      <c r="B367" s="34">
        <v>7.51</v>
      </c>
      <c r="C367" s="34"/>
      <c r="D367" s="34"/>
      <c r="E367" s="34"/>
      <c r="F367" s="34">
        <v>7.34</v>
      </c>
      <c r="G367" s="34">
        <v>7.42</v>
      </c>
    </row>
    <row r="368" spans="1:7" hidden="1" x14ac:dyDescent="0.2">
      <c r="A368" s="18">
        <v>41445</v>
      </c>
      <c r="B368" s="34">
        <v>8.3000000000000007</v>
      </c>
      <c r="C368" s="34"/>
      <c r="D368" s="34"/>
      <c r="E368" s="34"/>
      <c r="F368" s="34">
        <v>8.31</v>
      </c>
      <c r="G368" s="34">
        <v>8.32</v>
      </c>
    </row>
    <row r="369" spans="1:7" hidden="1" x14ac:dyDescent="0.2">
      <c r="A369" s="18">
        <v>41528</v>
      </c>
      <c r="B369" s="34">
        <v>8.64</v>
      </c>
      <c r="C369" s="34"/>
      <c r="D369" s="34"/>
      <c r="E369" s="34"/>
      <c r="F369" s="34">
        <v>8.81</v>
      </c>
      <c r="G369" s="34">
        <v>8.32</v>
      </c>
    </row>
    <row r="370" spans="1:7" hidden="1" x14ac:dyDescent="0.2">
      <c r="A370" s="18">
        <v>41670</v>
      </c>
      <c r="B370" s="34">
        <v>7.84</v>
      </c>
      <c r="C370" s="34"/>
      <c r="D370" s="34"/>
      <c r="E370" s="34"/>
      <c r="F370" s="34">
        <v>7.81</v>
      </c>
      <c r="G370" s="34">
        <v>7.8</v>
      </c>
    </row>
    <row r="371" spans="1:7" hidden="1" x14ac:dyDescent="0.2">
      <c r="A371" s="18">
        <v>41758</v>
      </c>
      <c r="B371" s="34">
        <v>8.19</v>
      </c>
      <c r="C371" s="34"/>
      <c r="D371" s="34"/>
      <c r="E371" s="34"/>
      <c r="F371" s="34">
        <v>8.4</v>
      </c>
      <c r="G371" s="34">
        <v>8.43</v>
      </c>
    </row>
    <row r="372" spans="1:7" hidden="1" x14ac:dyDescent="0.2">
      <c r="A372" s="18">
        <v>41835</v>
      </c>
      <c r="B372" s="34">
        <v>8.27</v>
      </c>
      <c r="C372" s="34"/>
      <c r="D372" s="34"/>
      <c r="E372" s="34"/>
      <c r="F372" s="34">
        <v>8.41</v>
      </c>
      <c r="G372" s="34">
        <v>8.52</v>
      </c>
    </row>
    <row r="373" spans="1:7" hidden="1" x14ac:dyDescent="0.2">
      <c r="A373" s="18">
        <v>42031</v>
      </c>
      <c r="B373" s="34">
        <v>8.74</v>
      </c>
      <c r="C373" s="34"/>
      <c r="D373" s="34"/>
      <c r="E373" s="34"/>
      <c r="F373" s="34">
        <v>8.81</v>
      </c>
      <c r="G373" s="34">
        <v>8.61</v>
      </c>
    </row>
    <row r="374" spans="1:7" hidden="1" x14ac:dyDescent="0.2">
      <c r="A374" s="18">
        <v>42094</v>
      </c>
      <c r="B374" s="34">
        <v>8.09</v>
      </c>
      <c r="C374" s="34"/>
      <c r="D374" s="34"/>
      <c r="E374" s="34"/>
      <c r="F374" s="34">
        <v>8.3000000000000007</v>
      </c>
      <c r="G374" s="34">
        <v>8.33</v>
      </c>
    </row>
    <row r="375" spans="1:7" hidden="1" x14ac:dyDescent="0.2">
      <c r="A375" s="18">
        <v>42192</v>
      </c>
      <c r="B375" s="34">
        <v>7.55</v>
      </c>
      <c r="C375" s="34"/>
      <c r="D375" s="34"/>
      <c r="E375" s="34"/>
      <c r="F375" s="34">
        <v>7.92</v>
      </c>
      <c r="G375" s="34">
        <v>7.97</v>
      </c>
    </row>
    <row r="376" spans="1:7" hidden="1" x14ac:dyDescent="0.2">
      <c r="A376" s="18">
        <v>42290</v>
      </c>
      <c r="B376" s="34">
        <v>8.39</v>
      </c>
      <c r="C376" s="34"/>
      <c r="D376" s="34"/>
      <c r="E376" s="34"/>
      <c r="F376" s="34">
        <v>8.58</v>
      </c>
      <c r="G376" s="34">
        <v>8.59</v>
      </c>
    </row>
    <row r="377" spans="1:7" hidden="1" x14ac:dyDescent="0.2">
      <c r="A377" s="18">
        <v>42381</v>
      </c>
      <c r="B377" s="34">
        <v>8.3000000000000007</v>
      </c>
      <c r="C377" s="34"/>
      <c r="D377" s="34"/>
      <c r="E377" s="34"/>
      <c r="F377" s="34">
        <v>8.31</v>
      </c>
      <c r="G377" s="34">
        <v>8.32</v>
      </c>
    </row>
    <row r="378" spans="1:7" hidden="1" x14ac:dyDescent="0.2">
      <c r="A378" s="18">
        <v>42479</v>
      </c>
      <c r="B378" s="34">
        <v>8.06</v>
      </c>
      <c r="C378" s="34"/>
      <c r="D378" s="34"/>
      <c r="E378" s="34"/>
      <c r="F378" s="34">
        <v>7.65</v>
      </c>
      <c r="G378" s="34">
        <v>7.53</v>
      </c>
    </row>
    <row r="379" spans="1:7" hidden="1" x14ac:dyDescent="0.2">
      <c r="A379" s="18">
        <v>42570</v>
      </c>
      <c r="B379" s="34">
        <v>8.23</v>
      </c>
      <c r="C379" s="34"/>
      <c r="D379" s="34"/>
      <c r="E379" s="34"/>
      <c r="F379" s="34">
        <v>8.4499999999999993</v>
      </c>
      <c r="G379" s="34">
        <v>8.3699999999999992</v>
      </c>
    </row>
    <row r="380" spans="1:7" hidden="1" x14ac:dyDescent="0.2">
      <c r="A380" s="18">
        <v>42654</v>
      </c>
      <c r="B380" s="34">
        <v>8.39</v>
      </c>
      <c r="C380" s="34"/>
      <c r="D380" s="34"/>
      <c r="E380" s="34"/>
      <c r="F380" s="34">
        <v>8.3800000000000008</v>
      </c>
      <c r="G380" s="34">
        <v>8.4</v>
      </c>
    </row>
    <row r="381" spans="1:7" hidden="1" x14ac:dyDescent="0.2">
      <c r="A381" s="18">
        <v>42745</v>
      </c>
      <c r="B381" s="34">
        <v>7.75</v>
      </c>
      <c r="C381" s="34"/>
      <c r="D381" s="34"/>
      <c r="E381" s="34"/>
      <c r="F381" s="34">
        <v>7.73</v>
      </c>
      <c r="G381" s="34">
        <v>7.77</v>
      </c>
    </row>
    <row r="382" spans="1:7" hidden="1" x14ac:dyDescent="0.2">
      <c r="A382" s="18">
        <v>42843</v>
      </c>
      <c r="B382" s="34">
        <v>8.17</v>
      </c>
      <c r="C382" s="34"/>
      <c r="D382" s="34"/>
      <c r="E382" s="34"/>
      <c r="F382" s="34">
        <v>8.1</v>
      </c>
      <c r="G382" s="34">
        <v>8.16</v>
      </c>
    </row>
    <row r="383" spans="1:7" hidden="1" x14ac:dyDescent="0.2">
      <c r="A383" s="18">
        <v>42934</v>
      </c>
      <c r="B383" s="34">
        <v>7.69</v>
      </c>
      <c r="C383" s="34"/>
      <c r="D383" s="34"/>
      <c r="E383" s="34"/>
      <c r="F383" s="34">
        <v>7.78</v>
      </c>
      <c r="G383" s="34">
        <v>7.84</v>
      </c>
    </row>
    <row r="384" spans="1:7" hidden="1" x14ac:dyDescent="0.2">
      <c r="A384" s="18">
        <v>43025</v>
      </c>
      <c r="B384" s="34">
        <v>8.0500000000000007</v>
      </c>
      <c r="C384" s="34"/>
      <c r="D384" s="34"/>
      <c r="E384" s="34"/>
      <c r="F384" s="34">
        <v>8.0299999999999994</v>
      </c>
      <c r="G384" s="34">
        <v>8.08</v>
      </c>
    </row>
    <row r="385" spans="1:7" hidden="1" x14ac:dyDescent="0.2">
      <c r="A385" s="18">
        <v>43109</v>
      </c>
      <c r="B385" s="34">
        <v>8.1</v>
      </c>
      <c r="C385" s="34"/>
      <c r="D385" s="34"/>
      <c r="E385" s="34"/>
      <c r="F385" s="34">
        <v>8.08</v>
      </c>
      <c r="G385" s="34">
        <v>8.14</v>
      </c>
    </row>
    <row r="386" spans="1:7" hidden="1" x14ac:dyDescent="0.2">
      <c r="A386" s="18">
        <v>43193</v>
      </c>
      <c r="B386" s="34">
        <v>7.12</v>
      </c>
      <c r="C386" s="34"/>
      <c r="D386" s="34"/>
      <c r="E386" s="34"/>
      <c r="F386" s="34">
        <v>7.23</v>
      </c>
      <c r="G386" s="34">
        <v>7.35</v>
      </c>
    </row>
    <row r="387" spans="1:7" hidden="1" x14ac:dyDescent="0.2">
      <c r="A387" s="18">
        <v>43298</v>
      </c>
      <c r="B387" s="34">
        <v>8.34</v>
      </c>
      <c r="C387" s="34"/>
      <c r="D387" s="34"/>
      <c r="E387" s="34"/>
      <c r="F387" s="34">
        <v>8.4700000000000006</v>
      </c>
      <c r="G387" s="34">
        <v>8.49</v>
      </c>
    </row>
    <row r="388" spans="1:7" hidden="1" x14ac:dyDescent="0.2">
      <c r="A388" s="18">
        <v>43403</v>
      </c>
      <c r="B388" s="34">
        <v>8.6999999999999993</v>
      </c>
      <c r="C388" s="34"/>
      <c r="D388" s="34"/>
      <c r="E388" s="34"/>
      <c r="F388" s="34">
        <v>8.94</v>
      </c>
      <c r="G388" s="34">
        <v>8.92</v>
      </c>
    </row>
    <row r="389" spans="1:7" hidden="1" x14ac:dyDescent="0.2">
      <c r="A389" s="18">
        <v>43487</v>
      </c>
      <c r="B389" s="34">
        <v>8.41</v>
      </c>
      <c r="C389" s="34"/>
      <c r="D389" s="34"/>
      <c r="E389" s="34"/>
      <c r="F389" s="34">
        <v>8.4499999999999993</v>
      </c>
      <c r="G389" s="34"/>
    </row>
    <row r="390" spans="1:7" hidden="1" x14ac:dyDescent="0.2">
      <c r="A390" s="18">
        <v>43578</v>
      </c>
      <c r="B390" s="34">
        <v>8.17</v>
      </c>
      <c r="C390" s="34"/>
      <c r="D390" s="34"/>
      <c r="E390" s="34"/>
      <c r="F390" s="34">
        <v>8.18</v>
      </c>
      <c r="G390" s="34">
        <v>8.1300000000000008</v>
      </c>
    </row>
    <row r="391" spans="1:7" hidden="1" x14ac:dyDescent="0.2">
      <c r="A391" s="18">
        <v>43704</v>
      </c>
      <c r="B391" s="34">
        <v>8.33</v>
      </c>
      <c r="C391" s="34"/>
      <c r="D391" s="34"/>
      <c r="E391" s="34"/>
      <c r="F391" s="34">
        <v>8.23</v>
      </c>
      <c r="G391" s="34">
        <v>8.3699999999999992</v>
      </c>
    </row>
    <row r="392" spans="1:7" hidden="1" x14ac:dyDescent="0.2">
      <c r="A392" s="18">
        <v>43760</v>
      </c>
      <c r="B392" s="34">
        <v>8.0440000000000005</v>
      </c>
      <c r="C392" s="34"/>
      <c r="D392" s="34"/>
      <c r="E392" s="34"/>
      <c r="F392" s="34">
        <v>8.11</v>
      </c>
      <c r="G392" s="34">
        <v>8.1199999999999992</v>
      </c>
    </row>
    <row r="393" spans="1:7" hidden="1" x14ac:dyDescent="0.2">
      <c r="A393" s="18">
        <v>44021</v>
      </c>
      <c r="B393" s="34">
        <v>8.39</v>
      </c>
      <c r="C393" s="34"/>
      <c r="D393" s="34"/>
      <c r="E393" s="34"/>
      <c r="F393" s="34">
        <v>8.4700000000000006</v>
      </c>
      <c r="G393" s="34">
        <v>8.44</v>
      </c>
    </row>
    <row r="394" spans="1:7" hidden="1" x14ac:dyDescent="0.2"/>
    <row r="395" spans="1:7" hidden="1" x14ac:dyDescent="0.2"/>
    <row r="396" spans="1:7" hidden="1" x14ac:dyDescent="0.2">
      <c r="A396" s="34"/>
      <c r="B396" s="36" t="s">
        <v>60</v>
      </c>
      <c r="C396" s="191"/>
      <c r="D396" s="191"/>
      <c r="E396" s="191"/>
    </row>
    <row r="397" spans="1:7" hidden="1" x14ac:dyDescent="0.2">
      <c r="A397" s="34"/>
      <c r="B397" s="29" t="s">
        <v>22</v>
      </c>
      <c r="C397" s="192"/>
      <c r="D397" s="192"/>
      <c r="E397" s="192"/>
    </row>
    <row r="398" spans="1:7" hidden="1" x14ac:dyDescent="0.2">
      <c r="A398" s="12" t="s">
        <v>7</v>
      </c>
      <c r="B398" s="78" t="s">
        <v>9</v>
      </c>
      <c r="C398" s="78"/>
      <c r="D398" s="78"/>
      <c r="E398" s="78"/>
      <c r="F398" s="76" t="s">
        <v>11</v>
      </c>
      <c r="G398" s="75" t="s">
        <v>12</v>
      </c>
    </row>
    <row r="399" spans="1:7" hidden="1" x14ac:dyDescent="0.2">
      <c r="A399" s="18">
        <v>37046</v>
      </c>
      <c r="B399" s="34">
        <v>0</v>
      </c>
      <c r="C399" s="34"/>
      <c r="D399" s="34"/>
      <c r="E399" s="34"/>
      <c r="F399" s="34">
        <v>15</v>
      </c>
      <c r="G399" s="34">
        <v>6</v>
      </c>
    </row>
    <row r="400" spans="1:7" hidden="1" x14ac:dyDescent="0.2">
      <c r="A400" s="18">
        <v>37076</v>
      </c>
      <c r="B400" s="34">
        <v>14.5</v>
      </c>
      <c r="C400" s="34"/>
      <c r="D400" s="34"/>
      <c r="E400" s="34"/>
      <c r="F400" s="34">
        <v>23.5</v>
      </c>
      <c r="G400" s="34">
        <v>7</v>
      </c>
    </row>
    <row r="401" spans="1:7" hidden="1" x14ac:dyDescent="0.2">
      <c r="A401" s="18">
        <v>37335</v>
      </c>
      <c r="B401" s="34">
        <v>39.200000000000003</v>
      </c>
      <c r="C401" s="34"/>
      <c r="D401" s="34"/>
      <c r="E401" s="34"/>
      <c r="F401" s="34">
        <v>18</v>
      </c>
      <c r="G401" s="34">
        <v>32</v>
      </c>
    </row>
    <row r="402" spans="1:7" hidden="1" x14ac:dyDescent="0.2">
      <c r="A402" s="18">
        <v>37566</v>
      </c>
      <c r="B402" s="34"/>
      <c r="C402" s="34"/>
      <c r="D402" s="34"/>
      <c r="E402" s="34"/>
      <c r="F402" s="34"/>
      <c r="G402" s="34"/>
    </row>
    <row r="403" spans="1:7" hidden="1" x14ac:dyDescent="0.2">
      <c r="A403" s="18">
        <v>37594</v>
      </c>
      <c r="B403" s="34"/>
      <c r="C403" s="34"/>
      <c r="D403" s="34"/>
      <c r="E403" s="34"/>
      <c r="F403" s="34"/>
      <c r="G403" s="34"/>
    </row>
    <row r="404" spans="1:7" hidden="1" x14ac:dyDescent="0.2">
      <c r="A404" s="18">
        <v>37711</v>
      </c>
      <c r="B404" s="34"/>
      <c r="C404" s="34"/>
      <c r="D404" s="34"/>
      <c r="E404" s="34"/>
      <c r="F404" s="34"/>
      <c r="G404" s="34"/>
    </row>
    <row r="405" spans="1:7" hidden="1" x14ac:dyDescent="0.2">
      <c r="A405" s="18">
        <v>37739</v>
      </c>
      <c r="B405" s="34"/>
      <c r="C405" s="34"/>
      <c r="D405" s="34"/>
      <c r="E405" s="34"/>
      <c r="F405" s="34"/>
      <c r="G405" s="34"/>
    </row>
    <row r="406" spans="1:7" hidden="1" x14ac:dyDescent="0.2">
      <c r="A406" s="18">
        <v>37825</v>
      </c>
      <c r="B406" s="34"/>
      <c r="C406" s="34"/>
      <c r="D406" s="34"/>
      <c r="E406" s="34"/>
      <c r="F406" s="34"/>
      <c r="G406" s="34"/>
    </row>
    <row r="407" spans="1:7" hidden="1" x14ac:dyDescent="0.2">
      <c r="A407" s="18">
        <v>37888</v>
      </c>
      <c r="B407" s="34"/>
      <c r="C407" s="34"/>
      <c r="D407" s="34"/>
      <c r="E407" s="34"/>
      <c r="F407" s="34"/>
      <c r="G407" s="34"/>
    </row>
    <row r="408" spans="1:7" hidden="1" x14ac:dyDescent="0.2">
      <c r="A408" s="18">
        <v>37963</v>
      </c>
      <c r="B408" s="34"/>
      <c r="C408" s="34"/>
      <c r="D408" s="34"/>
      <c r="E408" s="34"/>
      <c r="F408" s="34"/>
      <c r="G408" s="34"/>
    </row>
    <row r="409" spans="1:7" hidden="1" x14ac:dyDescent="0.2">
      <c r="A409" s="18">
        <v>38012</v>
      </c>
      <c r="B409" s="34"/>
      <c r="C409" s="34"/>
      <c r="D409" s="34"/>
      <c r="E409" s="34"/>
      <c r="F409" s="34"/>
      <c r="G409" s="34"/>
    </row>
    <row r="410" spans="1:7" hidden="1" x14ac:dyDescent="0.2">
      <c r="A410" s="18">
        <v>38033</v>
      </c>
      <c r="B410" s="34"/>
      <c r="C410" s="34"/>
      <c r="D410" s="34"/>
      <c r="E410" s="34"/>
      <c r="F410" s="34"/>
      <c r="G410" s="34"/>
    </row>
    <row r="411" spans="1:7" hidden="1" x14ac:dyDescent="0.2">
      <c r="A411" s="18">
        <v>38271</v>
      </c>
      <c r="B411" s="34">
        <v>10</v>
      </c>
      <c r="C411" s="34"/>
      <c r="D411" s="34"/>
      <c r="E411" s="34"/>
      <c r="F411" s="34">
        <v>3</v>
      </c>
      <c r="G411" s="34">
        <v>7.3</v>
      </c>
    </row>
    <row r="412" spans="1:7" hidden="1" x14ac:dyDescent="0.2">
      <c r="A412" s="18">
        <v>38474</v>
      </c>
      <c r="B412" s="34"/>
      <c r="C412" s="34"/>
      <c r="D412" s="34"/>
      <c r="E412" s="34"/>
      <c r="F412" s="34"/>
      <c r="G412" s="34"/>
    </row>
    <row r="413" spans="1:7" hidden="1" x14ac:dyDescent="0.2">
      <c r="A413" s="18">
        <v>38896</v>
      </c>
      <c r="B413" s="34">
        <v>5.2</v>
      </c>
      <c r="C413" s="34"/>
      <c r="D413" s="34"/>
      <c r="E413" s="34"/>
      <c r="F413" s="34">
        <v>0.8</v>
      </c>
      <c r="G413" s="34">
        <v>1.6</v>
      </c>
    </row>
    <row r="414" spans="1:7" hidden="1" x14ac:dyDescent="0.2">
      <c r="A414" s="18">
        <v>40625</v>
      </c>
      <c r="B414" s="34">
        <v>2</v>
      </c>
      <c r="C414" s="34"/>
      <c r="D414" s="34"/>
      <c r="E414" s="34"/>
      <c r="F414" s="34">
        <v>8.4</v>
      </c>
      <c r="G414" s="34">
        <v>17.600000000000001</v>
      </c>
    </row>
    <row r="415" spans="1:7" hidden="1" x14ac:dyDescent="0.2">
      <c r="A415" s="18">
        <v>40716</v>
      </c>
      <c r="B415" s="34"/>
      <c r="C415" s="34"/>
      <c r="D415" s="34"/>
      <c r="E415" s="34"/>
      <c r="F415" s="34"/>
      <c r="G415" s="34"/>
    </row>
    <row r="416" spans="1:7" hidden="1" x14ac:dyDescent="0.2">
      <c r="A416" s="18">
        <v>40821</v>
      </c>
      <c r="B416" s="34">
        <v>5.2</v>
      </c>
      <c r="C416" s="34"/>
      <c r="D416" s="34"/>
      <c r="E416" s="34"/>
      <c r="F416" s="34">
        <v>2.8</v>
      </c>
      <c r="G416" s="34">
        <v>3.2</v>
      </c>
    </row>
    <row r="417" spans="1:7" hidden="1" x14ac:dyDescent="0.2">
      <c r="A417" s="18">
        <v>40897</v>
      </c>
      <c r="B417" s="34"/>
      <c r="C417" s="34"/>
      <c r="D417" s="34"/>
      <c r="E417" s="34"/>
      <c r="F417" s="34"/>
      <c r="G417" s="34"/>
    </row>
    <row r="418" spans="1:7" hidden="1" x14ac:dyDescent="0.2">
      <c r="A418" s="18">
        <v>41008</v>
      </c>
      <c r="B418" s="34">
        <v>26</v>
      </c>
      <c r="C418" s="34"/>
      <c r="D418" s="34"/>
      <c r="E418" s="34"/>
      <c r="F418" s="34">
        <v>18.670000000000002</v>
      </c>
      <c r="G418" s="34">
        <v>61.6</v>
      </c>
    </row>
    <row r="419" spans="1:7" hidden="1" x14ac:dyDescent="0.2">
      <c r="A419" s="18">
        <v>41086</v>
      </c>
      <c r="B419" s="34"/>
      <c r="C419" s="34"/>
      <c r="D419" s="34"/>
      <c r="E419" s="34"/>
      <c r="F419" s="34"/>
      <c r="G419" s="34"/>
    </row>
    <row r="420" spans="1:7" hidden="1" x14ac:dyDescent="0.2">
      <c r="A420" s="18">
        <v>41179</v>
      </c>
      <c r="B420" s="34">
        <v>9.6</v>
      </c>
      <c r="C420" s="34"/>
      <c r="D420" s="34"/>
      <c r="E420" s="34"/>
      <c r="F420" s="34">
        <v>2.4</v>
      </c>
      <c r="G420" s="34">
        <v>5.6</v>
      </c>
    </row>
    <row r="421" spans="1:7" hidden="1" x14ac:dyDescent="0.2">
      <c r="A421" s="18">
        <v>41247</v>
      </c>
      <c r="B421" s="34"/>
      <c r="C421" s="34"/>
      <c r="D421" s="34"/>
      <c r="E421" s="34"/>
      <c r="F421" s="34"/>
      <c r="G421" s="34"/>
    </row>
    <row r="422" spans="1:7" hidden="1" x14ac:dyDescent="0.2">
      <c r="A422" s="18">
        <v>41352</v>
      </c>
      <c r="B422" s="34">
        <v>1.2</v>
      </c>
      <c r="C422" s="34"/>
      <c r="D422" s="34"/>
      <c r="E422" s="34"/>
      <c r="F422" s="34">
        <v>2</v>
      </c>
      <c r="G422" s="34">
        <v>6</v>
      </c>
    </row>
    <row r="423" spans="1:7" hidden="1" x14ac:dyDescent="0.2">
      <c r="A423" s="18">
        <v>41445</v>
      </c>
      <c r="B423" s="34"/>
      <c r="C423" s="34"/>
      <c r="D423" s="34"/>
      <c r="E423" s="34"/>
      <c r="F423" s="34"/>
      <c r="G423" s="34"/>
    </row>
    <row r="424" spans="1:7" hidden="1" x14ac:dyDescent="0.2">
      <c r="A424" s="18">
        <v>41528</v>
      </c>
      <c r="B424" s="34">
        <v>12.8</v>
      </c>
      <c r="C424" s="34"/>
      <c r="D424" s="34"/>
      <c r="E424" s="34"/>
      <c r="F424" s="34">
        <v>45.2</v>
      </c>
      <c r="G424" s="34">
        <v>18.8</v>
      </c>
    </row>
    <row r="425" spans="1:7" hidden="1" x14ac:dyDescent="0.2">
      <c r="A425" s="18">
        <v>41670</v>
      </c>
      <c r="B425" s="34"/>
      <c r="C425" s="34"/>
      <c r="D425" s="34"/>
      <c r="E425" s="34"/>
      <c r="F425" s="34"/>
      <c r="G425" s="34"/>
    </row>
    <row r="426" spans="1:7" hidden="1" x14ac:dyDescent="0.2">
      <c r="A426" s="18">
        <v>41758</v>
      </c>
      <c r="B426" s="34">
        <v>10.4</v>
      </c>
      <c r="C426" s="34"/>
      <c r="D426" s="34"/>
      <c r="E426" s="34"/>
      <c r="F426" s="34">
        <v>11.6</v>
      </c>
      <c r="G426" s="34">
        <v>12.4</v>
      </c>
    </row>
    <row r="427" spans="1:7" hidden="1" x14ac:dyDescent="0.2">
      <c r="A427" s="18">
        <v>41835</v>
      </c>
      <c r="B427" s="34"/>
      <c r="C427" s="34"/>
      <c r="D427" s="34"/>
      <c r="E427" s="34"/>
      <c r="F427" s="34"/>
      <c r="G427" s="34"/>
    </row>
    <row r="428" spans="1:7" hidden="1" x14ac:dyDescent="0.2">
      <c r="A428" s="18">
        <v>42031</v>
      </c>
      <c r="B428" s="34"/>
      <c r="C428" s="34"/>
      <c r="D428" s="34"/>
      <c r="E428" s="34"/>
      <c r="F428" s="34"/>
      <c r="G428" s="34"/>
    </row>
    <row r="429" spans="1:7" hidden="1" x14ac:dyDescent="0.2">
      <c r="A429" s="18">
        <v>42094</v>
      </c>
      <c r="B429" s="34">
        <v>34</v>
      </c>
      <c r="C429" s="34"/>
      <c r="D429" s="34"/>
      <c r="E429" s="34"/>
      <c r="F429" s="34">
        <v>6</v>
      </c>
      <c r="G429" s="34">
        <v>40.4</v>
      </c>
    </row>
    <row r="430" spans="1:7" hidden="1" x14ac:dyDescent="0.2">
      <c r="A430" s="18">
        <v>42192</v>
      </c>
      <c r="B430" s="34"/>
      <c r="C430" s="34"/>
      <c r="D430" s="34"/>
      <c r="E430" s="34"/>
      <c r="F430" s="34"/>
      <c r="G430" s="34"/>
    </row>
    <row r="431" spans="1:7" hidden="1" x14ac:dyDescent="0.2">
      <c r="A431" s="18">
        <v>42290</v>
      </c>
      <c r="B431" s="34">
        <v>11.6</v>
      </c>
      <c r="C431" s="34"/>
      <c r="D431" s="34"/>
      <c r="E431" s="34"/>
      <c r="F431" s="34">
        <v>8</v>
      </c>
      <c r="G431" s="34">
        <v>10</v>
      </c>
    </row>
    <row r="432" spans="1:7" hidden="1" x14ac:dyDescent="0.2">
      <c r="A432" s="18">
        <v>42381</v>
      </c>
      <c r="B432" s="34"/>
      <c r="C432" s="34"/>
      <c r="D432" s="34"/>
      <c r="E432" s="34"/>
      <c r="F432" s="34"/>
      <c r="G432" s="34"/>
    </row>
    <row r="433" spans="1:7" hidden="1" x14ac:dyDescent="0.2">
      <c r="A433" s="18">
        <v>42479</v>
      </c>
      <c r="B433" s="34">
        <v>18.399999999999999</v>
      </c>
      <c r="C433" s="34"/>
      <c r="D433" s="34"/>
      <c r="E433" s="34"/>
      <c r="F433" s="34">
        <v>3.6</v>
      </c>
      <c r="G433" s="34">
        <v>2.8</v>
      </c>
    </row>
    <row r="434" spans="1:7" hidden="1" x14ac:dyDescent="0.2">
      <c r="A434" s="18">
        <v>42570</v>
      </c>
      <c r="B434" s="34"/>
      <c r="C434" s="34"/>
      <c r="D434" s="34"/>
      <c r="E434" s="34"/>
      <c r="F434" s="34"/>
      <c r="G434" s="34"/>
    </row>
    <row r="435" spans="1:7" hidden="1" x14ac:dyDescent="0.2">
      <c r="A435" s="18">
        <v>42654</v>
      </c>
      <c r="B435" s="34">
        <v>3.2</v>
      </c>
      <c r="C435" s="34"/>
      <c r="D435" s="34"/>
      <c r="E435" s="34"/>
      <c r="F435" s="34">
        <v>14.8</v>
      </c>
      <c r="G435" s="34">
        <v>7.6</v>
      </c>
    </row>
    <row r="436" spans="1:7" hidden="1" x14ac:dyDescent="0.2">
      <c r="A436" s="18">
        <v>42745</v>
      </c>
      <c r="B436" s="34"/>
      <c r="C436" s="34"/>
      <c r="D436" s="34"/>
      <c r="E436" s="34"/>
      <c r="F436" s="34"/>
      <c r="G436" s="34"/>
    </row>
    <row r="437" spans="1:7" hidden="1" x14ac:dyDescent="0.2">
      <c r="A437" s="18">
        <v>42843</v>
      </c>
      <c r="B437" s="34">
        <v>3.6</v>
      </c>
      <c r="C437" s="34"/>
      <c r="D437" s="34"/>
      <c r="E437" s="34"/>
      <c r="F437" s="34">
        <v>2.8</v>
      </c>
      <c r="G437" s="34">
        <v>7.6</v>
      </c>
    </row>
    <row r="438" spans="1:7" hidden="1" x14ac:dyDescent="0.2">
      <c r="A438" s="18">
        <v>42934</v>
      </c>
      <c r="B438" s="34"/>
      <c r="C438" s="34"/>
      <c r="D438" s="34"/>
      <c r="E438" s="34"/>
      <c r="F438" s="34"/>
      <c r="G438" s="34"/>
    </row>
    <row r="439" spans="1:7" hidden="1" x14ac:dyDescent="0.2">
      <c r="A439" s="18">
        <v>43025</v>
      </c>
      <c r="B439" s="34">
        <v>10</v>
      </c>
      <c r="C439" s="34"/>
      <c r="D439" s="34"/>
      <c r="E439" s="34"/>
      <c r="F439" s="34">
        <v>10.4</v>
      </c>
      <c r="G439" s="34">
        <v>12</v>
      </c>
    </row>
    <row r="440" spans="1:7" hidden="1" x14ac:dyDescent="0.2">
      <c r="A440" s="18">
        <v>43109</v>
      </c>
      <c r="B440" s="34">
        <v>8.4</v>
      </c>
      <c r="C440" s="34"/>
      <c r="D440" s="34"/>
      <c r="E440" s="34"/>
      <c r="F440" s="34">
        <v>6.8</v>
      </c>
      <c r="G440" s="34">
        <v>3.2</v>
      </c>
    </row>
    <row r="441" spans="1:7" hidden="1" x14ac:dyDescent="0.2">
      <c r="A441" s="18">
        <v>43193</v>
      </c>
      <c r="B441" s="34">
        <v>8</v>
      </c>
      <c r="C441" s="34"/>
      <c r="D441" s="34"/>
      <c r="E441" s="34"/>
      <c r="F441" s="34">
        <v>12</v>
      </c>
      <c r="G441" s="34">
        <v>10.4</v>
      </c>
    </row>
    <row r="442" spans="1:7" hidden="1" x14ac:dyDescent="0.2">
      <c r="A442" s="18">
        <v>43298</v>
      </c>
      <c r="B442" s="34"/>
      <c r="C442" s="34"/>
      <c r="D442" s="34"/>
      <c r="E442" s="34"/>
      <c r="F442" s="34"/>
      <c r="G442" s="34"/>
    </row>
    <row r="443" spans="1:7" hidden="1" x14ac:dyDescent="0.2">
      <c r="A443" s="18">
        <v>43403</v>
      </c>
      <c r="B443" s="34">
        <v>4.4000000000000004</v>
      </c>
      <c r="C443" s="34"/>
      <c r="D443" s="34"/>
      <c r="E443" s="34"/>
      <c r="F443" s="34">
        <v>13.6</v>
      </c>
      <c r="G443" s="34">
        <v>8.4</v>
      </c>
    </row>
    <row r="444" spans="1:7" hidden="1" x14ac:dyDescent="0.2">
      <c r="A444" s="18">
        <v>43487</v>
      </c>
      <c r="B444" s="34"/>
      <c r="C444" s="34"/>
      <c r="D444" s="34"/>
      <c r="E444" s="34"/>
      <c r="F444" s="34"/>
      <c r="G444" s="34"/>
    </row>
    <row r="445" spans="1:7" hidden="1" x14ac:dyDescent="0.2">
      <c r="A445" s="18">
        <v>43578</v>
      </c>
      <c r="B445" s="34">
        <v>18.399999999999999</v>
      </c>
      <c r="C445" s="34"/>
      <c r="D445" s="34"/>
      <c r="E445" s="34"/>
      <c r="F445" s="34">
        <v>18.399999999999999</v>
      </c>
      <c r="G445" s="34">
        <v>22.8</v>
      </c>
    </row>
    <row r="446" spans="1:7" hidden="1" x14ac:dyDescent="0.2">
      <c r="A446" s="18">
        <v>43704</v>
      </c>
      <c r="B446" s="34"/>
      <c r="C446" s="34"/>
      <c r="D446" s="34"/>
      <c r="E446" s="34"/>
      <c r="F446" s="34"/>
      <c r="G446" s="34"/>
    </row>
    <row r="447" spans="1:7" hidden="1" x14ac:dyDescent="0.2">
      <c r="A447" s="18">
        <v>43760</v>
      </c>
      <c r="B447" s="34">
        <v>8.5</v>
      </c>
      <c r="C447" s="34"/>
      <c r="D447" s="34"/>
      <c r="E447" s="34"/>
      <c r="F447" s="34">
        <v>10</v>
      </c>
      <c r="G447" s="34">
        <v>11</v>
      </c>
    </row>
    <row r="448" spans="1:7" hidden="1" x14ac:dyDescent="0.2">
      <c r="A448" s="18">
        <v>44021</v>
      </c>
      <c r="B448" s="34">
        <v>4.8</v>
      </c>
      <c r="C448" s="34"/>
      <c r="D448" s="34"/>
      <c r="E448" s="34"/>
      <c r="F448" s="34">
        <v>0</v>
      </c>
      <c r="G448" s="34">
        <v>6.8</v>
      </c>
    </row>
    <row r="449" spans="1:7" hidden="1" x14ac:dyDescent="0.2"/>
    <row r="450" spans="1:7" hidden="1" x14ac:dyDescent="0.2"/>
    <row r="451" spans="1:7" hidden="1" x14ac:dyDescent="0.2">
      <c r="A451" s="34"/>
      <c r="B451" s="36" t="s">
        <v>74</v>
      </c>
      <c r="C451" s="191"/>
      <c r="D451" s="191"/>
      <c r="E451" s="191"/>
    </row>
    <row r="452" spans="1:7" hidden="1" x14ac:dyDescent="0.2">
      <c r="A452" s="34"/>
      <c r="B452" s="29" t="s">
        <v>75</v>
      </c>
      <c r="C452" s="192"/>
      <c r="D452" s="192"/>
      <c r="E452" s="192"/>
    </row>
    <row r="453" spans="1:7" hidden="1" x14ac:dyDescent="0.2">
      <c r="A453" s="12" t="s">
        <v>7</v>
      </c>
      <c r="B453" s="78" t="s">
        <v>9</v>
      </c>
      <c r="C453" s="78"/>
      <c r="D453" s="78"/>
      <c r="E453" s="78"/>
      <c r="F453" s="76" t="s">
        <v>11</v>
      </c>
      <c r="G453" s="75" t="s">
        <v>12</v>
      </c>
    </row>
    <row r="454" spans="1:7" hidden="1" x14ac:dyDescent="0.2">
      <c r="A454" s="18">
        <v>37046</v>
      </c>
      <c r="B454" s="34"/>
      <c r="C454" s="34"/>
      <c r="D454" s="34"/>
      <c r="E454" s="34"/>
      <c r="F454" s="34"/>
      <c r="G454" s="34"/>
    </row>
    <row r="455" spans="1:7" hidden="1" x14ac:dyDescent="0.2">
      <c r="A455" s="18">
        <v>37076</v>
      </c>
      <c r="B455" s="34">
        <v>169.7</v>
      </c>
      <c r="C455" s="34"/>
      <c r="D455" s="34"/>
      <c r="E455" s="34"/>
      <c r="F455" s="34">
        <v>218.2</v>
      </c>
      <c r="G455" s="34">
        <v>240.2</v>
      </c>
    </row>
    <row r="456" spans="1:7" hidden="1" x14ac:dyDescent="0.2">
      <c r="A456" s="18">
        <v>37335</v>
      </c>
      <c r="B456" s="34">
        <v>257.2</v>
      </c>
      <c r="C456" s="34"/>
      <c r="D456" s="34"/>
      <c r="E456" s="34"/>
      <c r="F456" s="34">
        <v>821.7</v>
      </c>
      <c r="G456" s="34">
        <v>1111</v>
      </c>
    </row>
    <row r="457" spans="1:7" hidden="1" x14ac:dyDescent="0.2">
      <c r="A457" s="18">
        <v>37566</v>
      </c>
      <c r="B457" s="34"/>
      <c r="C457" s="34"/>
      <c r="D457" s="34"/>
      <c r="E457" s="34"/>
      <c r="F457" s="34"/>
      <c r="G457" s="34"/>
    </row>
    <row r="458" spans="1:7" hidden="1" x14ac:dyDescent="0.2">
      <c r="A458" s="18">
        <v>37594</v>
      </c>
      <c r="B458" s="34"/>
      <c r="C458" s="34"/>
      <c r="D458" s="34"/>
      <c r="E458" s="34"/>
      <c r="F458" s="34"/>
      <c r="G458" s="34"/>
    </row>
    <row r="459" spans="1:7" hidden="1" x14ac:dyDescent="0.2">
      <c r="A459" s="18">
        <v>37711</v>
      </c>
      <c r="B459" s="34"/>
      <c r="C459" s="34"/>
      <c r="D459" s="34"/>
      <c r="E459" s="34"/>
      <c r="F459" s="34"/>
      <c r="G459" s="34"/>
    </row>
    <row r="460" spans="1:7" hidden="1" x14ac:dyDescent="0.2">
      <c r="A460" s="18">
        <v>37739</v>
      </c>
      <c r="B460" s="34"/>
      <c r="C460" s="34"/>
      <c r="D460" s="34"/>
      <c r="E460" s="34"/>
      <c r="F460" s="34"/>
      <c r="G460" s="34"/>
    </row>
    <row r="461" spans="1:7" hidden="1" x14ac:dyDescent="0.2">
      <c r="A461" s="18">
        <v>37825</v>
      </c>
      <c r="B461" s="34"/>
      <c r="C461" s="34"/>
      <c r="D461" s="34"/>
      <c r="E461" s="34"/>
      <c r="F461" s="34"/>
      <c r="G461" s="34"/>
    </row>
    <row r="462" spans="1:7" hidden="1" x14ac:dyDescent="0.2">
      <c r="A462" s="18">
        <v>37888</v>
      </c>
      <c r="B462" s="34"/>
      <c r="C462" s="34"/>
      <c r="D462" s="34"/>
      <c r="E462" s="34"/>
      <c r="F462" s="34"/>
      <c r="G462" s="34"/>
    </row>
    <row r="463" spans="1:7" hidden="1" x14ac:dyDescent="0.2">
      <c r="A463" s="18">
        <v>37963</v>
      </c>
      <c r="B463" s="34"/>
      <c r="C463" s="34"/>
      <c r="D463" s="34"/>
      <c r="E463" s="34"/>
      <c r="F463" s="34"/>
      <c r="G463" s="34"/>
    </row>
    <row r="464" spans="1:7" hidden="1" x14ac:dyDescent="0.2">
      <c r="A464" s="18">
        <v>38012</v>
      </c>
      <c r="B464" s="34"/>
      <c r="C464" s="34"/>
      <c r="D464" s="34"/>
      <c r="E464" s="34"/>
      <c r="F464" s="34"/>
      <c r="G464" s="34"/>
    </row>
    <row r="465" spans="1:7" hidden="1" x14ac:dyDescent="0.2">
      <c r="A465" s="18">
        <v>38033</v>
      </c>
      <c r="B465" s="34"/>
      <c r="C465" s="34"/>
      <c r="D465" s="34"/>
      <c r="E465" s="34"/>
      <c r="F465" s="34"/>
      <c r="G465" s="34"/>
    </row>
    <row r="466" spans="1:7" hidden="1" x14ac:dyDescent="0.2">
      <c r="A466" s="18">
        <v>38271</v>
      </c>
      <c r="B466" s="34">
        <v>253.6</v>
      </c>
      <c r="C466" s="34"/>
      <c r="D466" s="34"/>
      <c r="E466" s="34"/>
      <c r="F466" s="34">
        <v>228.3</v>
      </c>
      <c r="G466" s="34">
        <v>1405</v>
      </c>
    </row>
    <row r="467" spans="1:7" hidden="1" x14ac:dyDescent="0.2">
      <c r="A467" s="18">
        <v>38474</v>
      </c>
      <c r="B467" s="34"/>
      <c r="C467" s="34"/>
      <c r="D467" s="34"/>
      <c r="E467" s="34"/>
      <c r="F467" s="34"/>
      <c r="G467" s="34"/>
    </row>
    <row r="468" spans="1:7" hidden="1" x14ac:dyDescent="0.2">
      <c r="A468" s="18">
        <v>38896</v>
      </c>
      <c r="B468" s="34">
        <v>207</v>
      </c>
      <c r="C468" s="34"/>
      <c r="D468" s="34"/>
      <c r="E468" s="34"/>
      <c r="F468" s="34">
        <v>30</v>
      </c>
      <c r="G468" s="34">
        <v>30</v>
      </c>
    </row>
    <row r="469" spans="1:7" hidden="1" x14ac:dyDescent="0.2">
      <c r="A469" s="18">
        <v>40625</v>
      </c>
      <c r="B469" s="34">
        <v>1965</v>
      </c>
      <c r="C469" s="34"/>
      <c r="D469" s="34"/>
      <c r="E469" s="34"/>
      <c r="F469" s="34">
        <v>3932</v>
      </c>
      <c r="G469" s="34">
        <v>7656</v>
      </c>
    </row>
    <row r="470" spans="1:7" hidden="1" x14ac:dyDescent="0.2">
      <c r="A470" s="18">
        <v>40716</v>
      </c>
      <c r="B470" s="34"/>
      <c r="C470" s="34"/>
      <c r="D470" s="34"/>
      <c r="E470" s="34"/>
      <c r="F470" s="34"/>
      <c r="G470" s="34"/>
    </row>
    <row r="471" spans="1:7" hidden="1" x14ac:dyDescent="0.2">
      <c r="A471" s="18">
        <v>40821</v>
      </c>
      <c r="B471" s="34">
        <v>20140</v>
      </c>
      <c r="C471" s="34"/>
      <c r="D471" s="34"/>
      <c r="E471" s="34"/>
      <c r="F471" s="34">
        <v>17020</v>
      </c>
      <c r="G471" s="34">
        <v>16970</v>
      </c>
    </row>
    <row r="472" spans="1:7" hidden="1" x14ac:dyDescent="0.2">
      <c r="A472" s="18">
        <v>40897</v>
      </c>
      <c r="B472" s="34"/>
      <c r="C472" s="34"/>
      <c r="D472" s="34"/>
      <c r="E472" s="34"/>
      <c r="F472" s="34"/>
      <c r="G472" s="34"/>
    </row>
    <row r="473" spans="1:7" hidden="1" x14ac:dyDescent="0.2">
      <c r="A473" s="18">
        <v>41008</v>
      </c>
      <c r="B473" s="34">
        <v>1149</v>
      </c>
      <c r="C473" s="34"/>
      <c r="D473" s="34"/>
      <c r="E473" s="34"/>
      <c r="F473" s="34">
        <v>64810</v>
      </c>
      <c r="G473" s="34">
        <v>8639</v>
      </c>
    </row>
    <row r="474" spans="1:7" hidden="1" x14ac:dyDescent="0.2">
      <c r="A474" s="18">
        <v>41086</v>
      </c>
      <c r="B474" s="34"/>
      <c r="C474" s="34"/>
      <c r="D474" s="34"/>
      <c r="E474" s="34"/>
      <c r="F474" s="34"/>
      <c r="G474" s="34"/>
    </row>
    <row r="475" spans="1:7" hidden="1" x14ac:dyDescent="0.2">
      <c r="A475" s="18">
        <v>41179</v>
      </c>
      <c r="B475" s="34">
        <v>35.1</v>
      </c>
      <c r="C475" s="34"/>
      <c r="D475" s="34"/>
      <c r="E475" s="34"/>
      <c r="F475" s="34">
        <v>86.2</v>
      </c>
      <c r="G475" s="34">
        <v>58.1</v>
      </c>
    </row>
    <row r="476" spans="1:7" hidden="1" x14ac:dyDescent="0.2">
      <c r="A476" s="18">
        <v>41247</v>
      </c>
      <c r="B476" s="34"/>
      <c r="C476" s="34"/>
      <c r="D476" s="34"/>
      <c r="E476" s="34"/>
      <c r="F476" s="34"/>
      <c r="G476" s="34"/>
    </row>
    <row r="477" spans="1:7" hidden="1" x14ac:dyDescent="0.2">
      <c r="A477" s="18">
        <v>41352</v>
      </c>
      <c r="B477" s="34">
        <v>13354</v>
      </c>
      <c r="C477" s="34"/>
      <c r="D477" s="34"/>
      <c r="E477" s="34"/>
      <c r="F477" s="34">
        <v>10413.700000000001</v>
      </c>
      <c r="G477" s="34">
        <v>12837</v>
      </c>
    </row>
    <row r="478" spans="1:7" hidden="1" x14ac:dyDescent="0.2">
      <c r="A478" s="18">
        <v>41445</v>
      </c>
      <c r="B478" s="34"/>
      <c r="C478" s="34"/>
      <c r="D478" s="34"/>
      <c r="E478" s="34"/>
      <c r="F478" s="34"/>
      <c r="G478" s="34"/>
    </row>
    <row r="479" spans="1:7" hidden="1" x14ac:dyDescent="0.2">
      <c r="A479" s="18">
        <v>41528</v>
      </c>
      <c r="B479" s="34">
        <v>93.6</v>
      </c>
      <c r="C479" s="34"/>
      <c r="D479" s="34"/>
      <c r="E479" s="34"/>
      <c r="F479" s="34">
        <v>55.6</v>
      </c>
      <c r="G479" s="34">
        <v>102.3</v>
      </c>
    </row>
    <row r="480" spans="1:7" hidden="1" x14ac:dyDescent="0.2">
      <c r="A480" s="18">
        <v>41670</v>
      </c>
      <c r="B480" s="34"/>
      <c r="C480" s="34"/>
      <c r="D480" s="34"/>
      <c r="E480" s="34"/>
      <c r="F480" s="34"/>
      <c r="G480" s="34"/>
    </row>
    <row r="481" spans="1:7" hidden="1" x14ac:dyDescent="0.2">
      <c r="A481" s="18">
        <v>41758</v>
      </c>
      <c r="B481" s="34">
        <v>827</v>
      </c>
      <c r="C481" s="34"/>
      <c r="D481" s="34"/>
      <c r="E481" s="34"/>
      <c r="F481" s="34">
        <v>916.2</v>
      </c>
      <c r="G481" s="34">
        <v>2808.3</v>
      </c>
    </row>
    <row r="482" spans="1:7" hidden="1" x14ac:dyDescent="0.2">
      <c r="A482" s="18">
        <v>41835</v>
      </c>
      <c r="B482" s="34"/>
      <c r="C482" s="34"/>
      <c r="D482" s="34"/>
      <c r="E482" s="34"/>
      <c r="F482" s="34"/>
      <c r="G482" s="34"/>
    </row>
    <row r="483" spans="1:7" hidden="1" x14ac:dyDescent="0.2">
      <c r="A483" s="18">
        <v>42031</v>
      </c>
      <c r="B483" s="34"/>
      <c r="C483" s="34"/>
      <c r="D483" s="34"/>
      <c r="E483" s="34"/>
      <c r="F483" s="34"/>
      <c r="G483" s="34"/>
    </row>
    <row r="484" spans="1:7" hidden="1" x14ac:dyDescent="0.2">
      <c r="A484" s="18">
        <v>42094</v>
      </c>
      <c r="B484" s="34">
        <v>4583.7</v>
      </c>
      <c r="C484" s="34"/>
      <c r="D484" s="34"/>
      <c r="E484" s="34"/>
      <c r="F484" s="34">
        <v>9566.7000000000007</v>
      </c>
      <c r="G484" s="34">
        <v>19096</v>
      </c>
    </row>
    <row r="485" spans="1:7" hidden="1" x14ac:dyDescent="0.2">
      <c r="A485" s="18">
        <v>42192</v>
      </c>
      <c r="B485" s="34"/>
      <c r="C485" s="34"/>
      <c r="D485" s="34"/>
      <c r="E485" s="34"/>
      <c r="F485" s="34"/>
      <c r="G485" s="34"/>
    </row>
    <row r="486" spans="1:7" hidden="1" x14ac:dyDescent="0.2">
      <c r="A486" s="18">
        <v>42290</v>
      </c>
      <c r="B486" s="34">
        <v>119.1</v>
      </c>
      <c r="C486" s="34"/>
      <c r="D486" s="34"/>
      <c r="E486" s="34"/>
      <c r="F486" s="34">
        <v>302.10000000000002</v>
      </c>
      <c r="G486" s="34">
        <v>200.5</v>
      </c>
    </row>
    <row r="487" spans="1:7" hidden="1" x14ac:dyDescent="0.2">
      <c r="A487" s="18">
        <v>42381</v>
      </c>
      <c r="B487" s="34"/>
      <c r="C487" s="34"/>
      <c r="D487" s="34"/>
      <c r="E487" s="34"/>
      <c r="F487" s="34"/>
      <c r="G487" s="34"/>
    </row>
    <row r="488" spans="1:7" hidden="1" x14ac:dyDescent="0.2">
      <c r="A488" s="18">
        <v>42479</v>
      </c>
      <c r="B488" s="34">
        <v>1250.7</v>
      </c>
      <c r="C488" s="34"/>
      <c r="D488" s="34"/>
      <c r="E488" s="34"/>
      <c r="F488" s="34">
        <v>1109.9000000000001</v>
      </c>
      <c r="G488" s="34">
        <v>1636.8</v>
      </c>
    </row>
    <row r="489" spans="1:7" hidden="1" x14ac:dyDescent="0.2">
      <c r="A489" s="18">
        <v>42570</v>
      </c>
      <c r="B489" s="34"/>
      <c r="C489" s="34"/>
      <c r="D489" s="34"/>
      <c r="E489" s="34"/>
      <c r="F489" s="34"/>
      <c r="G489" s="34"/>
    </row>
    <row r="490" spans="1:7" hidden="1" x14ac:dyDescent="0.2">
      <c r="A490" s="18">
        <v>42654</v>
      </c>
      <c r="B490" s="34">
        <v>1634.6</v>
      </c>
      <c r="C490" s="34"/>
      <c r="D490" s="34"/>
      <c r="E490" s="34"/>
      <c r="F490" s="34">
        <v>1195.7</v>
      </c>
      <c r="G490" s="34">
        <v>921.7</v>
      </c>
    </row>
    <row r="491" spans="1:7" hidden="1" x14ac:dyDescent="0.2">
      <c r="A491" s="18">
        <v>42745</v>
      </c>
      <c r="B491" s="34">
        <v>6098.4</v>
      </c>
      <c r="C491" s="34"/>
      <c r="D491" s="34"/>
      <c r="E491" s="34"/>
      <c r="F491" s="34">
        <v>9938.5</v>
      </c>
      <c r="G491" s="34">
        <v>9901.1</v>
      </c>
    </row>
    <row r="492" spans="1:7" hidden="1" x14ac:dyDescent="0.2">
      <c r="A492" s="18">
        <v>42843</v>
      </c>
      <c r="B492" s="34">
        <v>1394.8</v>
      </c>
      <c r="C492" s="34"/>
      <c r="D492" s="34"/>
      <c r="E492" s="34"/>
      <c r="F492" s="34">
        <v>1276</v>
      </c>
      <c r="G492" s="34">
        <v>2392.5</v>
      </c>
    </row>
    <row r="493" spans="1:7" hidden="1" x14ac:dyDescent="0.2">
      <c r="A493" s="18">
        <v>42934</v>
      </c>
      <c r="B493" s="34"/>
      <c r="C493" s="34"/>
      <c r="D493" s="34"/>
      <c r="E493" s="34"/>
      <c r="F493" s="34"/>
      <c r="G493" s="34"/>
    </row>
    <row r="494" spans="1:7" hidden="1" x14ac:dyDescent="0.2">
      <c r="A494" s="18">
        <v>43025</v>
      </c>
      <c r="B494" s="34">
        <v>294.8</v>
      </c>
      <c r="C494" s="34"/>
      <c r="D494" s="34"/>
      <c r="E494" s="34"/>
      <c r="F494" s="34">
        <v>149.69999999999999</v>
      </c>
      <c r="G494" s="34">
        <v>260.2</v>
      </c>
    </row>
    <row r="495" spans="1:7" hidden="1" x14ac:dyDescent="0.2">
      <c r="A495" s="18">
        <v>43109</v>
      </c>
      <c r="B495" s="34">
        <v>1400.3</v>
      </c>
      <c r="C495" s="34"/>
      <c r="D495" s="34"/>
      <c r="E495" s="34"/>
      <c r="F495" s="34">
        <v>1269.4000000000001</v>
      </c>
      <c r="G495" s="34">
        <v>1361.8</v>
      </c>
    </row>
    <row r="496" spans="1:7" hidden="1" x14ac:dyDescent="0.2">
      <c r="A496" s="18">
        <v>43193</v>
      </c>
      <c r="B496" s="34">
        <v>8384.2000000000007</v>
      </c>
      <c r="C496" s="34"/>
      <c r="D496" s="34"/>
      <c r="E496" s="34"/>
      <c r="F496" s="34">
        <v>7751.7</v>
      </c>
      <c r="G496" s="34">
        <v>10785.5</v>
      </c>
    </row>
    <row r="497" spans="1:7" hidden="1" x14ac:dyDescent="0.2">
      <c r="A497" s="18">
        <v>43298</v>
      </c>
      <c r="B497" s="34"/>
      <c r="C497" s="34"/>
      <c r="D497" s="34"/>
      <c r="E497" s="34"/>
      <c r="F497" s="34"/>
      <c r="G497" s="34"/>
    </row>
    <row r="498" spans="1:7" hidden="1" x14ac:dyDescent="0.2">
      <c r="A498" s="18">
        <v>43403</v>
      </c>
      <c r="B498" s="34">
        <v>608.29999999999995</v>
      </c>
      <c r="C498" s="34"/>
      <c r="D498" s="34"/>
      <c r="E498" s="34"/>
      <c r="F498" s="34">
        <v>485.8</v>
      </c>
      <c r="G498" s="34">
        <v>648.20000000000005</v>
      </c>
    </row>
    <row r="499" spans="1:7" hidden="1" x14ac:dyDescent="0.2">
      <c r="A499" s="18">
        <v>43487</v>
      </c>
      <c r="B499" s="34"/>
      <c r="C499" s="34"/>
      <c r="D499" s="34"/>
      <c r="E499" s="34"/>
      <c r="F499" s="34"/>
      <c r="G499" s="34"/>
    </row>
    <row r="500" spans="1:7" hidden="1" x14ac:dyDescent="0.2">
      <c r="A500" s="18">
        <v>43578</v>
      </c>
      <c r="B500" s="34">
        <v>14157</v>
      </c>
      <c r="C500" s="34"/>
      <c r="D500" s="34"/>
      <c r="E500" s="34"/>
      <c r="F500" s="34">
        <v>10436.799999999999</v>
      </c>
      <c r="G500" s="34">
        <v>11979</v>
      </c>
    </row>
    <row r="501" spans="1:7" hidden="1" x14ac:dyDescent="0.2">
      <c r="A501" s="18">
        <v>43704</v>
      </c>
      <c r="B501" s="34"/>
      <c r="C501" s="34"/>
      <c r="D501" s="34"/>
      <c r="E501" s="34"/>
      <c r="F501" s="34"/>
      <c r="G501" s="34"/>
    </row>
    <row r="502" spans="1:7" hidden="1" x14ac:dyDescent="0.2">
      <c r="A502" s="18">
        <v>43760</v>
      </c>
      <c r="B502" s="34">
        <v>3008.5</v>
      </c>
      <c r="C502" s="34"/>
      <c r="D502" s="34"/>
      <c r="E502" s="34"/>
      <c r="F502" s="34">
        <v>3173.5</v>
      </c>
      <c r="G502" s="34">
        <v>4551.8</v>
      </c>
    </row>
    <row r="503" spans="1:7" hidden="1" x14ac:dyDescent="0.2">
      <c r="A503" s="18">
        <v>44021</v>
      </c>
      <c r="B503" s="34">
        <v>807.84</v>
      </c>
      <c r="C503" s="34"/>
      <c r="D503" s="34"/>
      <c r="E503" s="34"/>
      <c r="F503" s="34">
        <v>719.62</v>
      </c>
      <c r="G503" s="34">
        <v>1325.5</v>
      </c>
    </row>
    <row r="504" spans="1:7" hidden="1" x14ac:dyDescent="0.2"/>
    <row r="505" spans="1:7" hidden="1" x14ac:dyDescent="0.2"/>
    <row r="506" spans="1:7" hidden="1" x14ac:dyDescent="0.2">
      <c r="A506" s="34"/>
      <c r="B506" s="36" t="s">
        <v>79</v>
      </c>
      <c r="C506" s="191"/>
      <c r="D506" s="191"/>
      <c r="E506" s="191"/>
    </row>
    <row r="507" spans="1:7" hidden="1" x14ac:dyDescent="0.2">
      <c r="A507" s="34"/>
      <c r="B507" s="29" t="s">
        <v>75</v>
      </c>
      <c r="C507" s="192"/>
      <c r="D507" s="192"/>
      <c r="E507" s="192"/>
    </row>
    <row r="508" spans="1:7" hidden="1" x14ac:dyDescent="0.2">
      <c r="A508" s="12" t="s">
        <v>7</v>
      </c>
      <c r="B508" s="78" t="s">
        <v>9</v>
      </c>
      <c r="C508" s="78"/>
      <c r="D508" s="78"/>
      <c r="E508" s="78"/>
      <c r="F508" s="76" t="s">
        <v>11</v>
      </c>
      <c r="G508" s="75" t="s">
        <v>12</v>
      </c>
    </row>
    <row r="509" spans="1:7" hidden="1" x14ac:dyDescent="0.2">
      <c r="A509" s="18">
        <v>37046</v>
      </c>
      <c r="B509" s="34">
        <v>0.5</v>
      </c>
      <c r="C509" s="34"/>
      <c r="D509" s="34"/>
      <c r="E509" s="34"/>
      <c r="F509" s="34">
        <v>0.5</v>
      </c>
      <c r="G509" s="34">
        <v>0.5</v>
      </c>
    </row>
    <row r="510" spans="1:7" hidden="1" x14ac:dyDescent="0.2">
      <c r="A510" s="18">
        <v>37076</v>
      </c>
      <c r="B510" s="34">
        <v>0.5</v>
      </c>
      <c r="C510" s="34"/>
      <c r="D510" s="34"/>
      <c r="E510" s="34"/>
      <c r="F510" s="34">
        <v>0.5</v>
      </c>
      <c r="G510" s="34">
        <v>0.5</v>
      </c>
    </row>
    <row r="511" spans="1:7" hidden="1" x14ac:dyDescent="0.2">
      <c r="A511" s="18">
        <v>37335</v>
      </c>
      <c r="B511" s="34">
        <v>0.5</v>
      </c>
      <c r="C511" s="34"/>
      <c r="D511" s="34"/>
      <c r="E511" s="34"/>
      <c r="F511" s="34">
        <v>0.5</v>
      </c>
      <c r="G511" s="34">
        <v>0.5</v>
      </c>
    </row>
    <row r="512" spans="1:7" hidden="1" x14ac:dyDescent="0.2">
      <c r="A512" s="18">
        <v>37566</v>
      </c>
      <c r="B512" s="34"/>
      <c r="C512" s="34"/>
      <c r="D512" s="34"/>
      <c r="E512" s="34"/>
      <c r="F512" s="34"/>
      <c r="G512" s="34"/>
    </row>
    <row r="513" spans="1:7" hidden="1" x14ac:dyDescent="0.2">
      <c r="A513" s="18">
        <v>37594</v>
      </c>
      <c r="B513" s="34"/>
      <c r="C513" s="34"/>
      <c r="D513" s="34"/>
      <c r="E513" s="34"/>
      <c r="F513" s="34"/>
      <c r="G513" s="34"/>
    </row>
    <row r="514" spans="1:7" hidden="1" x14ac:dyDescent="0.2">
      <c r="A514" s="18">
        <v>37711</v>
      </c>
      <c r="B514" s="34"/>
      <c r="C514" s="34"/>
      <c r="D514" s="34"/>
      <c r="E514" s="34"/>
      <c r="F514" s="34"/>
      <c r="G514" s="34"/>
    </row>
    <row r="515" spans="1:7" hidden="1" x14ac:dyDescent="0.2">
      <c r="A515" s="18">
        <v>37739</v>
      </c>
      <c r="B515" s="34"/>
      <c r="C515" s="34"/>
      <c r="D515" s="34"/>
      <c r="E515" s="34"/>
      <c r="F515" s="34"/>
      <c r="G515" s="34"/>
    </row>
    <row r="516" spans="1:7" hidden="1" x14ac:dyDescent="0.2">
      <c r="A516" s="18">
        <v>37825</v>
      </c>
      <c r="B516" s="34"/>
      <c r="C516" s="34"/>
      <c r="D516" s="34"/>
      <c r="E516" s="34"/>
      <c r="F516" s="34"/>
      <c r="G516" s="34"/>
    </row>
    <row r="517" spans="1:7" hidden="1" x14ac:dyDescent="0.2">
      <c r="A517" s="18">
        <v>37888</v>
      </c>
      <c r="B517" s="34">
        <v>0.5</v>
      </c>
      <c r="C517" s="34"/>
      <c r="D517" s="34"/>
      <c r="E517" s="34"/>
      <c r="F517" s="34">
        <v>1.2</v>
      </c>
      <c r="G517" s="34">
        <v>0.5</v>
      </c>
    </row>
    <row r="518" spans="1:7" hidden="1" x14ac:dyDescent="0.2">
      <c r="A518" s="18">
        <v>37963</v>
      </c>
      <c r="B518" s="34">
        <v>0.5</v>
      </c>
      <c r="C518" s="34"/>
      <c r="D518" s="34"/>
      <c r="E518" s="34"/>
      <c r="F518" s="34">
        <v>0.5</v>
      </c>
      <c r="G518" s="34">
        <v>0.5</v>
      </c>
    </row>
    <row r="519" spans="1:7" hidden="1" x14ac:dyDescent="0.2">
      <c r="A519" s="18">
        <v>38012</v>
      </c>
      <c r="B519" s="34">
        <v>0.5</v>
      </c>
      <c r="C519" s="34"/>
      <c r="D519" s="34"/>
      <c r="E519" s="34"/>
      <c r="F519" s="34">
        <v>0.5</v>
      </c>
      <c r="G519" s="34">
        <v>0.5</v>
      </c>
    </row>
    <row r="520" spans="1:7" hidden="1" x14ac:dyDescent="0.2">
      <c r="A520" s="18">
        <v>38033</v>
      </c>
      <c r="B520" s="34">
        <v>0.5</v>
      </c>
      <c r="C520" s="34"/>
      <c r="D520" s="34"/>
      <c r="E520" s="34"/>
      <c r="F520" s="34">
        <v>0.94</v>
      </c>
      <c r="G520" s="34">
        <v>0.56000000000000005</v>
      </c>
    </row>
    <row r="521" spans="1:7" hidden="1" x14ac:dyDescent="0.2">
      <c r="A521" s="18">
        <v>38271</v>
      </c>
      <c r="B521" s="34">
        <v>3.2</v>
      </c>
      <c r="C521" s="34"/>
      <c r="D521" s="34"/>
      <c r="E521" s="34"/>
      <c r="F521" s="34">
        <v>6.3</v>
      </c>
      <c r="G521" s="34">
        <v>9.1</v>
      </c>
    </row>
    <row r="522" spans="1:7" hidden="1" x14ac:dyDescent="0.2">
      <c r="A522" s="18">
        <v>38474</v>
      </c>
      <c r="B522" s="34">
        <v>0.5</v>
      </c>
      <c r="C522" s="34"/>
      <c r="D522" s="34"/>
      <c r="E522" s="34"/>
      <c r="F522" s="34">
        <v>0.5</v>
      </c>
      <c r="G522" s="34">
        <v>1.2</v>
      </c>
    </row>
    <row r="523" spans="1:7" hidden="1" x14ac:dyDescent="0.2">
      <c r="A523" s="18">
        <v>38896</v>
      </c>
      <c r="B523" s="34">
        <v>0.5</v>
      </c>
      <c r="C523" s="34"/>
      <c r="D523" s="34"/>
      <c r="E523" s="34"/>
      <c r="F523" s="34">
        <v>0.61</v>
      </c>
      <c r="G523" s="34">
        <v>0.83</v>
      </c>
    </row>
    <row r="524" spans="1:7" hidden="1" x14ac:dyDescent="0.2">
      <c r="A524" s="18">
        <v>40625</v>
      </c>
      <c r="B524" s="34">
        <v>20</v>
      </c>
      <c r="C524" s="34"/>
      <c r="D524" s="34"/>
      <c r="E524" s="34"/>
      <c r="F524" s="34">
        <v>20</v>
      </c>
      <c r="G524" s="34">
        <v>20</v>
      </c>
    </row>
    <row r="525" spans="1:7" hidden="1" x14ac:dyDescent="0.2">
      <c r="A525" s="18">
        <v>40716</v>
      </c>
      <c r="B525" s="34">
        <v>20</v>
      </c>
      <c r="C525" s="34"/>
      <c r="D525" s="34"/>
      <c r="E525" s="34"/>
      <c r="F525" s="34">
        <v>20</v>
      </c>
      <c r="G525" s="34">
        <v>20</v>
      </c>
    </row>
    <row r="526" spans="1:7" hidden="1" x14ac:dyDescent="0.2">
      <c r="A526" s="18">
        <v>40821</v>
      </c>
      <c r="B526" s="34">
        <v>20</v>
      </c>
      <c r="C526" s="34"/>
      <c r="D526" s="34"/>
      <c r="E526" s="34"/>
      <c r="F526" s="34">
        <v>20</v>
      </c>
      <c r="G526" s="34">
        <v>20</v>
      </c>
    </row>
    <row r="527" spans="1:7" hidden="1" x14ac:dyDescent="0.2">
      <c r="A527" s="18">
        <v>40897</v>
      </c>
      <c r="B527" s="34">
        <v>20</v>
      </c>
      <c r="C527" s="34"/>
      <c r="D527" s="34"/>
      <c r="E527" s="34"/>
      <c r="F527" s="34">
        <v>20</v>
      </c>
      <c r="G527" s="34">
        <v>20</v>
      </c>
    </row>
    <row r="528" spans="1:7" hidden="1" x14ac:dyDescent="0.2">
      <c r="A528" s="18">
        <v>41008</v>
      </c>
      <c r="B528" s="34">
        <v>20</v>
      </c>
      <c r="C528" s="34"/>
      <c r="D528" s="34"/>
      <c r="E528" s="34"/>
      <c r="F528" s="34">
        <v>20</v>
      </c>
      <c r="G528" s="34">
        <v>20</v>
      </c>
    </row>
    <row r="529" spans="1:7" hidden="1" x14ac:dyDescent="0.2">
      <c r="A529" s="18">
        <v>41086</v>
      </c>
      <c r="B529" s="34">
        <v>20</v>
      </c>
      <c r="C529" s="34"/>
      <c r="D529" s="34"/>
      <c r="E529" s="34"/>
      <c r="F529" s="34">
        <v>20</v>
      </c>
      <c r="G529" s="34">
        <v>20</v>
      </c>
    </row>
    <row r="530" spans="1:7" hidden="1" x14ac:dyDescent="0.2">
      <c r="A530" s="18">
        <v>41179</v>
      </c>
      <c r="B530" s="34">
        <v>20</v>
      </c>
      <c r="C530" s="34"/>
      <c r="D530" s="34"/>
      <c r="E530" s="34"/>
      <c r="F530" s="34">
        <v>20</v>
      </c>
      <c r="G530" s="34">
        <v>20</v>
      </c>
    </row>
    <row r="531" spans="1:7" hidden="1" x14ac:dyDescent="0.2">
      <c r="A531" s="18">
        <v>41247</v>
      </c>
      <c r="B531" s="34">
        <v>20</v>
      </c>
      <c r="C531" s="34"/>
      <c r="D531" s="34"/>
      <c r="E531" s="34"/>
      <c r="F531" s="34">
        <v>20</v>
      </c>
      <c r="G531" s="34">
        <v>20</v>
      </c>
    </row>
    <row r="532" spans="1:7" hidden="1" x14ac:dyDescent="0.2">
      <c r="A532" s="18">
        <v>41352</v>
      </c>
      <c r="B532" s="34">
        <v>20</v>
      </c>
      <c r="C532" s="34"/>
      <c r="D532" s="34"/>
      <c r="E532" s="34"/>
      <c r="F532" s="34">
        <v>20</v>
      </c>
      <c r="G532" s="34">
        <v>20</v>
      </c>
    </row>
    <row r="533" spans="1:7" hidden="1" x14ac:dyDescent="0.2">
      <c r="A533" s="18">
        <v>41445</v>
      </c>
      <c r="B533" s="34">
        <v>10</v>
      </c>
      <c r="C533" s="34"/>
      <c r="D533" s="34"/>
      <c r="E533" s="34"/>
      <c r="F533" s="34">
        <v>10</v>
      </c>
      <c r="G533" s="34">
        <v>10</v>
      </c>
    </row>
    <row r="534" spans="1:7" hidden="1" x14ac:dyDescent="0.2">
      <c r="A534" s="18">
        <v>41528</v>
      </c>
      <c r="B534" s="34">
        <v>10</v>
      </c>
      <c r="C534" s="34"/>
      <c r="D534" s="34"/>
      <c r="E534" s="34"/>
      <c r="F534" s="34">
        <v>10</v>
      </c>
      <c r="G534" s="34">
        <v>10</v>
      </c>
    </row>
    <row r="535" spans="1:7" hidden="1" x14ac:dyDescent="0.2">
      <c r="A535" s="18">
        <v>41670</v>
      </c>
      <c r="B535" s="34">
        <v>10</v>
      </c>
      <c r="C535" s="34"/>
      <c r="D535" s="34"/>
      <c r="E535" s="34"/>
      <c r="F535" s="34">
        <v>10</v>
      </c>
      <c r="G535" s="34">
        <v>10</v>
      </c>
    </row>
    <row r="536" spans="1:7" hidden="1" x14ac:dyDescent="0.2">
      <c r="A536" s="18">
        <v>41758</v>
      </c>
      <c r="B536" s="34">
        <v>10</v>
      </c>
      <c r="C536" s="34"/>
      <c r="D536" s="34"/>
      <c r="E536" s="34"/>
      <c r="F536" s="34">
        <v>10</v>
      </c>
      <c r="G536" s="34">
        <v>10</v>
      </c>
    </row>
    <row r="537" spans="1:7" hidden="1" x14ac:dyDescent="0.2">
      <c r="A537" s="18">
        <v>41835</v>
      </c>
      <c r="B537" s="34">
        <v>10</v>
      </c>
      <c r="C537" s="34"/>
      <c r="D537" s="34"/>
      <c r="E537" s="34"/>
      <c r="F537" s="34">
        <v>10</v>
      </c>
      <c r="G537" s="34">
        <v>10</v>
      </c>
    </row>
    <row r="538" spans="1:7" hidden="1" x14ac:dyDescent="0.2">
      <c r="A538" s="18">
        <v>42031</v>
      </c>
      <c r="B538" s="34">
        <v>10</v>
      </c>
      <c r="C538" s="34"/>
      <c r="D538" s="34"/>
      <c r="E538" s="34"/>
      <c r="F538" s="34">
        <v>10</v>
      </c>
      <c r="G538" s="34">
        <v>10</v>
      </c>
    </row>
    <row r="539" spans="1:7" hidden="1" x14ac:dyDescent="0.2">
      <c r="A539" s="18">
        <v>42094</v>
      </c>
      <c r="B539" s="34">
        <v>10</v>
      </c>
      <c r="C539" s="34"/>
      <c r="D539" s="34"/>
      <c r="E539" s="34"/>
      <c r="F539" s="34">
        <v>10</v>
      </c>
      <c r="G539" s="34">
        <v>10</v>
      </c>
    </row>
    <row r="540" spans="1:7" hidden="1" x14ac:dyDescent="0.2">
      <c r="A540" s="18">
        <v>42192</v>
      </c>
      <c r="B540" s="34">
        <v>10</v>
      </c>
      <c r="C540" s="34"/>
      <c r="D540" s="34"/>
      <c r="E540" s="34"/>
      <c r="F540" s="34">
        <v>10</v>
      </c>
      <c r="G540" s="34">
        <v>10</v>
      </c>
    </row>
    <row r="541" spans="1:7" hidden="1" x14ac:dyDescent="0.2">
      <c r="A541" s="18">
        <v>42290</v>
      </c>
      <c r="B541" s="34">
        <v>10</v>
      </c>
      <c r="C541" s="34"/>
      <c r="D541" s="34"/>
      <c r="E541" s="34"/>
      <c r="F541" s="34">
        <v>10</v>
      </c>
      <c r="G541" s="34">
        <v>10</v>
      </c>
    </row>
    <row r="542" spans="1:7" hidden="1" x14ac:dyDescent="0.2">
      <c r="A542" s="18">
        <v>42381</v>
      </c>
      <c r="B542" s="34">
        <v>10</v>
      </c>
      <c r="C542" s="34"/>
      <c r="D542" s="34"/>
      <c r="E542" s="34"/>
      <c r="F542" s="34">
        <v>10</v>
      </c>
      <c r="G542" s="34">
        <v>10</v>
      </c>
    </row>
    <row r="543" spans="1:7" hidden="1" x14ac:dyDescent="0.2">
      <c r="A543" s="18">
        <v>42479</v>
      </c>
      <c r="B543" s="34">
        <v>10</v>
      </c>
      <c r="C543" s="34"/>
      <c r="D543" s="34"/>
      <c r="E543" s="34"/>
      <c r="F543" s="34">
        <v>10</v>
      </c>
      <c r="G543" s="34">
        <v>10</v>
      </c>
    </row>
    <row r="544" spans="1:7" hidden="1" x14ac:dyDescent="0.2">
      <c r="A544" s="18">
        <v>42570</v>
      </c>
      <c r="B544" s="34">
        <v>10</v>
      </c>
      <c r="C544" s="34"/>
      <c r="D544" s="34"/>
      <c r="E544" s="34"/>
      <c r="F544" s="34">
        <v>10</v>
      </c>
      <c r="G544" s="34">
        <v>10</v>
      </c>
    </row>
    <row r="545" spans="1:7" hidden="1" x14ac:dyDescent="0.2">
      <c r="A545" s="18">
        <v>42654</v>
      </c>
      <c r="B545" s="34">
        <v>10</v>
      </c>
      <c r="C545" s="34"/>
      <c r="D545" s="34"/>
      <c r="E545" s="34"/>
      <c r="F545" s="34">
        <v>10</v>
      </c>
      <c r="G545" s="34">
        <v>10</v>
      </c>
    </row>
    <row r="546" spans="1:7" hidden="1" x14ac:dyDescent="0.2">
      <c r="A546" s="18">
        <v>42745</v>
      </c>
      <c r="B546" s="34">
        <v>10</v>
      </c>
      <c r="C546" s="34"/>
      <c r="D546" s="34"/>
      <c r="E546" s="34"/>
      <c r="F546" s="34">
        <v>10</v>
      </c>
      <c r="G546" s="34">
        <v>10</v>
      </c>
    </row>
    <row r="547" spans="1:7" hidden="1" x14ac:dyDescent="0.2">
      <c r="A547" s="18">
        <v>42843</v>
      </c>
      <c r="B547" s="34">
        <v>10</v>
      </c>
      <c r="C547" s="34"/>
      <c r="D547" s="34"/>
      <c r="E547" s="34"/>
      <c r="F547" s="34">
        <v>10</v>
      </c>
      <c r="G547" s="34">
        <v>10</v>
      </c>
    </row>
    <row r="548" spans="1:7" hidden="1" x14ac:dyDescent="0.2">
      <c r="A548" s="18">
        <v>42934</v>
      </c>
      <c r="B548" s="34">
        <v>10</v>
      </c>
      <c r="C548" s="34"/>
      <c r="D548" s="34"/>
      <c r="E548" s="34"/>
      <c r="F548" s="34">
        <v>10</v>
      </c>
      <c r="G548" s="34">
        <v>10</v>
      </c>
    </row>
    <row r="549" spans="1:7" hidden="1" x14ac:dyDescent="0.2">
      <c r="A549" s="18">
        <v>43025</v>
      </c>
      <c r="B549" s="34">
        <v>10</v>
      </c>
      <c r="C549" s="34"/>
      <c r="D549" s="34"/>
      <c r="E549" s="34"/>
      <c r="F549" s="34">
        <v>10</v>
      </c>
      <c r="G549" s="34">
        <v>10</v>
      </c>
    </row>
    <row r="550" spans="1:7" hidden="1" x14ac:dyDescent="0.2">
      <c r="A550" s="18">
        <v>43109</v>
      </c>
      <c r="B550" s="34">
        <v>10</v>
      </c>
      <c r="C550" s="34"/>
      <c r="D550" s="34"/>
      <c r="E550" s="34"/>
      <c r="F550" s="34">
        <v>10</v>
      </c>
      <c r="G550" s="34">
        <v>10</v>
      </c>
    </row>
    <row r="551" spans="1:7" hidden="1" x14ac:dyDescent="0.2">
      <c r="A551" s="18">
        <v>43193</v>
      </c>
      <c r="B551" s="34">
        <v>10</v>
      </c>
      <c r="C551" s="34"/>
      <c r="D551" s="34"/>
      <c r="E551" s="34"/>
      <c r="F551" s="34">
        <v>10</v>
      </c>
      <c r="G551" s="34">
        <v>10</v>
      </c>
    </row>
    <row r="552" spans="1:7" hidden="1" x14ac:dyDescent="0.2">
      <c r="A552" s="18">
        <v>43298</v>
      </c>
      <c r="B552" s="34">
        <v>10</v>
      </c>
      <c r="C552" s="34"/>
      <c r="D552" s="34"/>
      <c r="E552" s="34"/>
      <c r="F552" s="34">
        <v>10</v>
      </c>
      <c r="G552" s="34">
        <v>10</v>
      </c>
    </row>
    <row r="553" spans="1:7" hidden="1" x14ac:dyDescent="0.2">
      <c r="A553" s="18">
        <v>43403</v>
      </c>
      <c r="B553" s="34">
        <v>10</v>
      </c>
      <c r="C553" s="34"/>
      <c r="D553" s="34"/>
      <c r="E553" s="34"/>
      <c r="F553" s="34">
        <v>10</v>
      </c>
      <c r="G553" s="34">
        <v>10</v>
      </c>
    </row>
    <row r="554" spans="1:7" hidden="1" x14ac:dyDescent="0.2">
      <c r="A554" s="18">
        <v>43487</v>
      </c>
      <c r="B554" s="34">
        <v>10</v>
      </c>
      <c r="C554" s="34"/>
      <c r="D554" s="34"/>
      <c r="E554" s="34"/>
      <c r="F554" s="34">
        <v>10</v>
      </c>
      <c r="G554" s="34"/>
    </row>
    <row r="555" spans="1:7" hidden="1" x14ac:dyDescent="0.2">
      <c r="A555" s="18">
        <v>43578</v>
      </c>
      <c r="B555" s="34">
        <v>10</v>
      </c>
      <c r="C555" s="34"/>
      <c r="D555" s="34"/>
      <c r="E555" s="34"/>
      <c r="F555" s="34">
        <v>10</v>
      </c>
      <c r="G555" s="34">
        <v>10</v>
      </c>
    </row>
    <row r="556" spans="1:7" hidden="1" x14ac:dyDescent="0.2">
      <c r="A556" s="18">
        <v>43704</v>
      </c>
      <c r="B556" s="34">
        <v>10</v>
      </c>
      <c r="C556" s="34"/>
      <c r="D556" s="34"/>
      <c r="E556" s="34"/>
      <c r="F556" s="34">
        <v>10</v>
      </c>
      <c r="G556" s="34">
        <v>10</v>
      </c>
    </row>
    <row r="557" spans="1:7" hidden="1" x14ac:dyDescent="0.2">
      <c r="A557" s="18">
        <v>43760</v>
      </c>
      <c r="B557" s="34">
        <v>10</v>
      </c>
      <c r="C557" s="34"/>
      <c r="D557" s="34"/>
      <c r="E557" s="34"/>
      <c r="F557" s="34">
        <v>10</v>
      </c>
      <c r="G557" s="34">
        <v>10</v>
      </c>
    </row>
    <row r="558" spans="1:7" hidden="1" x14ac:dyDescent="0.2">
      <c r="A558" s="18">
        <v>44021</v>
      </c>
      <c r="B558" s="34">
        <v>10</v>
      </c>
      <c r="C558" s="34"/>
      <c r="D558" s="34"/>
      <c r="E558" s="34"/>
      <c r="F558" s="34">
        <v>10</v>
      </c>
      <c r="G558" s="34">
        <v>10</v>
      </c>
    </row>
    <row r="559" spans="1:7" hidden="1" x14ac:dyDescent="0.2"/>
    <row r="561" spans="1:9" x14ac:dyDescent="0.2">
      <c r="A561" s="34"/>
      <c r="B561" s="36" t="s">
        <v>85</v>
      </c>
      <c r="C561" s="191"/>
      <c r="D561" s="191"/>
      <c r="E561" s="191"/>
    </row>
    <row r="562" spans="1:9" x14ac:dyDescent="0.2">
      <c r="A562" s="34"/>
      <c r="B562" s="29" t="s">
        <v>75</v>
      </c>
      <c r="C562" s="192"/>
      <c r="D562" s="192"/>
      <c r="E562" s="192"/>
    </row>
    <row r="563" spans="1:9" x14ac:dyDescent="0.2">
      <c r="A563" s="12" t="s">
        <v>7</v>
      </c>
      <c r="B563" s="78" t="s">
        <v>9</v>
      </c>
      <c r="C563" s="27" t="s">
        <v>14</v>
      </c>
      <c r="D563" s="77" t="s">
        <v>10</v>
      </c>
      <c r="E563" s="74" t="s">
        <v>13</v>
      </c>
      <c r="F563" s="76" t="s">
        <v>11</v>
      </c>
      <c r="G563" s="75" t="s">
        <v>12</v>
      </c>
      <c r="H563" s="45" t="s">
        <v>237</v>
      </c>
    </row>
    <row r="564" spans="1:9" x14ac:dyDescent="0.2">
      <c r="A564" s="18">
        <v>37046</v>
      </c>
      <c r="B564" s="163">
        <v>1</v>
      </c>
      <c r="C564" s="163"/>
      <c r="D564" s="163">
        <v>1</v>
      </c>
      <c r="E564" s="163"/>
      <c r="F564" s="163">
        <v>1</v>
      </c>
      <c r="G564" s="163">
        <v>1</v>
      </c>
      <c r="H564" s="163">
        <v>1000</v>
      </c>
      <c r="I564" t="s">
        <v>235</v>
      </c>
    </row>
    <row r="565" spans="1:9" x14ac:dyDescent="0.2">
      <c r="A565" s="18">
        <v>37076</v>
      </c>
      <c r="B565" s="163">
        <v>2.89</v>
      </c>
      <c r="C565" s="163"/>
      <c r="D565" s="170">
        <v>6.58</v>
      </c>
      <c r="E565" s="163"/>
      <c r="F565" s="170">
        <v>6.85</v>
      </c>
      <c r="G565" s="170">
        <v>11.25</v>
      </c>
      <c r="H565" s="163">
        <v>1000</v>
      </c>
      <c r="I565" t="s">
        <v>235</v>
      </c>
    </row>
    <row r="566" spans="1:9" x14ac:dyDescent="0.2">
      <c r="A566" s="18">
        <v>37335</v>
      </c>
      <c r="B566" s="163">
        <v>4.79</v>
      </c>
      <c r="C566" s="163"/>
      <c r="D566" s="163">
        <v>1.77</v>
      </c>
      <c r="E566" s="163"/>
      <c r="F566" s="163">
        <v>2.82</v>
      </c>
      <c r="G566" s="170">
        <v>5.14</v>
      </c>
      <c r="H566" s="163">
        <v>1000</v>
      </c>
      <c r="I566" t="s">
        <v>235</v>
      </c>
    </row>
    <row r="567" spans="1:9" x14ac:dyDescent="0.2">
      <c r="A567" s="18">
        <v>37566</v>
      </c>
      <c r="B567" s="163"/>
      <c r="C567" s="163"/>
      <c r="D567" s="163"/>
      <c r="E567" s="163"/>
      <c r="F567" s="163"/>
      <c r="G567" s="163"/>
      <c r="H567" s="163">
        <v>1000</v>
      </c>
      <c r="I567" t="s">
        <v>235</v>
      </c>
    </row>
    <row r="568" spans="1:9" x14ac:dyDescent="0.2">
      <c r="A568" s="18">
        <v>37594</v>
      </c>
      <c r="B568" s="163"/>
      <c r="C568" s="163"/>
      <c r="D568" s="163"/>
      <c r="E568" s="163"/>
      <c r="F568" s="163"/>
      <c r="G568" s="163"/>
      <c r="H568" s="163">
        <v>1000</v>
      </c>
      <c r="I568" t="s">
        <v>235</v>
      </c>
    </row>
    <row r="569" spans="1:9" x14ac:dyDescent="0.2">
      <c r="A569" s="18">
        <v>37711</v>
      </c>
      <c r="B569" s="163"/>
      <c r="C569" s="163"/>
      <c r="D569" s="163"/>
      <c r="E569" s="163"/>
      <c r="F569" s="163"/>
      <c r="G569" s="163"/>
      <c r="H569" s="163">
        <v>1000</v>
      </c>
      <c r="I569" t="s">
        <v>235</v>
      </c>
    </row>
    <row r="570" spans="1:9" x14ac:dyDescent="0.2">
      <c r="A570" s="18">
        <v>37739</v>
      </c>
      <c r="B570" s="163"/>
      <c r="C570" s="163"/>
      <c r="D570" s="163"/>
      <c r="E570" s="163"/>
      <c r="F570" s="163"/>
      <c r="G570" s="163"/>
      <c r="H570" s="163">
        <v>1000</v>
      </c>
      <c r="I570" t="s">
        <v>235</v>
      </c>
    </row>
    <row r="571" spans="1:9" x14ac:dyDescent="0.2">
      <c r="A571" s="18">
        <v>37825</v>
      </c>
      <c r="B571" s="163"/>
      <c r="C571" s="163"/>
      <c r="D571" s="163"/>
      <c r="E571" s="163"/>
      <c r="F571" s="163"/>
      <c r="G571" s="163"/>
      <c r="H571" s="163">
        <v>1000</v>
      </c>
      <c r="I571" t="s">
        <v>235</v>
      </c>
    </row>
    <row r="572" spans="1:9" x14ac:dyDescent="0.2">
      <c r="A572" s="18">
        <v>37888</v>
      </c>
      <c r="B572" s="163"/>
      <c r="C572" s="163"/>
      <c r="D572" s="163"/>
      <c r="E572" s="163"/>
      <c r="F572" s="163"/>
      <c r="G572" s="163"/>
      <c r="H572" s="163">
        <v>1000</v>
      </c>
      <c r="I572" t="s">
        <v>235</v>
      </c>
    </row>
    <row r="573" spans="1:9" x14ac:dyDescent="0.2">
      <c r="A573" s="18">
        <v>37963</v>
      </c>
      <c r="B573" s="163"/>
      <c r="C573" s="163"/>
      <c r="D573" s="163"/>
      <c r="E573" s="163"/>
      <c r="F573" s="163"/>
      <c r="G573" s="163"/>
      <c r="H573" s="163">
        <v>1000</v>
      </c>
      <c r="I573" t="s">
        <v>235</v>
      </c>
    </row>
    <row r="574" spans="1:9" x14ac:dyDescent="0.2">
      <c r="A574" s="18">
        <v>38012</v>
      </c>
      <c r="B574" s="163"/>
      <c r="C574" s="163"/>
      <c r="D574" s="163"/>
      <c r="E574" s="163"/>
      <c r="F574" s="163"/>
      <c r="G574" s="163"/>
      <c r="H574" s="163">
        <v>1000</v>
      </c>
      <c r="I574" t="s">
        <v>235</v>
      </c>
    </row>
    <row r="575" spans="1:9" x14ac:dyDescent="0.2">
      <c r="A575" s="18">
        <v>38033</v>
      </c>
      <c r="B575" s="163"/>
      <c r="C575" s="163"/>
      <c r="D575" s="163"/>
      <c r="E575" s="163"/>
      <c r="F575" s="163"/>
      <c r="G575" s="163"/>
      <c r="H575" s="163">
        <v>1000</v>
      </c>
      <c r="I575" t="s">
        <v>235</v>
      </c>
    </row>
    <row r="576" spans="1:9" x14ac:dyDescent="0.2">
      <c r="A576" s="18">
        <v>38271</v>
      </c>
      <c r="B576" s="170">
        <v>6.8</v>
      </c>
      <c r="C576" s="163"/>
      <c r="D576" s="170">
        <v>7.7</v>
      </c>
      <c r="E576" s="163"/>
      <c r="F576" s="170">
        <v>5.0999999999999996</v>
      </c>
      <c r="G576" s="170">
        <v>5.7</v>
      </c>
      <c r="H576" s="163">
        <v>1000</v>
      </c>
      <c r="I576" t="s">
        <v>235</v>
      </c>
    </row>
    <row r="577" spans="1:9" x14ac:dyDescent="0.2">
      <c r="A577" s="18">
        <v>38474</v>
      </c>
      <c r="B577" s="163"/>
      <c r="C577" s="163"/>
      <c r="D577" s="163"/>
      <c r="E577" s="163"/>
      <c r="F577" s="163"/>
      <c r="G577" s="163"/>
      <c r="H577" s="163">
        <v>1000</v>
      </c>
      <c r="I577" t="s">
        <v>235</v>
      </c>
    </row>
    <row r="578" spans="1:9" x14ac:dyDescent="0.2">
      <c r="A578" s="18">
        <v>38896</v>
      </c>
      <c r="B578" s="163">
        <v>1</v>
      </c>
      <c r="C578" s="163"/>
      <c r="D578" s="163">
        <v>1</v>
      </c>
      <c r="E578" s="163"/>
      <c r="F578" s="163">
        <v>1</v>
      </c>
      <c r="G578" s="163">
        <v>1</v>
      </c>
      <c r="H578" s="163">
        <v>1000</v>
      </c>
      <c r="I578" t="s">
        <v>235</v>
      </c>
    </row>
    <row r="579" spans="1:9" x14ac:dyDescent="0.2">
      <c r="A579" s="18">
        <v>40625</v>
      </c>
      <c r="B579" s="170">
        <v>30.9</v>
      </c>
      <c r="C579" s="170">
        <v>13.4</v>
      </c>
      <c r="D579" s="170">
        <v>20.7</v>
      </c>
      <c r="E579" s="170">
        <v>17.7</v>
      </c>
      <c r="F579" s="170">
        <v>18.899999999999999</v>
      </c>
      <c r="G579" s="170">
        <v>28.2</v>
      </c>
      <c r="H579" s="163">
        <v>1000</v>
      </c>
      <c r="I579" t="s">
        <v>235</v>
      </c>
    </row>
    <row r="580" spans="1:9" x14ac:dyDescent="0.2">
      <c r="A580" s="18">
        <v>40716</v>
      </c>
      <c r="B580" s="170">
        <v>6.3</v>
      </c>
      <c r="C580" s="163">
        <v>4.5</v>
      </c>
      <c r="D580" s="170">
        <v>6.4</v>
      </c>
      <c r="E580" s="170">
        <v>5.7</v>
      </c>
      <c r="F580" s="170">
        <v>5.9</v>
      </c>
      <c r="G580" s="170">
        <v>6.2</v>
      </c>
      <c r="H580" s="163">
        <v>1000</v>
      </c>
      <c r="I580" t="s">
        <v>235</v>
      </c>
    </row>
    <row r="581" spans="1:9" x14ac:dyDescent="0.2">
      <c r="A581" s="18">
        <v>40821</v>
      </c>
      <c r="B581" s="170">
        <v>22</v>
      </c>
      <c r="C581" s="170">
        <v>20.2</v>
      </c>
      <c r="D581" s="170">
        <v>24.4</v>
      </c>
      <c r="E581" s="170">
        <v>20.7</v>
      </c>
      <c r="F581" s="170">
        <v>18.399999999999999</v>
      </c>
      <c r="G581" s="170">
        <v>22.5</v>
      </c>
      <c r="H581" s="163">
        <v>1000</v>
      </c>
      <c r="I581" t="s">
        <v>235</v>
      </c>
    </row>
    <row r="582" spans="1:9" x14ac:dyDescent="0.2">
      <c r="A582" s="18">
        <v>40897</v>
      </c>
      <c r="B582" s="163">
        <v>4</v>
      </c>
      <c r="C582" s="170">
        <v>50</v>
      </c>
      <c r="D582" s="163">
        <v>4</v>
      </c>
      <c r="E582" s="163">
        <v>4</v>
      </c>
      <c r="F582" s="170">
        <v>6.1</v>
      </c>
      <c r="G582" s="170">
        <v>11.9</v>
      </c>
      <c r="H582" s="163">
        <v>1000</v>
      </c>
      <c r="I582" t="s">
        <v>235</v>
      </c>
    </row>
    <row r="583" spans="1:9" x14ac:dyDescent="0.2">
      <c r="A583" s="18">
        <v>41008</v>
      </c>
      <c r="B583" s="170"/>
      <c r="C583" s="170"/>
      <c r="D583" s="170"/>
      <c r="E583" s="170"/>
      <c r="F583" s="170"/>
      <c r="G583" s="170"/>
      <c r="H583" s="163">
        <v>1000</v>
      </c>
      <c r="I583" t="s">
        <v>235</v>
      </c>
    </row>
    <row r="584" spans="1:9" x14ac:dyDescent="0.2">
      <c r="A584" s="18">
        <v>41086</v>
      </c>
      <c r="B584" s="170">
        <v>12.4</v>
      </c>
      <c r="C584" s="163">
        <v>5</v>
      </c>
      <c r="D584" s="170">
        <v>12.7</v>
      </c>
      <c r="E584" s="170">
        <v>15.2</v>
      </c>
      <c r="F584" s="170">
        <v>13.3</v>
      </c>
      <c r="G584" s="170">
        <v>10.8</v>
      </c>
      <c r="H584" s="163">
        <v>1000</v>
      </c>
      <c r="I584" t="s">
        <v>235</v>
      </c>
    </row>
    <row r="585" spans="1:9" x14ac:dyDescent="0.2">
      <c r="A585" s="18">
        <v>41179</v>
      </c>
      <c r="B585" s="170">
        <v>9.6</v>
      </c>
      <c r="C585" s="163">
        <v>4</v>
      </c>
      <c r="D585" s="170">
        <v>8.5</v>
      </c>
      <c r="E585" s="170">
        <v>7.5</v>
      </c>
      <c r="F585" s="170">
        <v>8.6</v>
      </c>
      <c r="G585" s="170">
        <v>49.9</v>
      </c>
      <c r="H585" s="163">
        <v>1000</v>
      </c>
      <c r="I585" t="s">
        <v>235</v>
      </c>
    </row>
    <row r="586" spans="1:9" x14ac:dyDescent="0.2">
      <c r="A586" s="18">
        <v>41247</v>
      </c>
      <c r="B586" s="170">
        <v>7.4</v>
      </c>
      <c r="C586" s="163">
        <v>4</v>
      </c>
      <c r="D586" s="170">
        <v>6.2</v>
      </c>
      <c r="E586" s="170">
        <v>5.3</v>
      </c>
      <c r="F586" s="170">
        <v>5.6</v>
      </c>
      <c r="G586" s="170">
        <v>12.9</v>
      </c>
      <c r="H586" s="163">
        <v>1000</v>
      </c>
      <c r="I586" t="s">
        <v>235</v>
      </c>
    </row>
    <row r="587" spans="1:9" x14ac:dyDescent="0.2">
      <c r="A587" s="18">
        <v>41352</v>
      </c>
      <c r="B587" s="170">
        <v>18.5</v>
      </c>
      <c r="C587" s="163">
        <v>4</v>
      </c>
      <c r="D587" s="170">
        <v>16.8</v>
      </c>
      <c r="E587" s="170">
        <v>18.600000000000001</v>
      </c>
      <c r="F587" s="170">
        <v>18.399999999999999</v>
      </c>
      <c r="G587" s="170">
        <v>20.9</v>
      </c>
      <c r="H587" s="163">
        <v>1000</v>
      </c>
      <c r="I587" t="s">
        <v>235</v>
      </c>
    </row>
    <row r="588" spans="1:9" x14ac:dyDescent="0.2">
      <c r="A588" s="18">
        <v>41445</v>
      </c>
      <c r="B588" s="170">
        <v>37.5</v>
      </c>
      <c r="C588" s="170">
        <v>24.9</v>
      </c>
      <c r="D588" s="170">
        <v>20.8</v>
      </c>
      <c r="E588" s="170">
        <v>22.1</v>
      </c>
      <c r="F588" s="170">
        <v>21</v>
      </c>
      <c r="G588" s="170">
        <v>28</v>
      </c>
      <c r="H588" s="163">
        <v>1000</v>
      </c>
      <c r="I588" t="s">
        <v>235</v>
      </c>
    </row>
    <row r="589" spans="1:9" x14ac:dyDescent="0.2">
      <c r="A589" s="18">
        <v>41528</v>
      </c>
      <c r="B589" s="163">
        <v>4</v>
      </c>
      <c r="C589" s="163">
        <v>4</v>
      </c>
      <c r="D589" s="163">
        <v>4</v>
      </c>
      <c r="E589" s="163">
        <v>4</v>
      </c>
      <c r="F589" s="163">
        <v>4</v>
      </c>
      <c r="G589" s="163">
        <v>4</v>
      </c>
      <c r="H589" s="163">
        <v>1000</v>
      </c>
      <c r="I589" t="s">
        <v>235</v>
      </c>
    </row>
    <row r="590" spans="1:9" x14ac:dyDescent="0.2">
      <c r="A590" s="18">
        <v>41670</v>
      </c>
      <c r="B590" s="170">
        <v>45.5</v>
      </c>
      <c r="C590" s="170">
        <v>59.1</v>
      </c>
      <c r="D590" s="170">
        <v>57.6</v>
      </c>
      <c r="E590" s="170">
        <v>60</v>
      </c>
      <c r="F590" s="170">
        <v>51.6</v>
      </c>
      <c r="G590" s="170">
        <v>68.5</v>
      </c>
      <c r="H590" s="163">
        <v>1000</v>
      </c>
      <c r="I590" t="s">
        <v>235</v>
      </c>
    </row>
    <row r="591" spans="1:9" x14ac:dyDescent="0.2">
      <c r="A591" s="18">
        <v>41758</v>
      </c>
      <c r="B591" s="170">
        <v>10</v>
      </c>
      <c r="C591" s="170">
        <v>15.5</v>
      </c>
      <c r="D591" s="170">
        <v>10</v>
      </c>
      <c r="E591" s="170">
        <v>12.2</v>
      </c>
      <c r="F591" s="170">
        <v>10</v>
      </c>
      <c r="G591" s="170">
        <v>24.2</v>
      </c>
      <c r="H591" s="163">
        <v>1000</v>
      </c>
      <c r="I591" t="s">
        <v>235</v>
      </c>
    </row>
    <row r="592" spans="1:9" x14ac:dyDescent="0.2">
      <c r="A592" s="18">
        <v>41835</v>
      </c>
      <c r="B592" s="170">
        <v>10</v>
      </c>
      <c r="C592" s="170">
        <v>10</v>
      </c>
      <c r="D592" s="170">
        <v>10</v>
      </c>
      <c r="E592" s="170">
        <v>10</v>
      </c>
      <c r="F592" s="170">
        <v>10</v>
      </c>
      <c r="G592" s="170">
        <v>96.7</v>
      </c>
      <c r="H592" s="163">
        <v>1000</v>
      </c>
      <c r="I592" t="s">
        <v>235</v>
      </c>
    </row>
    <row r="593" spans="1:9" x14ac:dyDescent="0.2">
      <c r="A593" s="18">
        <v>42031</v>
      </c>
      <c r="B593" s="170">
        <v>18.3</v>
      </c>
      <c r="C593" s="170">
        <v>63.5</v>
      </c>
      <c r="D593" s="170">
        <v>10.3</v>
      </c>
      <c r="E593" s="170">
        <v>11.1</v>
      </c>
      <c r="F593" s="170">
        <v>13.3</v>
      </c>
      <c r="G593" s="170">
        <v>77.099999999999994</v>
      </c>
      <c r="H593" s="163">
        <v>1000</v>
      </c>
      <c r="I593" t="s">
        <v>235</v>
      </c>
    </row>
    <row r="594" spans="1:9" x14ac:dyDescent="0.2">
      <c r="A594" s="18">
        <v>42094</v>
      </c>
      <c r="B594" s="170">
        <v>13.4</v>
      </c>
      <c r="C594" s="170">
        <v>10</v>
      </c>
      <c r="D594" s="170">
        <v>12.3</v>
      </c>
      <c r="E594" s="170">
        <v>13.5</v>
      </c>
      <c r="F594" s="170">
        <v>36.700000000000003</v>
      </c>
      <c r="G594" s="170">
        <v>28.9</v>
      </c>
      <c r="H594" s="163">
        <v>1000</v>
      </c>
      <c r="I594" t="s">
        <v>235</v>
      </c>
    </row>
    <row r="595" spans="1:9" x14ac:dyDescent="0.2">
      <c r="A595" s="18">
        <v>42192</v>
      </c>
      <c r="B595" s="170">
        <v>10</v>
      </c>
      <c r="C595" s="170">
        <v>47</v>
      </c>
      <c r="D595" s="170">
        <v>10</v>
      </c>
      <c r="E595" s="170">
        <v>10</v>
      </c>
      <c r="F595" s="170">
        <v>10</v>
      </c>
      <c r="G595" s="170">
        <v>10</v>
      </c>
      <c r="H595" s="163">
        <v>1000</v>
      </c>
      <c r="I595" t="s">
        <v>235</v>
      </c>
    </row>
    <row r="596" spans="1:9" x14ac:dyDescent="0.2">
      <c r="A596" s="18">
        <v>42290</v>
      </c>
      <c r="B596" s="170">
        <v>10</v>
      </c>
      <c r="C596" s="170"/>
      <c r="D596" s="170">
        <v>10</v>
      </c>
      <c r="E596" s="170">
        <v>10</v>
      </c>
      <c r="F596" s="170">
        <v>10</v>
      </c>
      <c r="G596" s="170">
        <v>10</v>
      </c>
      <c r="H596" s="163">
        <v>1000</v>
      </c>
      <c r="I596" t="s">
        <v>235</v>
      </c>
    </row>
    <row r="597" spans="1:9" x14ac:dyDescent="0.2">
      <c r="A597" s="18">
        <v>42381</v>
      </c>
      <c r="B597" s="170">
        <v>10</v>
      </c>
      <c r="C597" s="170"/>
      <c r="D597" s="170">
        <v>10</v>
      </c>
      <c r="E597" s="170">
        <v>10</v>
      </c>
      <c r="F597" s="170">
        <v>10</v>
      </c>
      <c r="G597" s="170">
        <v>10</v>
      </c>
      <c r="H597" s="163">
        <v>1000</v>
      </c>
      <c r="I597" t="s">
        <v>235</v>
      </c>
    </row>
    <row r="598" spans="1:9" x14ac:dyDescent="0.2">
      <c r="A598" s="18">
        <v>42479</v>
      </c>
      <c r="B598" s="170">
        <v>10</v>
      </c>
      <c r="C598" s="170">
        <v>10</v>
      </c>
      <c r="D598" s="170">
        <v>10</v>
      </c>
      <c r="E598" s="170">
        <v>10</v>
      </c>
      <c r="F598" s="170">
        <v>10</v>
      </c>
      <c r="G598" s="170">
        <v>10</v>
      </c>
      <c r="H598" s="163">
        <v>1000</v>
      </c>
      <c r="I598" t="s">
        <v>235</v>
      </c>
    </row>
    <row r="599" spans="1:9" x14ac:dyDescent="0.2">
      <c r="A599" s="18">
        <v>42570</v>
      </c>
      <c r="B599" s="170">
        <v>10</v>
      </c>
      <c r="C599" s="170">
        <v>10</v>
      </c>
      <c r="D599" s="170">
        <v>10</v>
      </c>
      <c r="E599" s="170">
        <v>10</v>
      </c>
      <c r="F599" s="170">
        <v>10</v>
      </c>
      <c r="G599" s="170">
        <v>10</v>
      </c>
      <c r="H599" s="163">
        <v>1000</v>
      </c>
      <c r="I599" t="s">
        <v>235</v>
      </c>
    </row>
    <row r="600" spans="1:9" x14ac:dyDescent="0.2">
      <c r="A600" s="18">
        <v>42654</v>
      </c>
      <c r="B600" s="170">
        <v>12.3</v>
      </c>
      <c r="C600" s="170">
        <v>10</v>
      </c>
      <c r="D600" s="170">
        <v>10.1</v>
      </c>
      <c r="E600" s="170">
        <v>10.4</v>
      </c>
      <c r="F600" s="170">
        <v>10</v>
      </c>
      <c r="G600" s="170">
        <v>10</v>
      </c>
      <c r="H600" s="163">
        <v>1000</v>
      </c>
      <c r="I600" t="s">
        <v>235</v>
      </c>
    </row>
    <row r="601" spans="1:9" x14ac:dyDescent="0.2">
      <c r="A601" s="18">
        <v>42745</v>
      </c>
      <c r="B601" s="170">
        <v>12.9</v>
      </c>
      <c r="C601" s="170">
        <v>10</v>
      </c>
      <c r="D601" s="170">
        <v>13.2</v>
      </c>
      <c r="E601" s="170">
        <v>13.5</v>
      </c>
      <c r="F601" s="170">
        <v>15.3</v>
      </c>
      <c r="G601" s="170">
        <v>17.2</v>
      </c>
      <c r="H601" s="163">
        <v>1000</v>
      </c>
      <c r="I601" t="s">
        <v>235</v>
      </c>
    </row>
    <row r="602" spans="1:9" x14ac:dyDescent="0.2">
      <c r="A602" s="18">
        <v>42843</v>
      </c>
      <c r="B602" s="170">
        <v>10</v>
      </c>
      <c r="C602" s="170">
        <v>10</v>
      </c>
      <c r="D602" s="170">
        <v>10</v>
      </c>
      <c r="E602" s="170">
        <v>10</v>
      </c>
      <c r="F602" s="170">
        <v>10</v>
      </c>
      <c r="G602" s="170">
        <v>10</v>
      </c>
      <c r="H602" s="163">
        <v>1000</v>
      </c>
      <c r="I602" t="s">
        <v>235</v>
      </c>
    </row>
    <row r="603" spans="1:9" x14ac:dyDescent="0.2">
      <c r="A603" s="18">
        <v>42934</v>
      </c>
      <c r="B603" s="170">
        <v>11.8</v>
      </c>
      <c r="C603" s="170">
        <v>10</v>
      </c>
      <c r="D603" s="170">
        <v>10</v>
      </c>
      <c r="E603" s="170">
        <v>10</v>
      </c>
      <c r="F603" s="170">
        <v>10</v>
      </c>
      <c r="G603" s="170">
        <v>10</v>
      </c>
      <c r="H603" s="163">
        <v>1000</v>
      </c>
      <c r="I603" t="s">
        <v>235</v>
      </c>
    </row>
    <row r="604" spans="1:9" x14ac:dyDescent="0.2">
      <c r="A604" s="18">
        <v>43025</v>
      </c>
      <c r="B604" s="170">
        <v>10</v>
      </c>
      <c r="C604" s="170">
        <v>10</v>
      </c>
      <c r="D604" s="170">
        <v>10</v>
      </c>
      <c r="E604" s="170">
        <v>10</v>
      </c>
      <c r="F604" s="170">
        <v>10</v>
      </c>
      <c r="G604" s="170">
        <v>10</v>
      </c>
      <c r="H604" s="163">
        <v>1000</v>
      </c>
      <c r="I604" t="s">
        <v>235</v>
      </c>
    </row>
    <row r="605" spans="1:9" x14ac:dyDescent="0.2">
      <c r="A605" s="18">
        <v>43109</v>
      </c>
      <c r="B605" s="170">
        <v>11.6</v>
      </c>
      <c r="C605" s="170">
        <v>10</v>
      </c>
      <c r="D605" s="170">
        <v>10</v>
      </c>
      <c r="E605" s="170">
        <v>10</v>
      </c>
      <c r="F605" s="170">
        <v>10</v>
      </c>
      <c r="G605" s="170">
        <v>14.4</v>
      </c>
      <c r="H605" s="163">
        <v>1000</v>
      </c>
      <c r="I605" t="s">
        <v>235</v>
      </c>
    </row>
    <row r="606" spans="1:9" x14ac:dyDescent="0.2">
      <c r="A606" s="18">
        <v>43193</v>
      </c>
      <c r="B606" s="170">
        <v>19</v>
      </c>
      <c r="C606" s="170">
        <v>10</v>
      </c>
      <c r="D606" s="170">
        <v>18.7</v>
      </c>
      <c r="E606" s="170">
        <v>14.5</v>
      </c>
      <c r="F606" s="170">
        <v>14.3</v>
      </c>
      <c r="G606" s="170">
        <v>21.8</v>
      </c>
      <c r="H606" s="163">
        <v>1000</v>
      </c>
      <c r="I606" t="s">
        <v>235</v>
      </c>
    </row>
    <row r="607" spans="1:9" x14ac:dyDescent="0.2">
      <c r="A607" s="18">
        <v>43298</v>
      </c>
      <c r="B607" s="170">
        <v>10</v>
      </c>
      <c r="C607" s="170">
        <v>10</v>
      </c>
      <c r="D607" s="170">
        <v>10</v>
      </c>
      <c r="E607" s="170">
        <v>10</v>
      </c>
      <c r="F607" s="170">
        <v>10</v>
      </c>
      <c r="G607" s="170">
        <v>10</v>
      </c>
      <c r="H607" s="163">
        <v>1000</v>
      </c>
      <c r="I607" t="s">
        <v>235</v>
      </c>
    </row>
    <row r="608" spans="1:9" x14ac:dyDescent="0.2">
      <c r="A608" s="18">
        <v>43403</v>
      </c>
      <c r="B608" s="170">
        <v>10</v>
      </c>
      <c r="C608" s="170">
        <v>20</v>
      </c>
      <c r="D608" s="170">
        <v>10</v>
      </c>
      <c r="E608" s="170">
        <v>20</v>
      </c>
      <c r="F608" s="170">
        <v>20</v>
      </c>
      <c r="G608" s="170">
        <v>20</v>
      </c>
      <c r="H608" s="163">
        <v>1000</v>
      </c>
      <c r="I608" t="s">
        <v>235</v>
      </c>
    </row>
    <row r="609" spans="1:10" x14ac:dyDescent="0.2">
      <c r="A609" s="18">
        <v>43487</v>
      </c>
      <c r="B609" s="170">
        <v>10</v>
      </c>
      <c r="C609" s="170">
        <v>10</v>
      </c>
      <c r="D609" s="170">
        <v>10</v>
      </c>
      <c r="E609" s="170">
        <v>10</v>
      </c>
      <c r="F609" s="170">
        <v>38.65</v>
      </c>
      <c r="G609" s="170"/>
      <c r="H609" s="163">
        <v>1000</v>
      </c>
      <c r="I609" t="s">
        <v>235</v>
      </c>
    </row>
    <row r="610" spans="1:10" x14ac:dyDescent="0.2">
      <c r="A610" s="18">
        <v>43578</v>
      </c>
      <c r="B610" s="170">
        <v>23.837</v>
      </c>
      <c r="C610" s="170">
        <v>28.776</v>
      </c>
      <c r="D610" s="170">
        <v>34.496000000000002</v>
      </c>
      <c r="E610" s="170">
        <v>10</v>
      </c>
      <c r="F610" s="170">
        <v>73.667000000000002</v>
      </c>
      <c r="G610" s="170">
        <v>32.395000000000003</v>
      </c>
      <c r="H610" s="163">
        <v>1000</v>
      </c>
      <c r="I610" t="s">
        <v>235</v>
      </c>
    </row>
    <row r="611" spans="1:10" x14ac:dyDescent="0.2">
      <c r="A611" s="18">
        <v>43704</v>
      </c>
      <c r="B611" s="170">
        <v>14.343999999999999</v>
      </c>
      <c r="C611" s="170">
        <v>10</v>
      </c>
      <c r="D611" s="170">
        <v>14.244999999999999</v>
      </c>
      <c r="E611" s="170">
        <v>10</v>
      </c>
      <c r="F611" s="170">
        <v>11.032999999999999</v>
      </c>
      <c r="G611" s="170">
        <v>10</v>
      </c>
      <c r="H611" s="163">
        <v>1000</v>
      </c>
      <c r="I611" t="s">
        <v>235</v>
      </c>
    </row>
    <row r="612" spans="1:10" x14ac:dyDescent="0.2">
      <c r="A612" s="18">
        <v>43760</v>
      </c>
      <c r="B612" s="170">
        <v>10</v>
      </c>
      <c r="C612" s="170">
        <v>10</v>
      </c>
      <c r="D612" s="170">
        <v>10</v>
      </c>
      <c r="E612" s="170">
        <v>10</v>
      </c>
      <c r="F612" s="170">
        <v>10</v>
      </c>
      <c r="G612" s="170">
        <v>10</v>
      </c>
      <c r="H612" s="163">
        <v>1000</v>
      </c>
      <c r="I612" t="s">
        <v>235</v>
      </c>
    </row>
    <row r="613" spans="1:10" x14ac:dyDescent="0.2">
      <c r="A613" s="18">
        <v>44021</v>
      </c>
      <c r="B613" s="170">
        <v>10</v>
      </c>
      <c r="C613" s="170">
        <v>10</v>
      </c>
      <c r="D613" s="170">
        <v>10</v>
      </c>
      <c r="E613" s="170">
        <v>10</v>
      </c>
      <c r="F613" s="170">
        <v>10</v>
      </c>
      <c r="G613" s="170">
        <v>10</v>
      </c>
      <c r="H613" s="163">
        <v>1000</v>
      </c>
      <c r="I613" t="s">
        <v>235</v>
      </c>
    </row>
    <row r="614" spans="1:10" x14ac:dyDescent="0.2">
      <c r="A614" s="18">
        <v>44111</v>
      </c>
      <c r="B614" s="170">
        <v>10</v>
      </c>
      <c r="C614" s="170">
        <v>10</v>
      </c>
      <c r="D614" s="170">
        <v>10</v>
      </c>
      <c r="E614" s="170">
        <v>10</v>
      </c>
      <c r="F614" s="170">
        <v>10</v>
      </c>
      <c r="G614" s="170">
        <v>10</v>
      </c>
      <c r="H614" s="163">
        <v>1000</v>
      </c>
      <c r="I614" t="s">
        <v>235</v>
      </c>
      <c r="J614" s="164"/>
    </row>
    <row r="615" spans="1:10" x14ac:dyDescent="0.2">
      <c r="A615" s="18">
        <v>44119</v>
      </c>
      <c r="B615" s="170">
        <v>28.995999999999999</v>
      </c>
      <c r="C615" s="170"/>
      <c r="D615" s="170">
        <v>17.390999999999998</v>
      </c>
      <c r="E615" s="170"/>
      <c r="F615" s="170"/>
      <c r="G615" s="170"/>
      <c r="H615" s="163">
        <v>1000</v>
      </c>
      <c r="I615" t="s">
        <v>235</v>
      </c>
    </row>
    <row r="616" spans="1:10" x14ac:dyDescent="0.2">
      <c r="A616" s="18">
        <v>44120</v>
      </c>
      <c r="B616" s="170">
        <v>19.701000000000001</v>
      </c>
      <c r="C616" s="170"/>
      <c r="D616" s="170">
        <v>16.577000000000002</v>
      </c>
      <c r="E616" s="170"/>
      <c r="F616" s="170"/>
      <c r="G616" s="170"/>
      <c r="H616" s="163">
        <v>1000</v>
      </c>
      <c r="I616" t="s">
        <v>235</v>
      </c>
    </row>
    <row r="617" spans="1:10" x14ac:dyDescent="0.2">
      <c r="A617" s="18">
        <v>44146</v>
      </c>
      <c r="B617" s="170">
        <v>10</v>
      </c>
      <c r="C617" s="170">
        <v>10</v>
      </c>
      <c r="D617" s="170">
        <v>10</v>
      </c>
      <c r="E617" s="170">
        <v>10</v>
      </c>
      <c r="F617" s="170">
        <v>10</v>
      </c>
      <c r="G617" s="170">
        <v>10</v>
      </c>
      <c r="H617" s="163">
        <v>1000</v>
      </c>
      <c r="I617" s="3" t="s">
        <v>238</v>
      </c>
    </row>
    <row r="618" spans="1:10" x14ac:dyDescent="0.2">
      <c r="A618" s="18">
        <v>44146</v>
      </c>
      <c r="B618" s="163">
        <v>5</v>
      </c>
      <c r="C618" s="170">
        <v>15</v>
      </c>
      <c r="D618" s="170">
        <v>26</v>
      </c>
      <c r="E618" s="170">
        <v>7</v>
      </c>
      <c r="F618" s="163">
        <v>5</v>
      </c>
      <c r="G618" s="170">
        <v>14</v>
      </c>
      <c r="H618" s="163">
        <v>1000</v>
      </c>
      <c r="I618" s="3" t="s">
        <v>236</v>
      </c>
    </row>
    <row r="619" spans="1:10" x14ac:dyDescent="0.2">
      <c r="A619" s="18">
        <v>44184</v>
      </c>
      <c r="B619" s="170">
        <v>6</v>
      </c>
      <c r="C619" s="184">
        <v>5</v>
      </c>
      <c r="D619" s="170">
        <v>10</v>
      </c>
      <c r="E619" s="184">
        <v>5</v>
      </c>
      <c r="F619" s="184">
        <v>5</v>
      </c>
      <c r="G619" s="184">
        <v>5</v>
      </c>
      <c r="H619" s="163">
        <v>1000</v>
      </c>
      <c r="I619" s="3" t="s">
        <v>236</v>
      </c>
    </row>
    <row r="621" spans="1:10" hidden="1" x14ac:dyDescent="0.2">
      <c r="A621" s="34"/>
      <c r="B621" s="36" t="s">
        <v>87</v>
      </c>
    </row>
    <row r="622" spans="1:10" hidden="1" x14ac:dyDescent="0.2">
      <c r="A622" s="34"/>
      <c r="B622" s="29" t="s">
        <v>75</v>
      </c>
    </row>
    <row r="623" spans="1:10" hidden="1" x14ac:dyDescent="0.2">
      <c r="A623" s="12" t="s">
        <v>7</v>
      </c>
      <c r="B623" s="78" t="s">
        <v>9</v>
      </c>
      <c r="C623" s="27" t="s">
        <v>14</v>
      </c>
      <c r="D623" s="77" t="s">
        <v>10</v>
      </c>
      <c r="E623" s="74" t="s">
        <v>13</v>
      </c>
      <c r="F623" s="76" t="s">
        <v>11</v>
      </c>
      <c r="G623" s="75" t="s">
        <v>12</v>
      </c>
    </row>
    <row r="624" spans="1:10" hidden="1" x14ac:dyDescent="0.2">
      <c r="A624" s="18">
        <v>37046</v>
      </c>
      <c r="B624" s="34">
        <v>2</v>
      </c>
      <c r="C624" s="34"/>
      <c r="D624" s="34">
        <v>2</v>
      </c>
      <c r="E624" s="34"/>
      <c r="F624" s="34">
        <v>2</v>
      </c>
      <c r="G624" s="34">
        <v>2</v>
      </c>
    </row>
    <row r="625" spans="1:7" hidden="1" x14ac:dyDescent="0.2">
      <c r="A625" s="18">
        <v>37076</v>
      </c>
      <c r="B625" s="34">
        <v>2</v>
      </c>
      <c r="C625" s="34"/>
      <c r="D625" s="34">
        <v>4.01</v>
      </c>
      <c r="E625" s="34"/>
      <c r="F625" s="34">
        <v>6.33</v>
      </c>
      <c r="G625" s="34">
        <v>2</v>
      </c>
    </row>
    <row r="626" spans="1:7" hidden="1" x14ac:dyDescent="0.2">
      <c r="A626" s="18">
        <v>37335</v>
      </c>
      <c r="B626" s="34">
        <v>2</v>
      </c>
      <c r="C626" s="34"/>
      <c r="D626" s="34">
        <v>2</v>
      </c>
      <c r="E626" s="34"/>
      <c r="F626" s="34">
        <v>2</v>
      </c>
      <c r="G626" s="34">
        <v>2</v>
      </c>
    </row>
    <row r="627" spans="1:7" hidden="1" x14ac:dyDescent="0.2">
      <c r="A627" s="18">
        <v>37566</v>
      </c>
      <c r="B627" s="34"/>
      <c r="C627" s="34"/>
      <c r="D627" s="34"/>
      <c r="E627" s="34"/>
      <c r="F627" s="34"/>
      <c r="G627" s="34"/>
    </row>
    <row r="628" spans="1:7" hidden="1" x14ac:dyDescent="0.2">
      <c r="A628" s="18">
        <v>37594</v>
      </c>
      <c r="B628" s="34"/>
      <c r="C628" s="34"/>
      <c r="D628" s="34"/>
      <c r="E628" s="34"/>
      <c r="F628" s="34"/>
      <c r="G628" s="34"/>
    </row>
    <row r="629" spans="1:7" hidden="1" x14ac:dyDescent="0.2">
      <c r="A629" s="18">
        <v>37711</v>
      </c>
      <c r="B629" s="34"/>
      <c r="C629" s="34"/>
      <c r="D629" s="34"/>
      <c r="E629" s="34"/>
      <c r="F629" s="34"/>
      <c r="G629" s="34"/>
    </row>
    <row r="630" spans="1:7" hidden="1" x14ac:dyDescent="0.2">
      <c r="A630" s="18">
        <v>37739</v>
      </c>
      <c r="B630" s="34"/>
      <c r="C630" s="34"/>
      <c r="D630" s="34"/>
      <c r="E630" s="34"/>
      <c r="F630" s="34"/>
      <c r="G630" s="34"/>
    </row>
    <row r="631" spans="1:7" hidden="1" x14ac:dyDescent="0.2">
      <c r="A631" s="18">
        <v>37825</v>
      </c>
      <c r="B631" s="34"/>
      <c r="C631" s="34"/>
      <c r="D631" s="34"/>
      <c r="E631" s="34"/>
      <c r="F631" s="34"/>
      <c r="G631" s="34"/>
    </row>
    <row r="632" spans="1:7" hidden="1" x14ac:dyDescent="0.2">
      <c r="A632" s="18">
        <v>37888</v>
      </c>
      <c r="B632" s="34">
        <v>2</v>
      </c>
      <c r="C632" s="34"/>
      <c r="D632" s="34">
        <v>2.5</v>
      </c>
      <c r="E632" s="34"/>
      <c r="F632" s="34">
        <v>6.1</v>
      </c>
      <c r="G632" s="34">
        <v>8.6</v>
      </c>
    </row>
    <row r="633" spans="1:7" hidden="1" x14ac:dyDescent="0.2">
      <c r="A633" s="18">
        <v>37963</v>
      </c>
      <c r="B633" s="34">
        <v>5.7</v>
      </c>
      <c r="C633" s="34"/>
      <c r="D633" s="34">
        <v>11</v>
      </c>
      <c r="E633" s="34"/>
      <c r="F633" s="34">
        <v>13.6</v>
      </c>
      <c r="G633" s="34">
        <v>19.7</v>
      </c>
    </row>
    <row r="634" spans="1:7" hidden="1" x14ac:dyDescent="0.2">
      <c r="A634" s="18">
        <v>38012</v>
      </c>
      <c r="B634" s="34">
        <v>2</v>
      </c>
      <c r="C634" s="34"/>
      <c r="D634" s="34">
        <v>2</v>
      </c>
      <c r="E634" s="34"/>
      <c r="F634" s="34">
        <v>2</v>
      </c>
      <c r="G634" s="34">
        <v>2</v>
      </c>
    </row>
    <row r="635" spans="1:7" hidden="1" x14ac:dyDescent="0.2">
      <c r="A635" s="18">
        <v>38033</v>
      </c>
      <c r="B635" s="34">
        <v>2</v>
      </c>
      <c r="C635" s="34"/>
      <c r="D635" s="34">
        <v>2</v>
      </c>
      <c r="E635" s="34"/>
      <c r="F635" s="34">
        <v>3.5</v>
      </c>
      <c r="G635" s="34">
        <v>5.0999999999999996</v>
      </c>
    </row>
    <row r="636" spans="1:7" hidden="1" x14ac:dyDescent="0.2">
      <c r="A636" s="18">
        <v>38271</v>
      </c>
      <c r="B636" s="34">
        <v>2</v>
      </c>
      <c r="C636" s="34"/>
      <c r="D636" s="34">
        <v>2</v>
      </c>
      <c r="E636" s="34"/>
      <c r="F636" s="34">
        <v>2</v>
      </c>
      <c r="G636" s="34">
        <v>2</v>
      </c>
    </row>
    <row r="637" spans="1:7" hidden="1" x14ac:dyDescent="0.2">
      <c r="A637" s="18">
        <v>38474</v>
      </c>
      <c r="B637" s="34">
        <v>41.3</v>
      </c>
      <c r="C637" s="34"/>
      <c r="D637" s="34">
        <v>27.3</v>
      </c>
      <c r="E637" s="34"/>
      <c r="F637" s="34">
        <v>14.8</v>
      </c>
      <c r="G637" s="34">
        <v>17.3</v>
      </c>
    </row>
    <row r="638" spans="1:7" hidden="1" x14ac:dyDescent="0.2">
      <c r="A638" s="18">
        <v>38896</v>
      </c>
      <c r="B638" s="34">
        <v>3</v>
      </c>
      <c r="C638" s="34"/>
      <c r="D638" s="34">
        <v>3</v>
      </c>
      <c r="E638" s="34"/>
      <c r="F638" s="34">
        <v>3</v>
      </c>
      <c r="G638" s="34">
        <v>3</v>
      </c>
    </row>
    <row r="639" spans="1:7" hidden="1" x14ac:dyDescent="0.2">
      <c r="A639" s="18">
        <v>40625</v>
      </c>
      <c r="B639" s="34">
        <v>50</v>
      </c>
      <c r="C639" s="34">
        <v>50</v>
      </c>
      <c r="D639" s="34">
        <v>50</v>
      </c>
      <c r="E639" s="34">
        <v>50</v>
      </c>
      <c r="F639" s="34">
        <v>50</v>
      </c>
      <c r="G639" s="34">
        <v>50</v>
      </c>
    </row>
    <row r="640" spans="1:7" hidden="1" x14ac:dyDescent="0.2">
      <c r="A640" s="18">
        <v>40716</v>
      </c>
      <c r="B640" s="34">
        <v>6</v>
      </c>
      <c r="C640" s="34">
        <v>6</v>
      </c>
      <c r="D640" s="34">
        <v>6</v>
      </c>
      <c r="E640" s="34">
        <v>6</v>
      </c>
      <c r="F640" s="34">
        <v>6</v>
      </c>
      <c r="G640" s="34">
        <v>6</v>
      </c>
    </row>
    <row r="641" spans="1:7" hidden="1" x14ac:dyDescent="0.2">
      <c r="A641" s="18">
        <v>40821</v>
      </c>
      <c r="B641" s="34">
        <v>20</v>
      </c>
      <c r="C641" s="34">
        <v>20</v>
      </c>
      <c r="D641" s="34">
        <v>20</v>
      </c>
      <c r="E641" s="34">
        <v>20</v>
      </c>
      <c r="F641" s="34">
        <v>20</v>
      </c>
      <c r="G641" s="34">
        <v>20</v>
      </c>
    </row>
    <row r="642" spans="1:7" hidden="1" x14ac:dyDescent="0.2">
      <c r="A642" s="18">
        <v>40897</v>
      </c>
      <c r="B642" s="34">
        <v>20</v>
      </c>
      <c r="C642" s="34">
        <v>23.3</v>
      </c>
      <c r="D642" s="34">
        <v>20</v>
      </c>
      <c r="E642" s="34">
        <v>20</v>
      </c>
      <c r="F642" s="34">
        <v>20</v>
      </c>
      <c r="G642" s="34">
        <v>25.3</v>
      </c>
    </row>
    <row r="643" spans="1:7" hidden="1" x14ac:dyDescent="0.2">
      <c r="A643" s="18">
        <v>41008</v>
      </c>
      <c r="B643" s="34">
        <v>20</v>
      </c>
      <c r="C643" s="34">
        <v>20</v>
      </c>
      <c r="D643" s="34">
        <v>20</v>
      </c>
      <c r="E643" s="34">
        <v>20</v>
      </c>
      <c r="F643" s="34">
        <v>67.599999999999994</v>
      </c>
      <c r="G643" s="34">
        <v>20</v>
      </c>
    </row>
    <row r="644" spans="1:7" hidden="1" x14ac:dyDescent="0.2">
      <c r="A644" s="18">
        <v>41086</v>
      </c>
      <c r="B644" s="34">
        <v>20</v>
      </c>
      <c r="C644" s="34">
        <v>20</v>
      </c>
      <c r="D644" s="34">
        <v>20</v>
      </c>
      <c r="E644" s="34">
        <v>20</v>
      </c>
      <c r="F644" s="34">
        <v>20</v>
      </c>
      <c r="G644" s="34">
        <v>20</v>
      </c>
    </row>
    <row r="645" spans="1:7" hidden="1" x14ac:dyDescent="0.2">
      <c r="A645" s="18">
        <v>41179</v>
      </c>
      <c r="B645" s="34">
        <v>20</v>
      </c>
      <c r="C645" s="34">
        <v>20</v>
      </c>
      <c r="D645" s="34">
        <v>20</v>
      </c>
      <c r="E645" s="34">
        <v>20</v>
      </c>
      <c r="F645" s="34">
        <v>20</v>
      </c>
      <c r="G645" s="34">
        <v>20</v>
      </c>
    </row>
    <row r="646" spans="1:7" hidden="1" x14ac:dyDescent="0.2">
      <c r="A646" s="18">
        <v>41247</v>
      </c>
      <c r="B646" s="34">
        <v>20</v>
      </c>
      <c r="C646" s="34">
        <v>20</v>
      </c>
      <c r="D646" s="34">
        <v>20</v>
      </c>
      <c r="E646" s="34">
        <v>20</v>
      </c>
      <c r="F646" s="34">
        <v>20</v>
      </c>
      <c r="G646" s="34">
        <v>20</v>
      </c>
    </row>
    <row r="647" spans="1:7" hidden="1" x14ac:dyDescent="0.2">
      <c r="A647" s="18">
        <v>41352</v>
      </c>
      <c r="B647" s="34">
        <v>20</v>
      </c>
      <c r="C647" s="34">
        <v>20</v>
      </c>
      <c r="D647" s="34">
        <v>20</v>
      </c>
      <c r="E647" s="34">
        <v>20</v>
      </c>
      <c r="F647" s="34">
        <v>20</v>
      </c>
      <c r="G647" s="34">
        <v>20</v>
      </c>
    </row>
    <row r="648" spans="1:7" hidden="1" x14ac:dyDescent="0.2">
      <c r="A648" s="18">
        <v>41445</v>
      </c>
      <c r="B648" s="34">
        <v>20</v>
      </c>
      <c r="C648" s="34">
        <v>20</v>
      </c>
      <c r="D648" s="34">
        <v>20</v>
      </c>
      <c r="E648" s="34">
        <v>20</v>
      </c>
      <c r="F648" s="34">
        <v>20</v>
      </c>
      <c r="G648" s="34">
        <v>20</v>
      </c>
    </row>
    <row r="649" spans="1:7" hidden="1" x14ac:dyDescent="0.2">
      <c r="A649" s="18">
        <v>41528</v>
      </c>
      <c r="B649" s="34">
        <v>20</v>
      </c>
      <c r="C649" s="34">
        <v>20</v>
      </c>
      <c r="D649" s="34">
        <v>20</v>
      </c>
      <c r="E649" s="34">
        <v>20</v>
      </c>
      <c r="F649" s="34">
        <v>20</v>
      </c>
      <c r="G649" s="34">
        <v>20</v>
      </c>
    </row>
    <row r="650" spans="1:7" hidden="1" x14ac:dyDescent="0.2">
      <c r="A650" s="18">
        <v>41670</v>
      </c>
      <c r="B650" s="34">
        <v>46.4</v>
      </c>
      <c r="C650" s="34">
        <v>96.5</v>
      </c>
      <c r="D650" s="34">
        <v>65.7</v>
      </c>
      <c r="E650" s="34">
        <v>81.599999999999994</v>
      </c>
      <c r="F650" s="34">
        <v>59.1</v>
      </c>
      <c r="G650" s="34">
        <v>91.7</v>
      </c>
    </row>
    <row r="651" spans="1:7" hidden="1" x14ac:dyDescent="0.2">
      <c r="A651" s="18">
        <v>41758</v>
      </c>
      <c r="B651" s="34">
        <v>20</v>
      </c>
      <c r="C651" s="34">
        <v>20</v>
      </c>
      <c r="D651" s="34">
        <v>20</v>
      </c>
      <c r="E651" s="34">
        <v>20</v>
      </c>
      <c r="F651" s="34">
        <v>20</v>
      </c>
      <c r="G651" s="34">
        <v>20</v>
      </c>
    </row>
    <row r="652" spans="1:7" hidden="1" x14ac:dyDescent="0.2">
      <c r="A652" s="18">
        <v>41835</v>
      </c>
      <c r="B652" s="34">
        <v>20</v>
      </c>
      <c r="C652" s="34">
        <v>20</v>
      </c>
      <c r="D652" s="34">
        <v>20</v>
      </c>
      <c r="E652" s="34">
        <v>20</v>
      </c>
      <c r="F652" s="34">
        <v>20</v>
      </c>
      <c r="G652" s="34">
        <v>20</v>
      </c>
    </row>
    <row r="653" spans="1:7" hidden="1" x14ac:dyDescent="0.2">
      <c r="A653" s="18">
        <v>42031</v>
      </c>
      <c r="B653" s="34">
        <v>20</v>
      </c>
      <c r="C653" s="34">
        <v>85.9</v>
      </c>
      <c r="D653" s="34">
        <v>20</v>
      </c>
      <c r="E653" s="34">
        <v>20</v>
      </c>
      <c r="F653" s="34">
        <v>20</v>
      </c>
      <c r="G653" s="34">
        <v>68.400000000000006</v>
      </c>
    </row>
    <row r="654" spans="1:7" hidden="1" x14ac:dyDescent="0.2">
      <c r="A654" s="18">
        <v>42094</v>
      </c>
      <c r="B654" s="34">
        <v>20</v>
      </c>
      <c r="C654" s="34">
        <v>20</v>
      </c>
      <c r="D654" s="34">
        <v>20</v>
      </c>
      <c r="E654" s="34">
        <v>20</v>
      </c>
      <c r="F654" s="34">
        <v>20</v>
      </c>
      <c r="G654" s="34">
        <v>28.8</v>
      </c>
    </row>
    <row r="655" spans="1:7" hidden="1" x14ac:dyDescent="0.2">
      <c r="A655" s="18">
        <v>42192</v>
      </c>
      <c r="B655" s="34">
        <v>20</v>
      </c>
      <c r="C655" s="34">
        <v>20</v>
      </c>
      <c r="D655" s="34">
        <v>20</v>
      </c>
      <c r="E655" s="34">
        <v>20</v>
      </c>
      <c r="F655" s="34">
        <v>20</v>
      </c>
      <c r="G655" s="34">
        <v>20</v>
      </c>
    </row>
    <row r="656" spans="1:7" hidden="1" x14ac:dyDescent="0.2">
      <c r="A656" s="18">
        <v>42290</v>
      </c>
      <c r="B656" s="34">
        <v>20</v>
      </c>
      <c r="C656" s="34"/>
      <c r="D656" s="34">
        <v>20</v>
      </c>
      <c r="E656" s="34">
        <v>20</v>
      </c>
      <c r="F656" s="34">
        <v>20</v>
      </c>
      <c r="G656" s="34">
        <v>20</v>
      </c>
    </row>
    <row r="657" spans="1:7" hidden="1" x14ac:dyDescent="0.2">
      <c r="A657" s="18">
        <v>42381</v>
      </c>
      <c r="B657" s="34">
        <v>20</v>
      </c>
      <c r="C657" s="34"/>
      <c r="D657" s="34">
        <v>20</v>
      </c>
      <c r="E657" s="34">
        <v>20</v>
      </c>
      <c r="F657" s="34">
        <v>21.6</v>
      </c>
      <c r="G657" s="34">
        <v>20</v>
      </c>
    </row>
    <row r="658" spans="1:7" hidden="1" x14ac:dyDescent="0.2">
      <c r="A658" s="18">
        <v>42479</v>
      </c>
      <c r="B658" s="34">
        <v>20</v>
      </c>
      <c r="C658" s="34">
        <v>20</v>
      </c>
      <c r="D658" s="34">
        <v>20</v>
      </c>
      <c r="E658" s="34">
        <v>20</v>
      </c>
      <c r="F658" s="34">
        <v>20</v>
      </c>
      <c r="G658" s="34">
        <v>20</v>
      </c>
    </row>
    <row r="659" spans="1:7" hidden="1" x14ac:dyDescent="0.2">
      <c r="A659" s="18">
        <v>42570</v>
      </c>
      <c r="B659" s="34">
        <v>20</v>
      </c>
      <c r="C659" s="34">
        <v>20</v>
      </c>
      <c r="D659" s="34">
        <v>20</v>
      </c>
      <c r="E659" s="34">
        <v>20</v>
      </c>
      <c r="F659" s="34">
        <v>20</v>
      </c>
      <c r="G659" s="34">
        <v>20</v>
      </c>
    </row>
    <row r="660" spans="1:7" hidden="1" x14ac:dyDescent="0.2">
      <c r="A660" s="18">
        <v>42654</v>
      </c>
      <c r="B660" s="34">
        <v>20</v>
      </c>
      <c r="C660" s="34">
        <v>20</v>
      </c>
      <c r="D660" s="34">
        <v>20</v>
      </c>
      <c r="E660" s="34">
        <v>20</v>
      </c>
      <c r="F660" s="34">
        <v>20</v>
      </c>
      <c r="G660" s="34">
        <v>20</v>
      </c>
    </row>
    <row r="661" spans="1:7" hidden="1" x14ac:dyDescent="0.2">
      <c r="A661" s="18">
        <v>42745</v>
      </c>
      <c r="B661" s="34">
        <v>20</v>
      </c>
      <c r="C661" s="34">
        <v>20</v>
      </c>
      <c r="D661" s="34">
        <v>20</v>
      </c>
      <c r="E661" s="34">
        <v>20</v>
      </c>
      <c r="F661" s="34">
        <v>20</v>
      </c>
      <c r="G661" s="34">
        <v>20</v>
      </c>
    </row>
    <row r="662" spans="1:7" hidden="1" x14ac:dyDescent="0.2">
      <c r="A662" s="18">
        <v>42843</v>
      </c>
      <c r="B662" s="34">
        <v>20</v>
      </c>
      <c r="C662" s="34">
        <v>20</v>
      </c>
      <c r="D662" s="34">
        <v>20</v>
      </c>
      <c r="E662" s="34">
        <v>20</v>
      </c>
      <c r="F662" s="34">
        <v>20</v>
      </c>
      <c r="G662" s="34">
        <v>20</v>
      </c>
    </row>
    <row r="663" spans="1:7" hidden="1" x14ac:dyDescent="0.2">
      <c r="A663" s="18">
        <v>42934</v>
      </c>
      <c r="B663" s="34">
        <v>20</v>
      </c>
      <c r="C663" s="34">
        <v>20</v>
      </c>
      <c r="D663" s="34">
        <v>20</v>
      </c>
      <c r="E663" s="34">
        <v>20</v>
      </c>
      <c r="F663" s="34">
        <v>20</v>
      </c>
      <c r="G663" s="34">
        <v>20</v>
      </c>
    </row>
    <row r="664" spans="1:7" hidden="1" x14ac:dyDescent="0.2">
      <c r="A664" s="18">
        <v>43025</v>
      </c>
      <c r="B664" s="34">
        <v>20</v>
      </c>
      <c r="C664" s="34">
        <v>20</v>
      </c>
      <c r="D664" s="34">
        <v>20</v>
      </c>
      <c r="E664" s="34">
        <v>20</v>
      </c>
      <c r="F664" s="34">
        <v>20</v>
      </c>
      <c r="G664" s="34">
        <v>20</v>
      </c>
    </row>
    <row r="665" spans="1:7" hidden="1" x14ac:dyDescent="0.2">
      <c r="A665" s="18">
        <v>43109</v>
      </c>
      <c r="B665" s="34">
        <v>20</v>
      </c>
      <c r="C665" s="34">
        <v>20</v>
      </c>
      <c r="D665" s="34">
        <v>20</v>
      </c>
      <c r="E665" s="34">
        <v>20</v>
      </c>
      <c r="F665" s="34">
        <v>20</v>
      </c>
      <c r="G665" s="34">
        <v>20</v>
      </c>
    </row>
    <row r="666" spans="1:7" hidden="1" x14ac:dyDescent="0.2">
      <c r="A666" s="18">
        <v>43193</v>
      </c>
      <c r="B666" s="34">
        <v>20</v>
      </c>
      <c r="C666" s="34">
        <v>20</v>
      </c>
      <c r="D666" s="34">
        <v>20</v>
      </c>
      <c r="E666" s="34">
        <v>20</v>
      </c>
      <c r="F666" s="34">
        <v>20.5</v>
      </c>
      <c r="G666" s="34">
        <v>20</v>
      </c>
    </row>
    <row r="667" spans="1:7" hidden="1" x14ac:dyDescent="0.2">
      <c r="A667" s="18">
        <v>43298</v>
      </c>
      <c r="B667" s="34">
        <v>20</v>
      </c>
      <c r="C667" s="34">
        <v>20</v>
      </c>
      <c r="D667" s="34">
        <v>20</v>
      </c>
      <c r="E667" s="34">
        <v>20</v>
      </c>
      <c r="F667" s="34">
        <v>20</v>
      </c>
      <c r="G667" s="34">
        <v>20</v>
      </c>
    </row>
    <row r="668" spans="1:7" hidden="1" x14ac:dyDescent="0.2">
      <c r="A668" s="18">
        <v>43403</v>
      </c>
      <c r="B668" s="34">
        <v>20</v>
      </c>
      <c r="C668" s="34">
        <v>10</v>
      </c>
      <c r="D668" s="34">
        <v>20</v>
      </c>
      <c r="E668" s="34">
        <v>10</v>
      </c>
      <c r="F668" s="34">
        <v>10</v>
      </c>
      <c r="G668" s="34">
        <v>10</v>
      </c>
    </row>
    <row r="669" spans="1:7" hidden="1" x14ac:dyDescent="0.2">
      <c r="A669" s="18">
        <v>43487</v>
      </c>
      <c r="B669" s="34">
        <v>20</v>
      </c>
      <c r="C669" s="34">
        <v>20</v>
      </c>
      <c r="D669" s="34">
        <v>20</v>
      </c>
      <c r="E669" s="34">
        <v>20</v>
      </c>
      <c r="F669" s="34">
        <v>21.91</v>
      </c>
      <c r="G669" s="34"/>
    </row>
    <row r="670" spans="1:7" hidden="1" x14ac:dyDescent="0.2">
      <c r="A670" s="18">
        <v>43578</v>
      </c>
      <c r="B670" s="34">
        <v>20</v>
      </c>
      <c r="C670" s="34">
        <v>20</v>
      </c>
      <c r="D670" s="34">
        <v>20</v>
      </c>
      <c r="E670" s="34">
        <v>20</v>
      </c>
      <c r="F670" s="34">
        <v>20</v>
      </c>
      <c r="G670" s="34">
        <v>21.472000000000001</v>
      </c>
    </row>
    <row r="671" spans="1:7" hidden="1" x14ac:dyDescent="0.2">
      <c r="A671" s="18">
        <v>43704</v>
      </c>
      <c r="B671" s="34">
        <v>20</v>
      </c>
      <c r="C671" s="34">
        <v>20</v>
      </c>
      <c r="D671" s="34">
        <v>20</v>
      </c>
      <c r="E671" s="34">
        <v>20</v>
      </c>
      <c r="F671" s="34">
        <v>20</v>
      </c>
      <c r="G671" s="34">
        <v>20</v>
      </c>
    </row>
    <row r="672" spans="1:7" hidden="1" x14ac:dyDescent="0.2">
      <c r="A672" s="18">
        <v>43760</v>
      </c>
      <c r="B672" s="34">
        <v>20</v>
      </c>
      <c r="C672" s="34">
        <v>20</v>
      </c>
      <c r="D672" s="34">
        <v>20</v>
      </c>
      <c r="E672" s="34">
        <v>20</v>
      </c>
      <c r="F672" s="34">
        <v>20</v>
      </c>
      <c r="G672" s="34">
        <v>20</v>
      </c>
    </row>
    <row r="673" spans="1:9" hidden="1" x14ac:dyDescent="0.2">
      <c r="A673" s="18">
        <v>44021</v>
      </c>
      <c r="B673" s="34">
        <v>20</v>
      </c>
      <c r="C673" s="34">
        <v>20</v>
      </c>
      <c r="D673" s="34">
        <v>20</v>
      </c>
      <c r="E673" s="34">
        <v>20</v>
      </c>
      <c r="F673" s="34">
        <v>20</v>
      </c>
      <c r="G673" s="34">
        <v>20</v>
      </c>
    </row>
    <row r="674" spans="1:9" hidden="1" x14ac:dyDescent="0.2"/>
    <row r="676" spans="1:9" x14ac:dyDescent="0.2">
      <c r="A676" s="34"/>
      <c r="B676" s="59" t="s">
        <v>90</v>
      </c>
    </row>
    <row r="677" spans="1:9" x14ac:dyDescent="0.2">
      <c r="A677" s="34"/>
      <c r="B677" s="60" t="s">
        <v>22</v>
      </c>
    </row>
    <row r="678" spans="1:9" x14ac:dyDescent="0.2">
      <c r="A678" s="12" t="s">
        <v>7</v>
      </c>
      <c r="B678" s="78" t="s">
        <v>9</v>
      </c>
      <c r="C678" s="27" t="s">
        <v>14</v>
      </c>
      <c r="D678" s="77" t="s">
        <v>10</v>
      </c>
      <c r="E678" s="74" t="s">
        <v>13</v>
      </c>
      <c r="F678" s="76" t="s">
        <v>11</v>
      </c>
      <c r="G678" s="75" t="s">
        <v>12</v>
      </c>
      <c r="H678" s="34" t="s">
        <v>237</v>
      </c>
    </row>
    <row r="679" spans="1:9" x14ac:dyDescent="0.2">
      <c r="A679" s="18">
        <v>37046</v>
      </c>
      <c r="B679" s="170">
        <v>1.883</v>
      </c>
      <c r="C679" s="163"/>
      <c r="D679" s="170">
        <v>5.1790000000000003</v>
      </c>
      <c r="E679" s="163"/>
      <c r="F679" s="170">
        <v>6.0430000000000001</v>
      </c>
      <c r="G679" s="170">
        <v>3.1589999999999998</v>
      </c>
      <c r="H679" s="163">
        <v>10</v>
      </c>
      <c r="I679" t="s">
        <v>235</v>
      </c>
    </row>
    <row r="680" spans="1:9" x14ac:dyDescent="0.2">
      <c r="A680" s="18">
        <v>37076</v>
      </c>
      <c r="B680" s="170">
        <v>1.093</v>
      </c>
      <c r="C680" s="163"/>
      <c r="D680" s="170">
        <v>1.258</v>
      </c>
      <c r="E680" s="163"/>
      <c r="F680" s="170">
        <v>1.1060000000000001</v>
      </c>
      <c r="G680" s="170">
        <v>1.581</v>
      </c>
      <c r="H680" s="163">
        <v>10</v>
      </c>
      <c r="I680" t="s">
        <v>235</v>
      </c>
    </row>
    <row r="681" spans="1:9" x14ac:dyDescent="0.2">
      <c r="A681" s="18">
        <v>37335</v>
      </c>
      <c r="B681" s="170">
        <v>0.61399999999999999</v>
      </c>
      <c r="C681" s="163"/>
      <c r="D681" s="163">
        <v>3.0000000000000001E-3</v>
      </c>
      <c r="E681" s="163"/>
      <c r="F681" s="170">
        <v>1.0680000000000001</v>
      </c>
      <c r="G681" s="170">
        <v>5.1029999999999998</v>
      </c>
      <c r="H681" s="163">
        <v>10</v>
      </c>
      <c r="I681" t="s">
        <v>235</v>
      </c>
    </row>
    <row r="682" spans="1:9" x14ac:dyDescent="0.2">
      <c r="A682" s="18">
        <v>37566</v>
      </c>
      <c r="B682" s="163"/>
      <c r="C682" s="163"/>
      <c r="D682" s="163"/>
      <c r="E682" s="163"/>
      <c r="F682" s="163"/>
      <c r="G682" s="163"/>
      <c r="H682" s="163">
        <v>10</v>
      </c>
      <c r="I682" t="s">
        <v>235</v>
      </c>
    </row>
    <row r="683" spans="1:9" x14ac:dyDescent="0.2">
      <c r="A683" s="18">
        <v>37594</v>
      </c>
      <c r="B683" s="163"/>
      <c r="C683" s="163"/>
      <c r="D683" s="163"/>
      <c r="E683" s="163"/>
      <c r="F683" s="163"/>
      <c r="G683" s="163"/>
      <c r="H683" s="163">
        <v>10</v>
      </c>
      <c r="I683" t="s">
        <v>235</v>
      </c>
    </row>
    <row r="684" spans="1:9" x14ac:dyDescent="0.2">
      <c r="A684" s="18">
        <v>37711</v>
      </c>
      <c r="B684" s="163"/>
      <c r="C684" s="163"/>
      <c r="D684" s="163"/>
      <c r="E684" s="163"/>
      <c r="F684" s="163"/>
      <c r="G684" s="163"/>
      <c r="H684" s="163">
        <v>10</v>
      </c>
      <c r="I684" t="s">
        <v>235</v>
      </c>
    </row>
    <row r="685" spans="1:9" x14ac:dyDescent="0.2">
      <c r="A685" s="18">
        <v>37739</v>
      </c>
      <c r="B685" s="163"/>
      <c r="C685" s="163"/>
      <c r="D685" s="163"/>
      <c r="E685" s="163"/>
      <c r="F685" s="163"/>
      <c r="G685" s="163"/>
      <c r="H685" s="163">
        <v>10</v>
      </c>
      <c r="I685" t="s">
        <v>235</v>
      </c>
    </row>
    <row r="686" spans="1:9" x14ac:dyDescent="0.2">
      <c r="A686" s="18">
        <v>37825</v>
      </c>
      <c r="B686" s="163"/>
      <c r="C686" s="163"/>
      <c r="D686" s="163"/>
      <c r="E686" s="163"/>
      <c r="F686" s="163"/>
      <c r="G686" s="163"/>
      <c r="H686" s="163">
        <v>10</v>
      </c>
      <c r="I686" t="s">
        <v>235</v>
      </c>
    </row>
    <row r="687" spans="1:9" x14ac:dyDescent="0.2">
      <c r="A687" s="18">
        <v>37888</v>
      </c>
      <c r="B687" s="163"/>
      <c r="C687" s="163"/>
      <c r="D687" s="163"/>
      <c r="E687" s="163"/>
      <c r="F687" s="163"/>
      <c r="G687" s="163"/>
      <c r="H687" s="163">
        <v>10</v>
      </c>
      <c r="I687" t="s">
        <v>235</v>
      </c>
    </row>
    <row r="688" spans="1:9" x14ac:dyDescent="0.2">
      <c r="A688" s="18">
        <v>37963</v>
      </c>
      <c r="B688" s="163"/>
      <c r="C688" s="163"/>
      <c r="D688" s="163"/>
      <c r="E688" s="163"/>
      <c r="F688" s="163"/>
      <c r="G688" s="163"/>
      <c r="H688" s="163">
        <v>10</v>
      </c>
      <c r="I688" t="s">
        <v>235</v>
      </c>
    </row>
    <row r="689" spans="1:9" x14ac:dyDescent="0.2">
      <c r="A689" s="18">
        <v>38012</v>
      </c>
      <c r="B689" s="163"/>
      <c r="C689" s="163"/>
      <c r="D689" s="163"/>
      <c r="E689" s="163"/>
      <c r="F689" s="163"/>
      <c r="G689" s="163"/>
      <c r="H689" s="163">
        <v>10</v>
      </c>
      <c r="I689" t="s">
        <v>235</v>
      </c>
    </row>
    <row r="690" spans="1:9" x14ac:dyDescent="0.2">
      <c r="A690" s="18">
        <v>38033</v>
      </c>
      <c r="B690" s="163"/>
      <c r="C690" s="163"/>
      <c r="D690" s="163"/>
      <c r="E690" s="163"/>
      <c r="F690" s="163"/>
      <c r="G690" s="163"/>
      <c r="H690" s="163">
        <v>10</v>
      </c>
      <c r="I690" t="s">
        <v>235</v>
      </c>
    </row>
    <row r="691" spans="1:9" x14ac:dyDescent="0.2">
      <c r="A691" s="18">
        <v>38271</v>
      </c>
      <c r="B691" s="163">
        <v>0.2389</v>
      </c>
      <c r="C691" s="163"/>
      <c r="D691" s="163">
        <v>0.2984</v>
      </c>
      <c r="E691" s="163"/>
      <c r="F691" s="170">
        <v>0.45439999999999997</v>
      </c>
      <c r="G691" s="170">
        <v>1.552</v>
      </c>
      <c r="H691" s="163">
        <v>10</v>
      </c>
      <c r="I691" t="s">
        <v>235</v>
      </c>
    </row>
    <row r="692" spans="1:9" x14ac:dyDescent="0.2">
      <c r="A692" s="18">
        <v>38474</v>
      </c>
      <c r="B692" s="163"/>
      <c r="C692" s="163"/>
      <c r="D692" s="163"/>
      <c r="E692" s="163"/>
      <c r="F692" s="163"/>
      <c r="G692" s="163"/>
      <c r="H692" s="163">
        <v>10</v>
      </c>
      <c r="I692" t="s">
        <v>235</v>
      </c>
    </row>
    <row r="693" spans="1:9" x14ac:dyDescent="0.2">
      <c r="A693" s="18">
        <v>38896</v>
      </c>
      <c r="B693" s="163">
        <v>5.5299999999999995E-2</v>
      </c>
      <c r="C693" s="163"/>
      <c r="D693" s="163">
        <v>4.1599999999999998E-2</v>
      </c>
      <c r="E693" s="163"/>
      <c r="F693" s="163">
        <v>2.2499999999999999E-2</v>
      </c>
      <c r="G693" s="163">
        <v>1.49E-2</v>
      </c>
      <c r="H693" s="163">
        <v>10</v>
      </c>
      <c r="I693" t="s">
        <v>235</v>
      </c>
    </row>
    <row r="694" spans="1:9" x14ac:dyDescent="0.2">
      <c r="A694" s="18">
        <v>40625</v>
      </c>
      <c r="B694" s="170">
        <v>3.4319999999999999</v>
      </c>
      <c r="C694" s="170">
        <v>2.1059999999999999</v>
      </c>
      <c r="D694" s="170">
        <v>3.1</v>
      </c>
      <c r="E694" s="170">
        <v>5.0019999999999998</v>
      </c>
      <c r="F694" s="170">
        <v>4.1950000000000003</v>
      </c>
      <c r="G694" s="170">
        <v>9.8030000000000008</v>
      </c>
      <c r="H694" s="163">
        <v>10</v>
      </c>
      <c r="I694" t="s">
        <v>235</v>
      </c>
    </row>
    <row r="695" spans="1:9" x14ac:dyDescent="0.2">
      <c r="A695" s="18">
        <v>40716</v>
      </c>
      <c r="B695" s="163">
        <v>0.28589999999999999</v>
      </c>
      <c r="C695" s="163">
        <v>7.7799999999999994E-2</v>
      </c>
      <c r="D695" s="170">
        <v>0.30560000000000004</v>
      </c>
      <c r="E695" s="163">
        <v>0.28799999999999998</v>
      </c>
      <c r="F695" s="170">
        <v>0.307</v>
      </c>
      <c r="G695" s="163">
        <v>0.2601</v>
      </c>
      <c r="H695" s="163">
        <v>10</v>
      </c>
      <c r="I695" t="s">
        <v>235</v>
      </c>
    </row>
    <row r="696" spans="1:9" x14ac:dyDescent="0.2">
      <c r="A696" s="18">
        <v>40821</v>
      </c>
      <c r="B696" s="170">
        <v>12.89</v>
      </c>
      <c r="C696" s="170">
        <v>0.72650000000000003</v>
      </c>
      <c r="D696" s="170">
        <v>9.9220000000000006</v>
      </c>
      <c r="E696" s="170">
        <v>13.5</v>
      </c>
      <c r="F696" s="170">
        <v>11.72</v>
      </c>
      <c r="G696" s="170">
        <v>13.19</v>
      </c>
      <c r="H696" s="163">
        <v>10</v>
      </c>
      <c r="I696" t="s">
        <v>235</v>
      </c>
    </row>
    <row r="697" spans="1:9" x14ac:dyDescent="0.2">
      <c r="A697" s="18">
        <v>40897</v>
      </c>
      <c r="B697" s="170">
        <v>5.9269999999999996</v>
      </c>
      <c r="C697" s="170">
        <v>13.21</v>
      </c>
      <c r="D697" s="170">
        <v>8.3249999999999993</v>
      </c>
      <c r="E697" s="170">
        <v>8.9920000000000009</v>
      </c>
      <c r="F697" s="170">
        <v>14.58</v>
      </c>
      <c r="G697" s="170">
        <v>20.03</v>
      </c>
      <c r="H697" s="163">
        <v>10</v>
      </c>
      <c r="I697" t="s">
        <v>235</v>
      </c>
    </row>
    <row r="698" spans="1:9" x14ac:dyDescent="0.2">
      <c r="A698" s="18">
        <v>41008</v>
      </c>
      <c r="B698" s="170">
        <v>1.9339999999999999</v>
      </c>
      <c r="C698" s="163">
        <v>0.1618</v>
      </c>
      <c r="D698" s="170">
        <v>3.6179999999999999</v>
      </c>
      <c r="E698" s="170">
        <v>4.5759999999999996</v>
      </c>
      <c r="F698" s="193"/>
      <c r="G698" s="170">
        <v>8.0470000000000006</v>
      </c>
      <c r="H698" s="163">
        <v>10</v>
      </c>
      <c r="I698" t="s">
        <v>235</v>
      </c>
    </row>
    <row r="699" spans="1:9" x14ac:dyDescent="0.2">
      <c r="A699" s="18">
        <v>41086</v>
      </c>
      <c r="B699" s="170">
        <v>6.2557</v>
      </c>
      <c r="C699" s="163">
        <v>0.26</v>
      </c>
      <c r="D699" s="170">
        <v>5.8311000000000002</v>
      </c>
      <c r="E699" s="170">
        <v>5.9565000000000001</v>
      </c>
      <c r="F699" s="170">
        <v>7.3677999999999999</v>
      </c>
      <c r="G699" s="170">
        <v>5.0853000000000002</v>
      </c>
      <c r="H699" s="163">
        <v>10</v>
      </c>
      <c r="I699" t="s">
        <v>235</v>
      </c>
    </row>
    <row r="700" spans="1:9" x14ac:dyDescent="0.2">
      <c r="A700" s="18">
        <v>41179</v>
      </c>
      <c r="B700" s="163">
        <v>6.6599999999999993E-2</v>
      </c>
      <c r="C700" s="170">
        <v>0.32219999999999999</v>
      </c>
      <c r="D700" s="163">
        <v>7.4799999999999991E-2</v>
      </c>
      <c r="E700" s="163">
        <v>0.1004</v>
      </c>
      <c r="F700" s="163">
        <v>0.10540000000000001</v>
      </c>
      <c r="G700" s="163">
        <v>5.4799999999999995E-2</v>
      </c>
      <c r="H700" s="163">
        <v>10</v>
      </c>
      <c r="I700" t="s">
        <v>235</v>
      </c>
    </row>
    <row r="701" spans="1:9" x14ac:dyDescent="0.2">
      <c r="A701" s="18">
        <v>41247</v>
      </c>
      <c r="B701" s="170">
        <v>0.40600000000000003</v>
      </c>
      <c r="C701" s="163">
        <v>0.19800000000000001</v>
      </c>
      <c r="D701" s="170">
        <v>0.33739999999999998</v>
      </c>
      <c r="E701" s="170">
        <v>0.41339999999999999</v>
      </c>
      <c r="F701" s="170">
        <v>0.36889999999999995</v>
      </c>
      <c r="G701" s="170">
        <v>0.60829999999999995</v>
      </c>
      <c r="H701" s="163">
        <v>10</v>
      </c>
      <c r="I701" t="s">
        <v>235</v>
      </c>
    </row>
    <row r="702" spans="1:9" x14ac:dyDescent="0.2">
      <c r="A702" s="18">
        <v>41352</v>
      </c>
      <c r="B702" s="170">
        <v>10.321299999999999</v>
      </c>
      <c r="C702" s="163">
        <v>0.159</v>
      </c>
      <c r="D702" s="170">
        <v>9.4622000000000011</v>
      </c>
      <c r="E702" s="170">
        <v>10.5336</v>
      </c>
      <c r="F702" s="170">
        <v>8.8902000000000001</v>
      </c>
      <c r="G702" s="170">
        <v>11.957000000000001</v>
      </c>
      <c r="H702" s="163">
        <v>10</v>
      </c>
      <c r="I702" t="s">
        <v>235</v>
      </c>
    </row>
    <row r="703" spans="1:9" x14ac:dyDescent="0.2">
      <c r="A703" s="18">
        <v>41445</v>
      </c>
      <c r="B703" s="163">
        <v>0.21480000000000002</v>
      </c>
      <c r="C703" s="163">
        <v>0.1009</v>
      </c>
      <c r="D703" s="163">
        <v>0.2137</v>
      </c>
      <c r="E703" s="163">
        <v>0.22950000000000001</v>
      </c>
      <c r="F703" s="163">
        <v>0.27489999999999998</v>
      </c>
      <c r="G703" s="170">
        <v>2.3727</v>
      </c>
      <c r="H703" s="163">
        <v>10</v>
      </c>
      <c r="I703" t="s">
        <v>235</v>
      </c>
    </row>
    <row r="704" spans="1:9" x14ac:dyDescent="0.2">
      <c r="A704" s="18">
        <v>41528</v>
      </c>
      <c r="B704" s="163">
        <v>0.129</v>
      </c>
      <c r="C704" s="163">
        <v>2.6199999999999998E-2</v>
      </c>
      <c r="D704" s="163">
        <v>1.23E-2</v>
      </c>
      <c r="E704" s="163">
        <v>0.2427</v>
      </c>
      <c r="F704" s="163">
        <v>6.9000000000000006E-2</v>
      </c>
      <c r="G704" s="163">
        <v>9.01E-2</v>
      </c>
      <c r="H704" s="163">
        <v>10</v>
      </c>
      <c r="I704" t="s">
        <v>235</v>
      </c>
    </row>
    <row r="705" spans="1:9" x14ac:dyDescent="0.2">
      <c r="A705" s="18">
        <v>41670</v>
      </c>
      <c r="B705" s="170">
        <v>2.8281000000000001</v>
      </c>
      <c r="C705" s="170">
        <v>47.750999999999998</v>
      </c>
      <c r="D705" s="170">
        <v>42.691000000000003</v>
      </c>
      <c r="E705" s="170">
        <v>50.170999999999999</v>
      </c>
      <c r="F705" s="170">
        <v>35.576000000000001</v>
      </c>
      <c r="G705" s="170">
        <v>56.341999999999999</v>
      </c>
      <c r="H705" s="163">
        <v>10</v>
      </c>
      <c r="I705" t="s">
        <v>235</v>
      </c>
    </row>
    <row r="706" spans="1:9" x14ac:dyDescent="0.2">
      <c r="A706" s="18">
        <v>41758</v>
      </c>
      <c r="B706" s="170">
        <v>1.3640000000000001</v>
      </c>
      <c r="C706" s="170">
        <v>1.8942000000000001</v>
      </c>
      <c r="D706" s="170">
        <v>1.2925</v>
      </c>
      <c r="E706" s="170">
        <v>2.2363000000000004</v>
      </c>
      <c r="F706" s="170">
        <v>1.43</v>
      </c>
      <c r="G706" s="170">
        <v>4.1063000000000001</v>
      </c>
      <c r="H706" s="163">
        <v>10</v>
      </c>
      <c r="I706" t="s">
        <v>235</v>
      </c>
    </row>
    <row r="707" spans="1:9" x14ac:dyDescent="0.2">
      <c r="A707" s="18">
        <v>41835</v>
      </c>
      <c r="B707" s="163">
        <v>0.216</v>
      </c>
      <c r="C707" s="163">
        <v>0.13090000000000002</v>
      </c>
      <c r="D707" s="163">
        <v>0.2064</v>
      </c>
      <c r="E707" s="170">
        <v>0.69729999999999992</v>
      </c>
      <c r="F707" s="163">
        <v>0.18630000000000002</v>
      </c>
      <c r="G707" s="170">
        <v>0.3054</v>
      </c>
      <c r="H707" s="163">
        <v>10</v>
      </c>
      <c r="I707" t="s">
        <v>235</v>
      </c>
    </row>
    <row r="708" spans="1:9" x14ac:dyDescent="0.2">
      <c r="A708" s="18">
        <v>42031</v>
      </c>
      <c r="B708" s="170">
        <v>2.6983000000000001</v>
      </c>
      <c r="C708" s="170">
        <v>44.55</v>
      </c>
      <c r="D708" s="170">
        <v>2.6532</v>
      </c>
      <c r="E708" s="170">
        <v>5.1281999999999996</v>
      </c>
      <c r="F708" s="170">
        <v>3.4980000000000002</v>
      </c>
      <c r="G708" s="170">
        <v>51.557000000000002</v>
      </c>
      <c r="H708" s="163">
        <v>10</v>
      </c>
      <c r="I708" t="s">
        <v>235</v>
      </c>
    </row>
    <row r="709" spans="1:9" x14ac:dyDescent="0.2">
      <c r="A709" s="18">
        <v>42094</v>
      </c>
      <c r="B709" s="170">
        <v>4.6486000000000001</v>
      </c>
      <c r="C709" s="170">
        <v>5.0886000000000005</v>
      </c>
      <c r="D709" s="170">
        <v>4.7421000000000006</v>
      </c>
      <c r="E709" s="170">
        <v>7.7593999999999994</v>
      </c>
      <c r="F709" s="170">
        <v>9.9099000000000004</v>
      </c>
      <c r="G709" s="170">
        <v>21.042999999999999</v>
      </c>
      <c r="H709" s="163">
        <v>10</v>
      </c>
      <c r="I709" t="s">
        <v>235</v>
      </c>
    </row>
    <row r="710" spans="1:9" x14ac:dyDescent="0.2">
      <c r="A710" s="18">
        <v>42192</v>
      </c>
      <c r="B710" s="170">
        <v>1.7852999999999999</v>
      </c>
      <c r="C710" s="170">
        <v>0.84899999999999998</v>
      </c>
      <c r="D710" s="170">
        <v>1.9734</v>
      </c>
      <c r="E710" s="170">
        <v>2.0394000000000001</v>
      </c>
      <c r="F710" s="170">
        <v>1.903</v>
      </c>
      <c r="G710" s="170">
        <v>1.3112000000000001</v>
      </c>
      <c r="H710" s="163">
        <v>10</v>
      </c>
      <c r="I710" t="s">
        <v>235</v>
      </c>
    </row>
    <row r="711" spans="1:9" x14ac:dyDescent="0.2">
      <c r="A711" s="18">
        <v>42290</v>
      </c>
      <c r="B711" s="163">
        <v>0.11309999999999999</v>
      </c>
      <c r="C711" s="163"/>
      <c r="D711" s="163">
        <v>0.2243</v>
      </c>
      <c r="E711" s="163">
        <v>0.21959999999999999</v>
      </c>
      <c r="F711" s="163">
        <v>0.24309999999999998</v>
      </c>
      <c r="G711" s="163">
        <v>0.19750000000000001</v>
      </c>
      <c r="H711" s="163">
        <v>10</v>
      </c>
      <c r="I711" t="s">
        <v>235</v>
      </c>
    </row>
    <row r="712" spans="1:9" x14ac:dyDescent="0.2">
      <c r="A712" s="18">
        <v>42381</v>
      </c>
      <c r="B712" s="170">
        <v>2.4255</v>
      </c>
      <c r="C712" s="163"/>
      <c r="D712" s="170">
        <v>2.3319999999999999</v>
      </c>
      <c r="E712" s="170">
        <v>2.3683000000000001</v>
      </c>
      <c r="F712" s="170">
        <v>2.4497</v>
      </c>
      <c r="G712" s="170">
        <v>2.4893000000000001</v>
      </c>
      <c r="H712" s="163">
        <v>10</v>
      </c>
      <c r="I712" t="s">
        <v>235</v>
      </c>
    </row>
    <row r="713" spans="1:9" x14ac:dyDescent="0.2">
      <c r="A713" s="18">
        <v>42479</v>
      </c>
      <c r="B713" s="170">
        <v>1.6247</v>
      </c>
      <c r="C713" s="163">
        <v>0.21130000000000002</v>
      </c>
      <c r="D713" s="170">
        <v>1.5267999999999999</v>
      </c>
      <c r="E713" s="170">
        <v>1.6235999999999999</v>
      </c>
      <c r="F713" s="170">
        <v>1.4883</v>
      </c>
      <c r="G713" s="170">
        <v>2.3353000000000002</v>
      </c>
      <c r="H713" s="163">
        <v>10</v>
      </c>
      <c r="I713" t="s">
        <v>235</v>
      </c>
    </row>
    <row r="714" spans="1:9" x14ac:dyDescent="0.2">
      <c r="A714" s="18">
        <v>42570</v>
      </c>
      <c r="B714" s="170">
        <v>0.4017</v>
      </c>
      <c r="C714" s="163">
        <v>8.0099999999999991E-2</v>
      </c>
      <c r="D714" s="170">
        <v>0.3372</v>
      </c>
      <c r="E714" s="170">
        <v>0.40379999999999999</v>
      </c>
      <c r="F714" s="170">
        <v>0.31869999999999998</v>
      </c>
      <c r="G714" s="170">
        <v>0.40720000000000001</v>
      </c>
      <c r="H714" s="163">
        <v>10</v>
      </c>
      <c r="I714" t="s">
        <v>235</v>
      </c>
    </row>
    <row r="715" spans="1:9" x14ac:dyDescent="0.2">
      <c r="A715" s="18">
        <v>42654</v>
      </c>
      <c r="B715" s="170">
        <v>1.5862000000000001</v>
      </c>
      <c r="C715" s="170">
        <v>0.39339999999999997</v>
      </c>
      <c r="D715" s="170">
        <v>1.2847999999999999</v>
      </c>
      <c r="E715" s="170">
        <v>1.4718</v>
      </c>
      <c r="F715" s="170">
        <v>1.1814</v>
      </c>
      <c r="G715" s="170">
        <v>0.88009999999999999</v>
      </c>
      <c r="H715" s="163">
        <v>10</v>
      </c>
      <c r="I715" t="s">
        <v>235</v>
      </c>
    </row>
    <row r="716" spans="1:9" x14ac:dyDescent="0.2">
      <c r="A716" s="18">
        <v>42745</v>
      </c>
      <c r="B716" s="170">
        <v>6.6769999999999996</v>
      </c>
      <c r="C716" s="170">
        <v>0.40329999999999999</v>
      </c>
      <c r="D716" s="170">
        <v>8.1234999999999999</v>
      </c>
      <c r="E716" s="170">
        <v>8.6757000000000009</v>
      </c>
      <c r="F716" s="170">
        <v>10.813000000000001</v>
      </c>
      <c r="G716" s="170">
        <v>11.308</v>
      </c>
      <c r="H716" s="163">
        <v>10</v>
      </c>
      <c r="I716" t="s">
        <v>235</v>
      </c>
    </row>
    <row r="717" spans="1:9" x14ac:dyDescent="0.2">
      <c r="A717" s="18">
        <v>42843</v>
      </c>
      <c r="B717" s="170">
        <v>1.8622999999999998</v>
      </c>
      <c r="C717" s="170">
        <v>0.61150000000000004</v>
      </c>
      <c r="D717" s="170">
        <v>1.9129</v>
      </c>
      <c r="E717" s="163">
        <v>0.25380000000000003</v>
      </c>
      <c r="F717" s="170">
        <v>1.6687000000000001</v>
      </c>
      <c r="G717" s="170">
        <v>2.5278</v>
      </c>
      <c r="H717" s="163">
        <v>10</v>
      </c>
      <c r="I717" t="s">
        <v>235</v>
      </c>
    </row>
    <row r="718" spans="1:9" x14ac:dyDescent="0.2">
      <c r="A718" s="18">
        <v>42934</v>
      </c>
      <c r="B718" s="170">
        <v>0.34620000000000001</v>
      </c>
      <c r="C718" s="170">
        <v>0.33260000000000001</v>
      </c>
      <c r="D718" s="170">
        <v>0.32780000000000004</v>
      </c>
      <c r="E718" s="163">
        <v>0.1628</v>
      </c>
      <c r="F718" s="163">
        <v>0.28039999999999998</v>
      </c>
      <c r="G718" s="163">
        <v>0.19069999999999998</v>
      </c>
      <c r="H718" s="163">
        <v>10</v>
      </c>
      <c r="I718" t="s">
        <v>235</v>
      </c>
    </row>
    <row r="719" spans="1:9" x14ac:dyDescent="0.2">
      <c r="A719" s="18">
        <v>43025</v>
      </c>
      <c r="B719" s="170">
        <v>0.30510000000000004</v>
      </c>
      <c r="C719" s="163">
        <v>0.1918</v>
      </c>
      <c r="D719" s="163">
        <v>0.1845</v>
      </c>
      <c r="E719" s="163">
        <v>0.26519999999999999</v>
      </c>
      <c r="F719" s="163">
        <v>0.17580000000000001</v>
      </c>
      <c r="G719" s="170">
        <v>0.30610000000000004</v>
      </c>
      <c r="H719" s="163">
        <v>10</v>
      </c>
      <c r="I719" t="s">
        <v>235</v>
      </c>
    </row>
    <row r="720" spans="1:9" x14ac:dyDescent="0.2">
      <c r="A720" s="18">
        <v>43109</v>
      </c>
      <c r="B720" s="170">
        <v>1.4377</v>
      </c>
      <c r="C720" s="170">
        <v>0.48260000000000003</v>
      </c>
      <c r="D720" s="170">
        <v>1.2892000000000001</v>
      </c>
      <c r="E720" s="170">
        <v>1.4365999999999999</v>
      </c>
      <c r="F720" s="170">
        <v>1.4399000000000002</v>
      </c>
      <c r="G720" s="170">
        <v>1.5554000000000001</v>
      </c>
      <c r="H720" s="163">
        <v>10</v>
      </c>
      <c r="I720" t="s">
        <v>235</v>
      </c>
    </row>
    <row r="721" spans="1:9" x14ac:dyDescent="0.2">
      <c r="A721" s="18">
        <v>43193</v>
      </c>
      <c r="B721" s="170">
        <v>8.657</v>
      </c>
      <c r="C721" s="170">
        <v>1.155</v>
      </c>
      <c r="D721" s="170">
        <v>8.3666</v>
      </c>
      <c r="E721" s="170">
        <v>9.0100999999999996</v>
      </c>
      <c r="F721" s="170">
        <v>8.3963000000000001</v>
      </c>
      <c r="G721" s="170">
        <v>13.079000000000001</v>
      </c>
      <c r="H721" s="163">
        <v>10</v>
      </c>
      <c r="I721" t="s">
        <v>235</v>
      </c>
    </row>
    <row r="722" spans="1:9" x14ac:dyDescent="0.2">
      <c r="A722" s="18">
        <v>43298</v>
      </c>
      <c r="B722" s="170">
        <v>0.3417</v>
      </c>
      <c r="C722" s="163">
        <v>0.10100000000000001</v>
      </c>
      <c r="D722" s="163">
        <v>0.29599999999999999</v>
      </c>
      <c r="E722" s="163">
        <v>9.3400000000000011E-2</v>
      </c>
      <c r="F722" s="163">
        <v>7.0599999999999996E-2</v>
      </c>
      <c r="G722" s="163">
        <v>8.14E-2</v>
      </c>
      <c r="H722" s="163">
        <v>10</v>
      </c>
      <c r="I722" t="s">
        <v>235</v>
      </c>
    </row>
    <row r="723" spans="1:9" x14ac:dyDescent="0.2">
      <c r="A723" s="18">
        <v>43403</v>
      </c>
      <c r="B723" s="170">
        <v>0.5968</v>
      </c>
      <c r="C723" s="163">
        <v>6.6299999999999998E-2</v>
      </c>
      <c r="D723" s="170">
        <v>0.8478</v>
      </c>
      <c r="E723" s="170">
        <v>0.7611</v>
      </c>
      <c r="F723" s="170">
        <v>0.51019999999999999</v>
      </c>
      <c r="G723" s="170">
        <v>0.72170000000000001</v>
      </c>
      <c r="H723" s="163">
        <v>10</v>
      </c>
      <c r="I723" t="s">
        <v>235</v>
      </c>
    </row>
    <row r="724" spans="1:9" x14ac:dyDescent="0.2">
      <c r="A724" s="18">
        <v>43487</v>
      </c>
      <c r="B724" s="163">
        <v>0.27599000000000001</v>
      </c>
      <c r="C724" s="163">
        <v>0.12265000000000001</v>
      </c>
      <c r="D724" s="170">
        <v>0.32119999999999999</v>
      </c>
      <c r="E724" s="163">
        <v>0.1991</v>
      </c>
      <c r="F724" s="170">
        <v>0.84248999999999996</v>
      </c>
      <c r="G724" s="163"/>
      <c r="H724" s="163">
        <v>10</v>
      </c>
      <c r="I724" t="s">
        <v>235</v>
      </c>
    </row>
    <row r="725" spans="1:9" x14ac:dyDescent="0.2">
      <c r="A725" s="18">
        <v>43578</v>
      </c>
      <c r="B725" s="170">
        <v>13.7775</v>
      </c>
      <c r="C725" s="170">
        <v>14.470499999999999</v>
      </c>
      <c r="D725" s="170">
        <v>14.2835</v>
      </c>
      <c r="E725" s="163">
        <v>0.20482</v>
      </c>
      <c r="F725" s="170">
        <v>12.881</v>
      </c>
      <c r="G725" s="170">
        <v>13.893000000000001</v>
      </c>
      <c r="H725" s="163">
        <v>10</v>
      </c>
      <c r="I725" t="s">
        <v>235</v>
      </c>
    </row>
    <row r="726" spans="1:9" x14ac:dyDescent="0.2">
      <c r="A726" s="18">
        <v>43704</v>
      </c>
      <c r="B726" s="163">
        <v>0.23155000000000001</v>
      </c>
      <c r="C726" s="170">
        <v>1.6180999999999999</v>
      </c>
      <c r="D726" s="163">
        <v>0.23683000000000001</v>
      </c>
      <c r="E726" s="163">
        <v>0.18480000000000002</v>
      </c>
      <c r="F726" s="170">
        <v>0.32544000000000001</v>
      </c>
      <c r="G726" s="163">
        <v>0.13365000000000002</v>
      </c>
      <c r="H726" s="163">
        <v>10</v>
      </c>
      <c r="I726" t="s">
        <v>235</v>
      </c>
    </row>
    <row r="727" spans="1:9" x14ac:dyDescent="0.2">
      <c r="A727" s="18">
        <v>43760</v>
      </c>
      <c r="B727" s="170">
        <v>2.4771999999999998</v>
      </c>
      <c r="C727" s="170">
        <v>0.35188999999999998</v>
      </c>
      <c r="D727" s="170">
        <v>2.5684999999999998</v>
      </c>
      <c r="E727" s="170">
        <v>2.5871999999999997</v>
      </c>
      <c r="F727" s="170">
        <v>2.6619999999999999</v>
      </c>
      <c r="G727" s="170">
        <v>4.0216000000000003</v>
      </c>
      <c r="H727" s="163">
        <v>10</v>
      </c>
      <c r="I727" t="s">
        <v>235</v>
      </c>
    </row>
    <row r="728" spans="1:9" x14ac:dyDescent="0.2">
      <c r="A728" s="18">
        <v>44021</v>
      </c>
      <c r="B728" s="170">
        <v>0.91464999999999996</v>
      </c>
      <c r="C728" s="163">
        <v>0.15411000000000002</v>
      </c>
      <c r="D728" s="170">
        <v>1.012</v>
      </c>
      <c r="E728" s="170">
        <v>0.92257</v>
      </c>
      <c r="F728" s="170">
        <v>0.85117999999999994</v>
      </c>
      <c r="G728" s="170">
        <v>1.4212</v>
      </c>
      <c r="H728" s="163">
        <v>10</v>
      </c>
      <c r="I728" t="s">
        <v>235</v>
      </c>
    </row>
    <row r="729" spans="1:9" x14ac:dyDescent="0.2">
      <c r="A729" s="18">
        <v>44111</v>
      </c>
      <c r="B729" s="163">
        <v>0.22352</v>
      </c>
      <c r="C729" s="170">
        <v>0.99285999999999996</v>
      </c>
      <c r="D729" s="163">
        <v>0.24793999999999999</v>
      </c>
      <c r="E729" s="163">
        <v>0.23441000000000001</v>
      </c>
      <c r="F729" s="163">
        <v>0.18809999999999999</v>
      </c>
      <c r="G729" s="163">
        <v>0.29743999999999998</v>
      </c>
      <c r="H729" s="163">
        <v>10</v>
      </c>
      <c r="I729" t="s">
        <v>235</v>
      </c>
    </row>
    <row r="730" spans="1:9" x14ac:dyDescent="0.2">
      <c r="A730" s="18">
        <v>44119</v>
      </c>
      <c r="B730" s="163">
        <v>0.1452</v>
      </c>
      <c r="C730" s="163"/>
      <c r="D730" s="163">
        <v>0.11517000000000001</v>
      </c>
      <c r="E730" s="163"/>
      <c r="F730" s="163"/>
      <c r="G730" s="163"/>
      <c r="H730" s="163">
        <v>10</v>
      </c>
      <c r="I730" t="s">
        <v>235</v>
      </c>
    </row>
    <row r="731" spans="1:9" x14ac:dyDescent="0.2">
      <c r="A731" s="18">
        <v>44120</v>
      </c>
      <c r="B731" s="163">
        <v>9.7185000000000007E-2</v>
      </c>
      <c r="C731" s="163"/>
      <c r="D731" s="163">
        <v>0.10959300000000001</v>
      </c>
      <c r="E731" s="163"/>
      <c r="F731" s="163"/>
      <c r="G731" s="163"/>
      <c r="H731" s="163">
        <v>10</v>
      </c>
      <c r="I731" t="s">
        <v>235</v>
      </c>
    </row>
    <row r="732" spans="1:9" x14ac:dyDescent="0.2">
      <c r="A732" s="18">
        <v>44146</v>
      </c>
      <c r="B732" s="163">
        <v>0.12748999999999999</v>
      </c>
      <c r="C732" s="170">
        <v>1.1495</v>
      </c>
      <c r="D732" s="163">
        <v>0.23605999999999999</v>
      </c>
      <c r="E732" s="170">
        <v>0.42998999999999998</v>
      </c>
      <c r="F732" s="163">
        <v>0.15059</v>
      </c>
      <c r="G732" s="170">
        <v>0.51655999999999991</v>
      </c>
      <c r="H732" s="163">
        <v>10</v>
      </c>
      <c r="I732" t="s">
        <v>238</v>
      </c>
    </row>
    <row r="733" spans="1:9" x14ac:dyDescent="0.2">
      <c r="A733" s="18">
        <v>44146</v>
      </c>
      <c r="B733" s="163">
        <v>0.02</v>
      </c>
      <c r="C733" s="163">
        <v>0.02</v>
      </c>
      <c r="D733" s="163">
        <v>0.02</v>
      </c>
      <c r="E733" s="163">
        <v>0.02</v>
      </c>
      <c r="F733" s="163">
        <v>0.02</v>
      </c>
      <c r="G733" s="163">
        <v>0.11</v>
      </c>
      <c r="H733" s="163">
        <v>10</v>
      </c>
      <c r="I733" t="s">
        <v>236</v>
      </c>
    </row>
    <row r="734" spans="1:9" x14ac:dyDescent="0.2">
      <c r="A734" s="18">
        <v>44184</v>
      </c>
      <c r="B734" s="170">
        <v>2.2999999999999998</v>
      </c>
      <c r="C734" s="163">
        <v>0.06</v>
      </c>
      <c r="D734" s="170">
        <v>1.6</v>
      </c>
      <c r="E734" s="170">
        <v>1.4</v>
      </c>
      <c r="F734" s="170">
        <v>1.3</v>
      </c>
      <c r="G734" s="170">
        <v>3.1</v>
      </c>
      <c r="H734" s="163">
        <v>10</v>
      </c>
      <c r="I734" t="s">
        <v>236</v>
      </c>
    </row>
    <row r="736" spans="1:9" x14ac:dyDescent="0.2">
      <c r="A736" s="34"/>
      <c r="B736" s="59" t="s">
        <v>91</v>
      </c>
    </row>
    <row r="737" spans="1:9" x14ac:dyDescent="0.2">
      <c r="A737" s="34"/>
      <c r="B737" s="60" t="s">
        <v>22</v>
      </c>
    </row>
    <row r="738" spans="1:9" x14ac:dyDescent="0.2">
      <c r="A738" s="12" t="s">
        <v>7</v>
      </c>
      <c r="B738" s="78" t="s">
        <v>9</v>
      </c>
      <c r="C738" s="27" t="s">
        <v>14</v>
      </c>
      <c r="D738" s="77" t="s">
        <v>10</v>
      </c>
      <c r="E738" s="74" t="s">
        <v>13</v>
      </c>
      <c r="F738" s="76" t="s">
        <v>11</v>
      </c>
      <c r="G738" s="75" t="s">
        <v>12</v>
      </c>
      <c r="H738" s="167" t="s">
        <v>237</v>
      </c>
    </row>
    <row r="739" spans="1:9" x14ac:dyDescent="0.2">
      <c r="A739" s="18">
        <v>37046</v>
      </c>
      <c r="B739" s="168">
        <v>5.2850000000000001E-2</v>
      </c>
      <c r="C739" s="168"/>
      <c r="D739" s="169">
        <v>0.1641</v>
      </c>
      <c r="E739" s="168"/>
      <c r="F739" s="168">
        <v>0.20469999999999999</v>
      </c>
      <c r="G739" s="168">
        <v>9.7610000000000002E-2</v>
      </c>
      <c r="H739" s="165">
        <v>2</v>
      </c>
      <c r="I739" t="s">
        <v>235</v>
      </c>
    </row>
    <row r="740" spans="1:9" x14ac:dyDescent="0.2">
      <c r="A740" s="18">
        <v>37076</v>
      </c>
      <c r="B740" s="168">
        <v>3.6749999999999998E-2</v>
      </c>
      <c r="C740" s="168"/>
      <c r="D740" s="168">
        <v>7.7010000000000009E-2</v>
      </c>
      <c r="E740" s="168"/>
      <c r="F740" s="168">
        <v>6.3619999999999996E-2</v>
      </c>
      <c r="G740" s="168">
        <v>3.9409999999999994E-2</v>
      </c>
      <c r="H740" s="165">
        <v>2</v>
      </c>
      <c r="I740" t="s">
        <v>235</v>
      </c>
    </row>
    <row r="741" spans="1:9" x14ac:dyDescent="0.2">
      <c r="A741" s="18">
        <v>37335</v>
      </c>
      <c r="B741" s="168">
        <v>4.7469999999999998E-2</v>
      </c>
      <c r="C741" s="168"/>
      <c r="D741" s="168">
        <v>1E-3</v>
      </c>
      <c r="E741" s="168"/>
      <c r="F741" s="168">
        <v>8.7249999999999994E-2</v>
      </c>
      <c r="G741" s="169">
        <v>0.1195</v>
      </c>
      <c r="H741" s="165">
        <v>2</v>
      </c>
      <c r="I741" t="s">
        <v>235</v>
      </c>
    </row>
    <row r="742" spans="1:9" x14ac:dyDescent="0.2">
      <c r="A742" s="18">
        <v>37566</v>
      </c>
      <c r="B742" s="168"/>
      <c r="C742" s="168"/>
      <c r="D742" s="168"/>
      <c r="E742" s="168"/>
      <c r="F742" s="168"/>
      <c r="G742" s="168"/>
      <c r="H742" s="165">
        <v>2</v>
      </c>
      <c r="I742" t="s">
        <v>235</v>
      </c>
    </row>
    <row r="743" spans="1:9" x14ac:dyDescent="0.2">
      <c r="A743" s="18">
        <v>37594</v>
      </c>
      <c r="B743" s="168"/>
      <c r="C743" s="168"/>
      <c r="D743" s="168"/>
      <c r="E743" s="168"/>
      <c r="F743" s="168"/>
      <c r="G743" s="168"/>
      <c r="H743" s="165">
        <v>2</v>
      </c>
      <c r="I743" t="s">
        <v>235</v>
      </c>
    </row>
    <row r="744" spans="1:9" x14ac:dyDescent="0.2">
      <c r="A744" s="18">
        <v>37711</v>
      </c>
      <c r="B744" s="168"/>
      <c r="C744" s="168"/>
      <c r="D744" s="168"/>
      <c r="E744" s="168"/>
      <c r="F744" s="168"/>
      <c r="G744" s="168"/>
      <c r="H744" s="165">
        <v>2</v>
      </c>
      <c r="I744" t="s">
        <v>235</v>
      </c>
    </row>
    <row r="745" spans="1:9" x14ac:dyDescent="0.2">
      <c r="A745" s="18">
        <v>37739</v>
      </c>
      <c r="B745" s="168"/>
      <c r="C745" s="168"/>
      <c r="D745" s="168"/>
      <c r="E745" s="168"/>
      <c r="F745" s="168"/>
      <c r="G745" s="168"/>
      <c r="H745" s="165">
        <v>2</v>
      </c>
      <c r="I745" t="s">
        <v>235</v>
      </c>
    </row>
    <row r="746" spans="1:9" x14ac:dyDescent="0.2">
      <c r="A746" s="18">
        <v>37825</v>
      </c>
      <c r="B746" s="168"/>
      <c r="C746" s="168"/>
      <c r="D746" s="168"/>
      <c r="E746" s="168"/>
      <c r="F746" s="168"/>
      <c r="G746" s="168"/>
      <c r="H746" s="165">
        <v>2</v>
      </c>
      <c r="I746" t="s">
        <v>235</v>
      </c>
    </row>
    <row r="747" spans="1:9" x14ac:dyDescent="0.2">
      <c r="A747" s="18">
        <v>37888</v>
      </c>
      <c r="B747" s="168">
        <v>6.9000000000000008E-3</v>
      </c>
      <c r="C747" s="168"/>
      <c r="D747" s="169">
        <v>0.37360000000000004</v>
      </c>
      <c r="E747" s="168"/>
      <c r="F747" s="168">
        <v>1.6899999999999998E-2</v>
      </c>
      <c r="G747" s="168">
        <v>1.35E-2</v>
      </c>
      <c r="H747" s="165">
        <v>2</v>
      </c>
      <c r="I747" t="s">
        <v>235</v>
      </c>
    </row>
    <row r="748" spans="1:9" x14ac:dyDescent="0.2">
      <c r="A748" s="18">
        <v>37963</v>
      </c>
      <c r="B748" s="168">
        <v>7.1499999999999994E-2</v>
      </c>
      <c r="C748" s="168"/>
      <c r="D748" s="169">
        <v>0.1154</v>
      </c>
      <c r="E748" s="168"/>
      <c r="F748" s="168">
        <v>9.1700000000000004E-2</v>
      </c>
      <c r="G748" s="168">
        <v>7.0599999999999996E-2</v>
      </c>
      <c r="H748" s="165">
        <v>2</v>
      </c>
      <c r="I748" t="s">
        <v>235</v>
      </c>
    </row>
    <row r="749" spans="1:9" x14ac:dyDescent="0.2">
      <c r="A749" s="18">
        <v>38012</v>
      </c>
      <c r="B749" s="168">
        <v>5.9700000000000003E-2</v>
      </c>
      <c r="C749" s="168"/>
      <c r="D749" s="169">
        <v>0.15890000000000001</v>
      </c>
      <c r="E749" s="168"/>
      <c r="F749" s="168">
        <v>8.1299999999999997E-2</v>
      </c>
      <c r="G749" s="168">
        <v>4.1399999999999999E-2</v>
      </c>
      <c r="H749" s="165">
        <v>2</v>
      </c>
      <c r="I749" t="s">
        <v>235</v>
      </c>
    </row>
    <row r="750" spans="1:9" x14ac:dyDescent="0.2">
      <c r="A750" s="18">
        <v>38033</v>
      </c>
      <c r="B750" s="168">
        <v>3.44E-2</v>
      </c>
      <c r="C750" s="168"/>
      <c r="D750" s="169">
        <v>0.2044</v>
      </c>
      <c r="E750" s="168"/>
      <c r="F750" s="168">
        <v>5.9400000000000001E-2</v>
      </c>
      <c r="G750" s="168">
        <v>2.12E-2</v>
      </c>
      <c r="H750" s="165">
        <v>2</v>
      </c>
      <c r="I750" t="s">
        <v>235</v>
      </c>
    </row>
    <row r="751" spans="1:9" x14ac:dyDescent="0.2">
      <c r="A751" s="18">
        <v>38271</v>
      </c>
      <c r="B751" s="168">
        <v>3.7899999999999996E-2</v>
      </c>
      <c r="C751" s="168"/>
      <c r="D751" s="168">
        <v>5.5899999999999998E-2</v>
      </c>
      <c r="E751" s="168"/>
      <c r="F751" s="168">
        <v>5.3800000000000001E-2</v>
      </c>
      <c r="G751" s="168">
        <v>5.8200000000000002E-2</v>
      </c>
      <c r="H751" s="165">
        <v>2</v>
      </c>
      <c r="I751" t="s">
        <v>235</v>
      </c>
    </row>
    <row r="752" spans="1:9" x14ac:dyDescent="0.2">
      <c r="A752" s="18">
        <v>38474</v>
      </c>
      <c r="B752" s="169">
        <v>0.17530000000000001</v>
      </c>
      <c r="C752" s="168"/>
      <c r="D752" s="169">
        <v>0.17880000000000001</v>
      </c>
      <c r="E752" s="168"/>
      <c r="F752" s="169">
        <v>0.2</v>
      </c>
      <c r="G752" s="169">
        <v>0.20660000000000001</v>
      </c>
      <c r="H752" s="165">
        <v>2</v>
      </c>
      <c r="I752" t="s">
        <v>235</v>
      </c>
    </row>
    <row r="753" spans="1:9" x14ac:dyDescent="0.2">
      <c r="A753" s="18">
        <v>38896</v>
      </c>
      <c r="B753" s="168">
        <v>1.5300000000000001E-2</v>
      </c>
      <c r="C753" s="168"/>
      <c r="D753" s="168">
        <v>3.0000000000000001E-3</v>
      </c>
      <c r="E753" s="168"/>
      <c r="F753" s="168">
        <v>4.0000000000000001E-3</v>
      </c>
      <c r="G753" s="168">
        <v>1.1000000000000001E-3</v>
      </c>
      <c r="H753" s="165">
        <v>2</v>
      </c>
      <c r="I753" t="s">
        <v>235</v>
      </c>
    </row>
    <row r="754" spans="1:9" x14ac:dyDescent="0.2">
      <c r="A754" s="18">
        <v>40625</v>
      </c>
      <c r="B754" s="168">
        <v>6.0100000000000001E-2</v>
      </c>
      <c r="C754" s="168">
        <v>3.5000000000000003E-2</v>
      </c>
      <c r="D754" s="168">
        <v>6.5599999999999992E-2</v>
      </c>
      <c r="E754" s="168">
        <v>6.6500000000000004E-2</v>
      </c>
      <c r="F754" s="168">
        <v>6.9800000000000001E-2</v>
      </c>
      <c r="G754" s="169">
        <v>0.16619999999999999</v>
      </c>
      <c r="H754" s="165">
        <v>2</v>
      </c>
      <c r="I754" t="s">
        <v>235</v>
      </c>
    </row>
    <row r="755" spans="1:9" x14ac:dyDescent="0.2">
      <c r="A755" s="18">
        <v>40716</v>
      </c>
      <c r="B755" s="168">
        <v>2.0899999999999998E-2</v>
      </c>
      <c r="C755" s="168">
        <v>9.6999999999999986E-3</v>
      </c>
      <c r="D755" s="168">
        <v>5.1999999999999998E-2</v>
      </c>
      <c r="E755" s="168">
        <v>4.6399999999999997E-2</v>
      </c>
      <c r="F755" s="168">
        <v>4.4600000000000001E-2</v>
      </c>
      <c r="G755" s="168">
        <v>3.4500000000000003E-2</v>
      </c>
      <c r="H755" s="165">
        <v>2</v>
      </c>
      <c r="I755" t="s">
        <v>235</v>
      </c>
    </row>
    <row r="756" spans="1:9" x14ac:dyDescent="0.2">
      <c r="A756" s="18">
        <v>40821</v>
      </c>
      <c r="B756" s="169">
        <v>0.1217</v>
      </c>
      <c r="C756" s="168">
        <v>1.32E-2</v>
      </c>
      <c r="D756" s="169">
        <v>0.1133</v>
      </c>
      <c r="E756" s="169">
        <v>0.14649999999999999</v>
      </c>
      <c r="F756" s="169">
        <v>0.1166</v>
      </c>
      <c r="G756" s="169">
        <v>0.15569999999999998</v>
      </c>
      <c r="H756" s="165">
        <v>2</v>
      </c>
      <c r="I756" t="s">
        <v>235</v>
      </c>
    </row>
    <row r="757" spans="1:9" x14ac:dyDescent="0.2">
      <c r="A757" s="18">
        <v>40897</v>
      </c>
      <c r="B757" s="168"/>
      <c r="C757" s="168"/>
      <c r="D757" s="168"/>
      <c r="E757" s="168"/>
      <c r="F757" s="168"/>
      <c r="G757" s="168"/>
      <c r="H757" s="165">
        <v>2</v>
      </c>
      <c r="I757" t="s">
        <v>235</v>
      </c>
    </row>
    <row r="758" spans="1:9" x14ac:dyDescent="0.2">
      <c r="A758" s="18">
        <v>41008</v>
      </c>
      <c r="B758" s="168">
        <v>3.1399999999999997E-2</v>
      </c>
      <c r="C758" s="168">
        <v>9.4999999999999998E-3</v>
      </c>
      <c r="D758" s="169">
        <v>0.114</v>
      </c>
      <c r="E758" s="169">
        <v>0.1323</v>
      </c>
      <c r="F758" s="169"/>
      <c r="G758" s="169">
        <v>0.15919999999999998</v>
      </c>
      <c r="H758" s="165">
        <v>2</v>
      </c>
      <c r="I758" t="s">
        <v>235</v>
      </c>
    </row>
    <row r="759" spans="1:9" x14ac:dyDescent="0.2">
      <c r="A759" s="18">
        <v>41086</v>
      </c>
      <c r="B759" s="168"/>
      <c r="C759" s="168"/>
      <c r="D759" s="168"/>
      <c r="E759" s="168"/>
      <c r="F759" s="168"/>
      <c r="G759" s="168"/>
      <c r="H759" s="165">
        <v>2</v>
      </c>
      <c r="I759" t="s">
        <v>235</v>
      </c>
    </row>
    <row r="760" spans="1:9" x14ac:dyDescent="0.2">
      <c r="A760" s="18">
        <v>41179</v>
      </c>
      <c r="B760" s="168">
        <v>3.7100000000000001E-2</v>
      </c>
      <c r="C760" s="168">
        <v>3.9899999999999998E-2</v>
      </c>
      <c r="D760" s="168">
        <v>8.3400000000000002E-2</v>
      </c>
      <c r="E760" s="168">
        <v>8.0500000000000002E-2</v>
      </c>
      <c r="F760" s="168">
        <v>3.3000000000000002E-2</v>
      </c>
      <c r="G760" s="168">
        <v>7.4999999999999997E-3</v>
      </c>
      <c r="H760" s="165">
        <v>2</v>
      </c>
      <c r="I760" t="s">
        <v>235</v>
      </c>
    </row>
    <row r="761" spans="1:9" x14ac:dyDescent="0.2">
      <c r="A761" s="18">
        <v>41247</v>
      </c>
      <c r="B761" s="168"/>
      <c r="C761" s="168"/>
      <c r="D761" s="168"/>
      <c r="E761" s="168"/>
      <c r="F761" s="168"/>
      <c r="G761" s="168"/>
      <c r="H761" s="165">
        <v>2</v>
      </c>
      <c r="I761" t="s">
        <v>235</v>
      </c>
    </row>
    <row r="762" spans="1:9" x14ac:dyDescent="0.2">
      <c r="A762" s="18">
        <v>41352</v>
      </c>
      <c r="B762" s="169">
        <v>0.20480000000000001</v>
      </c>
      <c r="C762" s="168">
        <v>1.21E-2</v>
      </c>
      <c r="D762" s="169">
        <v>0.2001</v>
      </c>
      <c r="E762" s="169">
        <v>0.21490000000000001</v>
      </c>
      <c r="F762" s="169">
        <v>0.1835</v>
      </c>
      <c r="G762" s="169">
        <v>0.2044</v>
      </c>
      <c r="H762" s="165">
        <v>2</v>
      </c>
      <c r="I762" t="s">
        <v>235</v>
      </c>
    </row>
    <row r="763" spans="1:9" x14ac:dyDescent="0.2">
      <c r="A763" s="18">
        <v>41445</v>
      </c>
      <c r="B763" s="168"/>
      <c r="C763" s="168"/>
      <c r="D763" s="168"/>
      <c r="E763" s="168"/>
      <c r="F763" s="168"/>
      <c r="G763" s="168"/>
      <c r="H763" s="165">
        <v>2</v>
      </c>
      <c r="I763" t="s">
        <v>235</v>
      </c>
    </row>
    <row r="764" spans="1:9" x14ac:dyDescent="0.2">
      <c r="A764" s="18">
        <v>41528</v>
      </c>
      <c r="B764" s="168">
        <v>2.7100000000000003E-2</v>
      </c>
      <c r="C764" s="168">
        <v>2.5100000000000001E-2</v>
      </c>
      <c r="D764" s="168">
        <v>5.6000000000000001E-2</v>
      </c>
      <c r="E764" s="168">
        <v>8.72E-2</v>
      </c>
      <c r="F764" s="168">
        <v>1.03E-2</v>
      </c>
      <c r="G764" s="168">
        <v>8.3000000000000001E-3</v>
      </c>
      <c r="H764" s="165">
        <v>2</v>
      </c>
      <c r="I764" t="s">
        <v>235</v>
      </c>
    </row>
    <row r="765" spans="1:9" x14ac:dyDescent="0.2">
      <c r="A765" s="18">
        <v>41670</v>
      </c>
      <c r="B765" s="168"/>
      <c r="C765" s="168"/>
      <c r="D765" s="168"/>
      <c r="E765" s="168"/>
      <c r="F765" s="168"/>
      <c r="G765" s="168"/>
      <c r="H765" s="165">
        <v>2</v>
      </c>
      <c r="I765" t="s">
        <v>235</v>
      </c>
    </row>
    <row r="766" spans="1:9" x14ac:dyDescent="0.2">
      <c r="A766" s="18">
        <v>41758</v>
      </c>
      <c r="B766" s="168">
        <v>4.7100000000000003E-2</v>
      </c>
      <c r="C766" s="168">
        <v>2.8799999999999999E-2</v>
      </c>
      <c r="D766" s="168">
        <v>7.3599999999999999E-2</v>
      </c>
      <c r="E766" s="168">
        <v>7.8299999999999995E-2</v>
      </c>
      <c r="F766" s="168">
        <v>5.8400000000000001E-2</v>
      </c>
      <c r="G766" s="169">
        <v>0.1565</v>
      </c>
      <c r="H766" s="165">
        <v>2</v>
      </c>
      <c r="I766" t="s">
        <v>235</v>
      </c>
    </row>
    <row r="767" spans="1:9" x14ac:dyDescent="0.2">
      <c r="A767" s="18">
        <v>41835</v>
      </c>
      <c r="B767" s="168"/>
      <c r="C767" s="168"/>
      <c r="D767" s="168"/>
      <c r="E767" s="168"/>
      <c r="F767" s="168"/>
      <c r="G767" s="168"/>
      <c r="H767" s="165">
        <v>2</v>
      </c>
      <c r="I767" t="s">
        <v>235</v>
      </c>
    </row>
    <row r="768" spans="1:9" x14ac:dyDescent="0.2">
      <c r="A768" s="18">
        <v>42031</v>
      </c>
      <c r="B768" s="168"/>
      <c r="C768" s="168"/>
      <c r="D768" s="168"/>
      <c r="E768" s="168"/>
      <c r="F768" s="168"/>
      <c r="G768" s="168"/>
      <c r="H768" s="165">
        <v>2</v>
      </c>
      <c r="I768" t="s">
        <v>235</v>
      </c>
    </row>
    <row r="769" spans="1:9" x14ac:dyDescent="0.2">
      <c r="A769" s="18">
        <v>42094</v>
      </c>
      <c r="B769" s="168">
        <v>8.3799999999999999E-2</v>
      </c>
      <c r="C769" s="168">
        <v>5.5200000000000006E-2</v>
      </c>
      <c r="D769" s="168">
        <v>9.1400000000000009E-2</v>
      </c>
      <c r="E769" s="169">
        <v>0.1021</v>
      </c>
      <c r="F769" s="169">
        <v>0.1527</v>
      </c>
      <c r="G769" s="169">
        <v>0.30530000000000002</v>
      </c>
      <c r="H769" s="165">
        <v>2</v>
      </c>
      <c r="I769" t="s">
        <v>235</v>
      </c>
    </row>
    <row r="770" spans="1:9" x14ac:dyDescent="0.2">
      <c r="A770" s="18">
        <v>42192</v>
      </c>
      <c r="B770" s="168"/>
      <c r="C770" s="168"/>
      <c r="D770" s="168"/>
      <c r="E770" s="168"/>
      <c r="F770" s="168"/>
      <c r="G770" s="168"/>
      <c r="H770" s="165">
        <v>2</v>
      </c>
      <c r="I770" t="s">
        <v>235</v>
      </c>
    </row>
    <row r="771" spans="1:9" x14ac:dyDescent="0.2">
      <c r="A771" s="18">
        <v>42290</v>
      </c>
      <c r="B771" s="168">
        <v>2.8799999999999999E-2</v>
      </c>
      <c r="C771" s="168"/>
      <c r="D771" s="168">
        <v>7.3499999999999996E-2</v>
      </c>
      <c r="E771" s="168">
        <v>8.4699999999999998E-2</v>
      </c>
      <c r="F771" s="168">
        <v>4.99E-2</v>
      </c>
      <c r="G771" s="168">
        <v>4.41E-2</v>
      </c>
      <c r="H771" s="165">
        <v>2</v>
      </c>
      <c r="I771" t="s">
        <v>235</v>
      </c>
    </row>
    <row r="772" spans="1:9" x14ac:dyDescent="0.2">
      <c r="A772" s="18">
        <v>42381</v>
      </c>
      <c r="B772" s="168"/>
      <c r="C772" s="168"/>
      <c r="D772" s="168"/>
      <c r="E772" s="168"/>
      <c r="F772" s="168"/>
      <c r="G772" s="168"/>
      <c r="H772" s="165">
        <v>2</v>
      </c>
      <c r="I772" t="s">
        <v>235</v>
      </c>
    </row>
    <row r="773" spans="1:9" x14ac:dyDescent="0.2">
      <c r="A773" s="18">
        <v>42479</v>
      </c>
      <c r="B773" s="168">
        <v>5.1200000000000002E-2</v>
      </c>
      <c r="C773" s="168">
        <v>1.0500000000000001E-2</v>
      </c>
      <c r="D773" s="168">
        <v>5.28E-2</v>
      </c>
      <c r="E773" s="168">
        <v>4.9799999999999997E-2</v>
      </c>
      <c r="F773" s="168">
        <v>4.4400000000000002E-2</v>
      </c>
      <c r="G773" s="168">
        <v>7.4999999999999997E-2</v>
      </c>
      <c r="H773" s="165">
        <v>2</v>
      </c>
      <c r="I773" t="s">
        <v>235</v>
      </c>
    </row>
    <row r="774" spans="1:9" x14ac:dyDescent="0.2">
      <c r="A774" s="18">
        <v>42570</v>
      </c>
      <c r="B774" s="168">
        <v>2.1600000000000001E-2</v>
      </c>
      <c r="C774" s="168">
        <v>2.7899999999999998E-2</v>
      </c>
      <c r="D774" s="168">
        <v>2.9899999999999999E-2</v>
      </c>
      <c r="E774" s="168">
        <v>3.5099999999999999E-2</v>
      </c>
      <c r="F774" s="168">
        <v>2.2699999999999998E-2</v>
      </c>
      <c r="G774" s="168">
        <v>3.2100000000000004E-2</v>
      </c>
      <c r="H774" s="165">
        <v>2</v>
      </c>
      <c r="I774" t="s">
        <v>235</v>
      </c>
    </row>
    <row r="775" spans="1:9" x14ac:dyDescent="0.2">
      <c r="A775" s="18">
        <v>42654</v>
      </c>
      <c r="B775" s="168">
        <v>5.3200000000000004E-2</v>
      </c>
      <c r="C775" s="168">
        <v>5.3700000000000005E-2</v>
      </c>
      <c r="D775" s="168">
        <v>9.2599999999999988E-2</v>
      </c>
      <c r="E775" s="168">
        <v>9.2599999999999988E-2</v>
      </c>
      <c r="F775" s="168">
        <v>7.2999999999999995E-2</v>
      </c>
      <c r="G775" s="168">
        <v>5.4450000000000005E-2</v>
      </c>
      <c r="H775" s="165">
        <v>2</v>
      </c>
      <c r="I775" t="s">
        <v>235</v>
      </c>
    </row>
    <row r="776" spans="1:9" x14ac:dyDescent="0.2">
      <c r="A776" s="18">
        <v>42745</v>
      </c>
      <c r="B776" s="169">
        <v>0.3533</v>
      </c>
      <c r="C776" s="168">
        <v>7.4000000000000003E-3</v>
      </c>
      <c r="D776" s="169">
        <v>0.34229999999999999</v>
      </c>
      <c r="E776" s="169">
        <v>0.34210000000000002</v>
      </c>
      <c r="F776" s="169">
        <v>0.35270000000000001</v>
      </c>
      <c r="G776" s="169">
        <v>0.4365</v>
      </c>
      <c r="H776" s="165">
        <v>2</v>
      </c>
      <c r="I776" t="s">
        <v>235</v>
      </c>
    </row>
    <row r="777" spans="1:9" x14ac:dyDescent="0.2">
      <c r="A777" s="18">
        <v>42843</v>
      </c>
      <c r="B777" s="168">
        <v>8.2000000000000003E-2</v>
      </c>
      <c r="C777" s="168">
        <v>4.3299999999999998E-2</v>
      </c>
      <c r="D777" s="169">
        <v>0.10590000000000001</v>
      </c>
      <c r="E777" s="169">
        <v>0.10829999999999999</v>
      </c>
      <c r="F777" s="168">
        <v>9.4900000000000012E-2</v>
      </c>
      <c r="G777" s="169">
        <v>0.1052</v>
      </c>
      <c r="H777" s="165">
        <v>2</v>
      </c>
      <c r="I777" t="s">
        <v>235</v>
      </c>
    </row>
    <row r="778" spans="1:9" x14ac:dyDescent="0.2">
      <c r="A778" s="18">
        <v>42934</v>
      </c>
      <c r="B778" s="168">
        <v>2.6199999999999998E-2</v>
      </c>
      <c r="C778" s="168">
        <v>4.5499999999999999E-2</v>
      </c>
      <c r="D778" s="168">
        <v>4.6600000000000003E-2</v>
      </c>
      <c r="E778" s="168">
        <v>1.2E-2</v>
      </c>
      <c r="F778" s="168">
        <v>3.5799999999999998E-2</v>
      </c>
      <c r="G778" s="168">
        <v>5.3899999999999997E-2</v>
      </c>
      <c r="H778" s="165">
        <v>2</v>
      </c>
      <c r="I778" t="s">
        <v>235</v>
      </c>
    </row>
    <row r="779" spans="1:9" x14ac:dyDescent="0.2">
      <c r="A779" s="18">
        <v>43025</v>
      </c>
      <c r="B779" s="168">
        <v>3.2799999999999996E-2</v>
      </c>
      <c r="C779" s="168">
        <v>6.720000000000001E-2</v>
      </c>
      <c r="D779" s="169">
        <v>0.1009</v>
      </c>
      <c r="E779" s="168">
        <v>8.6400000000000005E-2</v>
      </c>
      <c r="F779" s="168">
        <v>3.85E-2</v>
      </c>
      <c r="G779" s="168">
        <v>2.4E-2</v>
      </c>
      <c r="H779" s="165">
        <v>2</v>
      </c>
      <c r="I779" t="s">
        <v>235</v>
      </c>
    </row>
    <row r="780" spans="1:9" x14ac:dyDescent="0.2">
      <c r="A780" s="18">
        <v>43109</v>
      </c>
      <c r="B780" s="168">
        <v>7.8799999999999995E-2</v>
      </c>
      <c r="C780" s="168">
        <v>1.9699999999999999E-2</v>
      </c>
      <c r="D780" s="169">
        <v>0.1144</v>
      </c>
      <c r="E780" s="168">
        <v>9.8799999999999999E-2</v>
      </c>
      <c r="F780" s="169">
        <v>0.1462</v>
      </c>
      <c r="G780" s="168">
        <v>8.1599999999999992E-2</v>
      </c>
      <c r="H780" s="165">
        <v>2</v>
      </c>
      <c r="I780" t="s">
        <v>235</v>
      </c>
    </row>
    <row r="781" spans="1:9" x14ac:dyDescent="0.2">
      <c r="A781" s="18">
        <v>43193</v>
      </c>
      <c r="B781" s="169">
        <v>0.25869999999999999</v>
      </c>
      <c r="C781" s="168">
        <v>1.6300000000000002E-2</v>
      </c>
      <c r="D781" s="169">
        <v>0.26319999999999999</v>
      </c>
      <c r="E781" s="169">
        <v>0.2462</v>
      </c>
      <c r="F781" s="169">
        <v>0.2442</v>
      </c>
      <c r="G781" s="169">
        <v>0.30660000000000004</v>
      </c>
      <c r="H781" s="165">
        <v>2</v>
      </c>
      <c r="I781" t="s">
        <v>235</v>
      </c>
    </row>
    <row r="782" spans="1:9" x14ac:dyDescent="0.2">
      <c r="A782" s="18">
        <v>43298</v>
      </c>
      <c r="B782" s="168">
        <v>3.78E-2</v>
      </c>
      <c r="C782" s="168">
        <v>1.77E-2</v>
      </c>
      <c r="D782" s="168">
        <v>3.6600000000000001E-2</v>
      </c>
      <c r="E782" s="168">
        <v>3.2000000000000001E-2</v>
      </c>
      <c r="F782" s="168">
        <v>2.1600000000000001E-2</v>
      </c>
      <c r="G782" s="168">
        <v>2.53E-2</v>
      </c>
      <c r="H782" s="165">
        <v>2</v>
      </c>
      <c r="I782" t="s">
        <v>235</v>
      </c>
    </row>
    <row r="783" spans="1:9" x14ac:dyDescent="0.2">
      <c r="A783" s="18">
        <v>43403</v>
      </c>
      <c r="B783" s="168">
        <v>9.3799999999999994E-2</v>
      </c>
      <c r="C783" s="194">
        <v>0</v>
      </c>
      <c r="D783" s="169">
        <v>0.2344</v>
      </c>
      <c r="E783" s="169">
        <v>0.17560000000000001</v>
      </c>
      <c r="F783" s="168">
        <v>8.6699999999999999E-2</v>
      </c>
      <c r="G783" s="168">
        <v>8.9700000000000002E-2</v>
      </c>
      <c r="H783" s="165">
        <v>2</v>
      </c>
      <c r="I783" t="s">
        <v>235</v>
      </c>
    </row>
    <row r="784" spans="1:9" x14ac:dyDescent="0.2">
      <c r="A784" s="18">
        <v>43487</v>
      </c>
      <c r="B784" s="168">
        <v>6.787E-2</v>
      </c>
      <c r="C784" s="168">
        <v>2.0500000000000001E-2</v>
      </c>
      <c r="D784" s="169">
        <v>0.10969</v>
      </c>
      <c r="E784" s="168">
        <v>6.2939999999999996E-2</v>
      </c>
      <c r="F784" s="168">
        <v>6.2329999999999997E-2</v>
      </c>
      <c r="G784" s="168"/>
      <c r="H784" s="165">
        <v>2</v>
      </c>
      <c r="I784" t="s">
        <v>235</v>
      </c>
    </row>
    <row r="785" spans="1:9" x14ac:dyDescent="0.2">
      <c r="A785" s="18">
        <v>43578</v>
      </c>
      <c r="B785" s="169">
        <v>0.22516999999999998</v>
      </c>
      <c r="C785" s="169">
        <v>0.26300999999999997</v>
      </c>
      <c r="D785" s="169">
        <v>0.26069999999999999</v>
      </c>
      <c r="E785" s="169">
        <v>0.20899999999999999</v>
      </c>
      <c r="F785" s="169">
        <v>0.22253000000000001</v>
      </c>
      <c r="G785" s="169">
        <v>0.25662999999999997</v>
      </c>
      <c r="H785" s="165">
        <v>2</v>
      </c>
      <c r="I785" t="s">
        <v>235</v>
      </c>
    </row>
    <row r="786" spans="1:9" x14ac:dyDescent="0.2">
      <c r="A786" s="18">
        <v>43704</v>
      </c>
      <c r="B786" s="168">
        <v>1.8106000000000001E-2</v>
      </c>
      <c r="C786" s="168">
        <v>4.7201E-2</v>
      </c>
      <c r="D786" s="168">
        <v>3.1229E-2</v>
      </c>
      <c r="E786" s="168">
        <v>1.6280000000000003E-2</v>
      </c>
      <c r="F786" s="168">
        <v>4.3064999999999999E-2</v>
      </c>
      <c r="G786" s="168">
        <v>2.1109000000000003E-2</v>
      </c>
      <c r="H786" s="165">
        <v>2</v>
      </c>
      <c r="I786" t="s">
        <v>235</v>
      </c>
    </row>
    <row r="787" spans="1:9" x14ac:dyDescent="0.2">
      <c r="A787" s="18">
        <v>43760</v>
      </c>
      <c r="B787" s="168">
        <v>5.1864E-2</v>
      </c>
      <c r="C787" s="168">
        <v>9.9939999999999994E-3</v>
      </c>
      <c r="D787" s="168">
        <v>7.3436000000000001E-2</v>
      </c>
      <c r="E787" s="168">
        <v>7.2973999999999997E-2</v>
      </c>
      <c r="F787" s="168">
        <v>7.1400999999999992E-2</v>
      </c>
      <c r="G787" s="169">
        <v>0.12165999999999999</v>
      </c>
      <c r="H787" s="165">
        <v>2</v>
      </c>
      <c r="I787" t="s">
        <v>235</v>
      </c>
    </row>
    <row r="788" spans="1:9" x14ac:dyDescent="0.2">
      <c r="A788" s="18">
        <v>44021</v>
      </c>
      <c r="B788" s="168">
        <v>5.0798000000000003E-2</v>
      </c>
      <c r="C788" s="168">
        <v>1.0039999999999999E-2</v>
      </c>
      <c r="D788" s="168">
        <v>7.5801000000000007E-2</v>
      </c>
      <c r="E788" s="168">
        <v>7.1543999999999996E-2</v>
      </c>
      <c r="F788" s="168">
        <v>5.9950000000000003E-2</v>
      </c>
      <c r="G788" s="168">
        <v>7.0543000000000008E-2</v>
      </c>
      <c r="H788" s="165">
        <v>2</v>
      </c>
      <c r="I788" t="s">
        <v>235</v>
      </c>
    </row>
    <row r="789" spans="1:9" x14ac:dyDescent="0.2">
      <c r="A789" s="18">
        <v>44111</v>
      </c>
      <c r="B789" s="168">
        <v>3.2149999999999998E-2</v>
      </c>
      <c r="C789" s="168">
        <v>5.518E-2</v>
      </c>
      <c r="D789" s="168">
        <v>6.2590000000000007E-2</v>
      </c>
      <c r="E789" s="168">
        <v>6.0590000000000005E-2</v>
      </c>
      <c r="F789" s="168">
        <v>2.4930000000000001E-2</v>
      </c>
      <c r="G789" s="168">
        <v>5.1130000000000002E-2</v>
      </c>
      <c r="H789" s="165">
        <v>2</v>
      </c>
      <c r="I789" t="s">
        <v>235</v>
      </c>
    </row>
    <row r="790" spans="1:9" x14ac:dyDescent="0.2">
      <c r="A790" s="18">
        <v>44119</v>
      </c>
      <c r="B790" s="168">
        <v>2.4958999999999999E-2</v>
      </c>
      <c r="C790" s="168"/>
      <c r="D790" s="168">
        <v>5.3613999999999995E-2</v>
      </c>
      <c r="E790" s="168"/>
      <c r="F790" s="168"/>
      <c r="G790" s="168"/>
      <c r="H790" s="165">
        <v>2</v>
      </c>
      <c r="I790" t="s">
        <v>235</v>
      </c>
    </row>
    <row r="791" spans="1:9" x14ac:dyDescent="0.2">
      <c r="A791" s="18">
        <v>44120</v>
      </c>
      <c r="B791" s="168">
        <v>2.7511000000000001E-2</v>
      </c>
      <c r="C791" s="168"/>
      <c r="D791" s="168">
        <v>7.1499999999999994E-2</v>
      </c>
      <c r="E791" s="168"/>
      <c r="F791" s="168"/>
      <c r="G791" s="168"/>
      <c r="H791" s="165">
        <v>2</v>
      </c>
      <c r="I791" t="s">
        <v>235</v>
      </c>
    </row>
    <row r="792" spans="1:9" x14ac:dyDescent="0.2">
      <c r="A792" s="18">
        <v>44146</v>
      </c>
      <c r="B792" s="168">
        <f>38.42/1000</f>
        <v>3.8420000000000003E-2</v>
      </c>
      <c r="C792" s="168">
        <f>95.96/1000</f>
        <v>9.595999999999999E-2</v>
      </c>
      <c r="D792" s="169">
        <f>159.72/1000</f>
        <v>0.15972</v>
      </c>
      <c r="E792" s="169">
        <f>162.47/1000</f>
        <v>0.16247</v>
      </c>
      <c r="F792" s="168">
        <f>20.13/1000</f>
        <v>2.0129999999999999E-2</v>
      </c>
      <c r="G792" s="168">
        <f>54.97/1000</f>
        <v>5.4969999999999998E-2</v>
      </c>
      <c r="H792" s="165">
        <v>2</v>
      </c>
      <c r="I792" t="s">
        <v>235</v>
      </c>
    </row>
    <row r="793" spans="1:9" x14ac:dyDescent="0.2">
      <c r="A793" s="17">
        <v>44146</v>
      </c>
      <c r="B793" s="168">
        <v>6.7000000000000004E-2</v>
      </c>
      <c r="C793" s="168">
        <v>9.4E-2</v>
      </c>
      <c r="D793" s="169">
        <v>0.18</v>
      </c>
      <c r="E793" s="169">
        <v>0.19</v>
      </c>
      <c r="F793" s="168">
        <v>3.3000000000000002E-2</v>
      </c>
      <c r="G793" s="168">
        <v>7.1999999999999995E-2</v>
      </c>
      <c r="H793" s="165">
        <v>2</v>
      </c>
      <c r="I793" t="s">
        <v>236</v>
      </c>
    </row>
    <row r="794" spans="1:9" x14ac:dyDescent="0.2">
      <c r="A794" s="17">
        <v>44184</v>
      </c>
      <c r="B794" s="168">
        <v>8.4000000000000005E-2</v>
      </c>
      <c r="C794" s="168">
        <v>1.0999999999999999E-2</v>
      </c>
      <c r="D794" s="188">
        <v>0.08</v>
      </c>
      <c r="E794" s="188">
        <v>7.9000000000000001E-2</v>
      </c>
      <c r="F794" s="168">
        <v>8.1000000000000003E-2</v>
      </c>
      <c r="G794" s="168">
        <v>0.1</v>
      </c>
      <c r="H794" s="165">
        <v>2</v>
      </c>
      <c r="I794" t="s">
        <v>236</v>
      </c>
    </row>
    <row r="796" spans="1:9" hidden="1" x14ac:dyDescent="0.2">
      <c r="A796" s="34"/>
      <c r="B796" s="36" t="s">
        <v>93</v>
      </c>
    </row>
    <row r="797" spans="1:9" hidden="1" x14ac:dyDescent="0.2">
      <c r="A797" s="34"/>
      <c r="B797" s="29" t="s">
        <v>75</v>
      </c>
    </row>
    <row r="798" spans="1:9" hidden="1" x14ac:dyDescent="0.2">
      <c r="A798" s="12" t="s">
        <v>7</v>
      </c>
      <c r="B798" s="78" t="s">
        <v>9</v>
      </c>
      <c r="C798" s="27" t="s">
        <v>14</v>
      </c>
      <c r="D798" s="77" t="s">
        <v>10</v>
      </c>
      <c r="E798" s="74" t="s">
        <v>13</v>
      </c>
      <c r="F798" s="76" t="s">
        <v>11</v>
      </c>
      <c r="G798" s="75" t="s">
        <v>12</v>
      </c>
    </row>
    <row r="799" spans="1:9" hidden="1" x14ac:dyDescent="0.2">
      <c r="A799" s="18">
        <v>37046</v>
      </c>
      <c r="B799" s="34">
        <v>4</v>
      </c>
      <c r="C799" s="34"/>
      <c r="D799" s="34">
        <v>4</v>
      </c>
      <c r="E799" s="34"/>
      <c r="F799" s="34">
        <v>4</v>
      </c>
      <c r="G799" s="34">
        <v>4</v>
      </c>
    </row>
    <row r="800" spans="1:9" hidden="1" x14ac:dyDescent="0.2">
      <c r="A800" s="18">
        <v>37076</v>
      </c>
      <c r="B800" s="34">
        <v>5.2</v>
      </c>
      <c r="C800" s="34"/>
      <c r="D800" s="34">
        <v>15.34</v>
      </c>
      <c r="E800" s="34"/>
      <c r="F800" s="34">
        <v>29.4</v>
      </c>
      <c r="G800" s="34">
        <v>26.95</v>
      </c>
    </row>
    <row r="801" spans="1:7" hidden="1" x14ac:dyDescent="0.2">
      <c r="A801" s="18">
        <v>37335</v>
      </c>
      <c r="B801" s="34">
        <v>27.4</v>
      </c>
      <c r="C801" s="34"/>
      <c r="D801" s="34">
        <v>9.01</v>
      </c>
      <c r="E801" s="34"/>
      <c r="F801" s="34">
        <v>19.28</v>
      </c>
      <c r="G801" s="34">
        <v>27.21</v>
      </c>
    </row>
    <row r="802" spans="1:7" hidden="1" x14ac:dyDescent="0.2">
      <c r="A802" s="18">
        <v>37566</v>
      </c>
      <c r="B802" s="34"/>
      <c r="C802" s="34"/>
      <c r="D802" s="34"/>
      <c r="E802" s="34"/>
      <c r="F802" s="34"/>
      <c r="G802" s="34"/>
    </row>
    <row r="803" spans="1:7" hidden="1" x14ac:dyDescent="0.2">
      <c r="A803" s="18">
        <v>37594</v>
      </c>
      <c r="B803" s="34"/>
      <c r="C803" s="34"/>
      <c r="D803" s="34"/>
      <c r="E803" s="34"/>
      <c r="F803" s="34"/>
      <c r="G803" s="34"/>
    </row>
    <row r="804" spans="1:7" hidden="1" x14ac:dyDescent="0.2">
      <c r="A804" s="18">
        <v>37711</v>
      </c>
      <c r="B804" s="34"/>
      <c r="C804" s="34"/>
      <c r="D804" s="34"/>
      <c r="E804" s="34"/>
      <c r="F804" s="34"/>
      <c r="G804" s="34"/>
    </row>
    <row r="805" spans="1:7" hidden="1" x14ac:dyDescent="0.2">
      <c r="A805" s="18">
        <v>37739</v>
      </c>
      <c r="B805" s="34"/>
      <c r="C805" s="34"/>
      <c r="D805" s="34"/>
      <c r="E805" s="34"/>
      <c r="F805" s="34"/>
      <c r="G805" s="34"/>
    </row>
    <row r="806" spans="1:7" hidden="1" x14ac:dyDescent="0.2">
      <c r="A806" s="18">
        <v>37825</v>
      </c>
      <c r="B806" s="34"/>
      <c r="C806" s="34"/>
      <c r="D806" s="34"/>
      <c r="E806" s="34"/>
      <c r="F806" s="34"/>
      <c r="G806" s="34"/>
    </row>
    <row r="807" spans="1:7" hidden="1" x14ac:dyDescent="0.2">
      <c r="A807" s="18">
        <v>37888</v>
      </c>
      <c r="B807" s="34"/>
      <c r="C807" s="34"/>
      <c r="D807" s="34"/>
      <c r="E807" s="34"/>
      <c r="F807" s="34"/>
      <c r="G807" s="34"/>
    </row>
    <row r="808" spans="1:7" hidden="1" x14ac:dyDescent="0.2">
      <c r="A808" s="18">
        <v>37963</v>
      </c>
      <c r="B808" s="34"/>
      <c r="C808" s="34"/>
      <c r="D808" s="34"/>
      <c r="E808" s="34"/>
      <c r="F808" s="34"/>
      <c r="G808" s="34"/>
    </row>
    <row r="809" spans="1:7" hidden="1" x14ac:dyDescent="0.2">
      <c r="A809" s="18">
        <v>38012</v>
      </c>
      <c r="B809" s="34"/>
      <c r="C809" s="34"/>
      <c r="D809" s="34"/>
      <c r="E809" s="34"/>
      <c r="F809" s="34"/>
      <c r="G809" s="34"/>
    </row>
    <row r="810" spans="1:7" hidden="1" x14ac:dyDescent="0.2">
      <c r="A810" s="18">
        <v>38033</v>
      </c>
      <c r="B810" s="34"/>
      <c r="C810" s="34"/>
      <c r="D810" s="34"/>
      <c r="E810" s="34"/>
      <c r="F810" s="34"/>
      <c r="G810" s="34"/>
    </row>
    <row r="811" spans="1:7" hidden="1" x14ac:dyDescent="0.2">
      <c r="A811" s="18">
        <v>38271</v>
      </c>
      <c r="B811" s="34">
        <v>16.600000000000001</v>
      </c>
      <c r="C811" s="34"/>
      <c r="D811" s="34">
        <v>18.8</v>
      </c>
      <c r="E811" s="34"/>
      <c r="F811" s="34">
        <v>25.1</v>
      </c>
      <c r="G811" s="34">
        <v>24.1</v>
      </c>
    </row>
    <row r="812" spans="1:7" hidden="1" x14ac:dyDescent="0.2">
      <c r="A812" s="18">
        <v>38474</v>
      </c>
      <c r="B812" s="34"/>
      <c r="C812" s="34"/>
      <c r="D812" s="34"/>
      <c r="E812" s="34"/>
      <c r="F812" s="34"/>
      <c r="G812" s="34"/>
    </row>
    <row r="813" spans="1:7" hidden="1" x14ac:dyDescent="0.2">
      <c r="A813" s="18">
        <v>38896</v>
      </c>
      <c r="B813" s="34">
        <v>8</v>
      </c>
      <c r="C813" s="34"/>
      <c r="D813" s="34">
        <v>6.1</v>
      </c>
      <c r="E813" s="34"/>
      <c r="F813" s="34">
        <v>7.2</v>
      </c>
      <c r="G813" s="34">
        <v>8.9</v>
      </c>
    </row>
    <row r="814" spans="1:7" hidden="1" x14ac:dyDescent="0.2">
      <c r="A814" s="18">
        <v>40625</v>
      </c>
      <c r="B814" s="34">
        <v>34.799999999999997</v>
      </c>
      <c r="C814" s="34">
        <v>27.7</v>
      </c>
      <c r="D814" s="34">
        <v>15.4</v>
      </c>
      <c r="E814" s="34">
        <v>25.7</v>
      </c>
      <c r="F814" s="34">
        <v>29.4</v>
      </c>
      <c r="G814" s="34">
        <v>33.5</v>
      </c>
    </row>
    <row r="815" spans="1:7" hidden="1" x14ac:dyDescent="0.2">
      <c r="A815" s="18">
        <v>40716</v>
      </c>
      <c r="B815" s="34">
        <v>15</v>
      </c>
      <c r="C815" s="34">
        <v>15</v>
      </c>
      <c r="D815" s="34">
        <v>15</v>
      </c>
      <c r="E815" s="34">
        <v>15</v>
      </c>
      <c r="F815" s="34">
        <v>15</v>
      </c>
      <c r="G815" s="34">
        <v>15</v>
      </c>
    </row>
    <row r="816" spans="1:7" hidden="1" x14ac:dyDescent="0.2">
      <c r="A816" s="18">
        <v>40821</v>
      </c>
      <c r="B816" s="34">
        <v>50</v>
      </c>
      <c r="C816" s="34">
        <v>117.2</v>
      </c>
      <c r="D816" s="34">
        <v>50</v>
      </c>
      <c r="E816" s="34">
        <v>14.9</v>
      </c>
      <c r="F816" s="34">
        <v>50</v>
      </c>
      <c r="G816" s="34">
        <v>50</v>
      </c>
    </row>
    <row r="817" spans="1:7" hidden="1" x14ac:dyDescent="0.2">
      <c r="A817" s="18">
        <v>40897</v>
      </c>
      <c r="B817" s="34">
        <v>50</v>
      </c>
      <c r="C817" s="34">
        <v>50</v>
      </c>
      <c r="D817" s="34">
        <v>50</v>
      </c>
      <c r="E817" s="34">
        <v>50</v>
      </c>
      <c r="F817" s="34">
        <v>50</v>
      </c>
      <c r="G817" s="34">
        <v>50</v>
      </c>
    </row>
    <row r="818" spans="1:7" hidden="1" x14ac:dyDescent="0.2">
      <c r="A818" s="18">
        <v>41008</v>
      </c>
      <c r="B818" s="34">
        <v>50</v>
      </c>
      <c r="C818" s="34">
        <v>50</v>
      </c>
      <c r="D818" s="34">
        <v>50</v>
      </c>
      <c r="E818" s="34">
        <v>50</v>
      </c>
      <c r="F818" s="34">
        <v>86.6</v>
      </c>
      <c r="G818" s="34">
        <v>50</v>
      </c>
    </row>
    <row r="819" spans="1:7" hidden="1" x14ac:dyDescent="0.2">
      <c r="A819" s="18">
        <v>41086</v>
      </c>
      <c r="B819" s="34">
        <v>50</v>
      </c>
      <c r="C819" s="34">
        <v>50</v>
      </c>
      <c r="D819" s="34">
        <v>50</v>
      </c>
      <c r="E819" s="34">
        <v>50</v>
      </c>
      <c r="F819" s="34">
        <v>50</v>
      </c>
      <c r="G819" s="34">
        <v>50</v>
      </c>
    </row>
    <row r="820" spans="1:7" hidden="1" x14ac:dyDescent="0.2">
      <c r="A820" s="18">
        <v>41179</v>
      </c>
      <c r="B820" s="34">
        <v>50</v>
      </c>
      <c r="C820" s="34">
        <v>50</v>
      </c>
      <c r="D820" s="34">
        <v>50</v>
      </c>
      <c r="E820" s="34">
        <v>50</v>
      </c>
      <c r="F820" s="34">
        <v>50</v>
      </c>
      <c r="G820" s="34">
        <v>50</v>
      </c>
    </row>
    <row r="821" spans="1:7" hidden="1" x14ac:dyDescent="0.2">
      <c r="A821" s="18">
        <v>41247</v>
      </c>
      <c r="B821" s="34">
        <v>50</v>
      </c>
      <c r="C821" s="34">
        <v>50</v>
      </c>
      <c r="D821" s="34">
        <v>50</v>
      </c>
      <c r="E821" s="34">
        <v>50</v>
      </c>
      <c r="F821" s="34">
        <v>50</v>
      </c>
      <c r="G821" s="34">
        <v>50</v>
      </c>
    </row>
    <row r="822" spans="1:7" hidden="1" x14ac:dyDescent="0.2">
      <c r="A822" s="18">
        <v>41352</v>
      </c>
      <c r="B822" s="34">
        <v>50</v>
      </c>
      <c r="C822" s="34">
        <v>50</v>
      </c>
      <c r="D822" s="34">
        <v>50</v>
      </c>
      <c r="E822" s="34">
        <v>50</v>
      </c>
      <c r="F822" s="34">
        <v>50</v>
      </c>
      <c r="G822" s="34">
        <v>50</v>
      </c>
    </row>
    <row r="823" spans="1:7" hidden="1" x14ac:dyDescent="0.2">
      <c r="A823" s="18">
        <v>41445</v>
      </c>
      <c r="B823" s="34">
        <v>50</v>
      </c>
      <c r="C823" s="34">
        <v>50</v>
      </c>
      <c r="D823" s="34">
        <v>50</v>
      </c>
      <c r="E823" s="34">
        <v>50</v>
      </c>
      <c r="F823" s="34">
        <v>50</v>
      </c>
      <c r="G823" s="34">
        <v>50</v>
      </c>
    </row>
    <row r="824" spans="1:7" hidden="1" x14ac:dyDescent="0.2">
      <c r="A824" s="18">
        <v>41528</v>
      </c>
      <c r="B824" s="34">
        <v>50</v>
      </c>
      <c r="C824" s="34">
        <v>50</v>
      </c>
      <c r="D824" s="34">
        <v>50</v>
      </c>
      <c r="E824" s="34">
        <v>50</v>
      </c>
      <c r="F824" s="34">
        <v>50</v>
      </c>
      <c r="G824" s="34">
        <v>50</v>
      </c>
    </row>
    <row r="825" spans="1:7" hidden="1" x14ac:dyDescent="0.2">
      <c r="A825" s="18">
        <v>41670</v>
      </c>
      <c r="B825" s="34">
        <v>50</v>
      </c>
      <c r="C825" s="34">
        <v>55.2</v>
      </c>
      <c r="D825" s="34">
        <v>50</v>
      </c>
      <c r="E825" s="34">
        <v>52.7</v>
      </c>
      <c r="F825" s="34">
        <v>50</v>
      </c>
      <c r="G825" s="34">
        <v>59.7</v>
      </c>
    </row>
    <row r="826" spans="1:7" hidden="1" x14ac:dyDescent="0.2">
      <c r="A826" s="18">
        <v>41758</v>
      </c>
      <c r="B826" s="34">
        <v>50</v>
      </c>
      <c r="C826" s="34">
        <v>50</v>
      </c>
      <c r="D826" s="34">
        <v>50</v>
      </c>
      <c r="E826" s="34">
        <v>50</v>
      </c>
      <c r="F826" s="34">
        <v>50</v>
      </c>
      <c r="G826" s="34">
        <v>50</v>
      </c>
    </row>
    <row r="827" spans="1:7" hidden="1" x14ac:dyDescent="0.2">
      <c r="A827" s="18">
        <v>41835</v>
      </c>
      <c r="B827" s="34">
        <v>50</v>
      </c>
      <c r="C827" s="34">
        <v>50</v>
      </c>
      <c r="D827" s="34">
        <v>50</v>
      </c>
      <c r="E827" s="34">
        <v>50</v>
      </c>
      <c r="F827" s="34">
        <v>50</v>
      </c>
      <c r="G827" s="34">
        <v>50</v>
      </c>
    </row>
    <row r="828" spans="1:7" hidden="1" x14ac:dyDescent="0.2">
      <c r="A828" s="18">
        <v>42031</v>
      </c>
      <c r="B828" s="34">
        <v>50</v>
      </c>
      <c r="C828" s="34">
        <v>54.5</v>
      </c>
      <c r="D828" s="34">
        <v>50</v>
      </c>
      <c r="E828" s="34">
        <v>50</v>
      </c>
      <c r="F828" s="34">
        <v>50</v>
      </c>
      <c r="G828" s="34">
        <v>62.7</v>
      </c>
    </row>
    <row r="829" spans="1:7" hidden="1" x14ac:dyDescent="0.2">
      <c r="A829" s="18">
        <v>42094</v>
      </c>
      <c r="B829" s="34">
        <v>50</v>
      </c>
      <c r="C829" s="34">
        <v>50</v>
      </c>
      <c r="D829" s="34">
        <v>50</v>
      </c>
      <c r="E829" s="34">
        <v>50</v>
      </c>
      <c r="F829" s="34">
        <v>50</v>
      </c>
      <c r="G829" s="34">
        <v>50</v>
      </c>
    </row>
    <row r="830" spans="1:7" hidden="1" x14ac:dyDescent="0.2">
      <c r="A830" s="18">
        <v>42192</v>
      </c>
      <c r="B830" s="34">
        <v>50</v>
      </c>
      <c r="C830" s="34">
        <v>50</v>
      </c>
      <c r="D830" s="34">
        <v>50</v>
      </c>
      <c r="E830" s="34">
        <v>50</v>
      </c>
      <c r="F830" s="34">
        <v>50</v>
      </c>
      <c r="G830" s="34">
        <v>50</v>
      </c>
    </row>
    <row r="831" spans="1:7" hidden="1" x14ac:dyDescent="0.2">
      <c r="A831" s="18">
        <v>42290</v>
      </c>
      <c r="B831" s="34">
        <v>50</v>
      </c>
      <c r="C831" s="34"/>
      <c r="D831" s="34">
        <v>50</v>
      </c>
      <c r="E831" s="34">
        <v>50</v>
      </c>
      <c r="F831" s="34">
        <v>50</v>
      </c>
      <c r="G831" s="34">
        <v>50</v>
      </c>
    </row>
    <row r="832" spans="1:7" hidden="1" x14ac:dyDescent="0.2">
      <c r="A832" s="18">
        <v>42381</v>
      </c>
      <c r="B832" s="34">
        <v>50</v>
      </c>
      <c r="C832" s="34"/>
      <c r="D832" s="34">
        <v>50</v>
      </c>
      <c r="E832" s="34">
        <v>50</v>
      </c>
      <c r="F832" s="34">
        <v>50</v>
      </c>
      <c r="G832" s="34">
        <v>50</v>
      </c>
    </row>
    <row r="833" spans="1:7" hidden="1" x14ac:dyDescent="0.2">
      <c r="A833" s="18">
        <v>42479</v>
      </c>
      <c r="B833" s="34">
        <v>50</v>
      </c>
      <c r="C833" s="34">
        <v>50</v>
      </c>
      <c r="D833" s="34">
        <v>50</v>
      </c>
      <c r="E833" s="34">
        <v>50</v>
      </c>
      <c r="F833" s="34">
        <v>50</v>
      </c>
      <c r="G833" s="34">
        <v>50</v>
      </c>
    </row>
    <row r="834" spans="1:7" hidden="1" x14ac:dyDescent="0.2">
      <c r="A834" s="18">
        <v>42570</v>
      </c>
      <c r="B834" s="34">
        <v>50</v>
      </c>
      <c r="C834" s="34">
        <v>50</v>
      </c>
      <c r="D834" s="34">
        <v>50</v>
      </c>
      <c r="E834" s="34">
        <v>50</v>
      </c>
      <c r="F834" s="34">
        <v>50</v>
      </c>
      <c r="G834" s="34">
        <v>50</v>
      </c>
    </row>
    <row r="835" spans="1:7" hidden="1" x14ac:dyDescent="0.2">
      <c r="A835" s="18">
        <v>42654</v>
      </c>
      <c r="B835" s="34">
        <v>50</v>
      </c>
      <c r="C835" s="34">
        <v>50</v>
      </c>
      <c r="D835" s="34">
        <v>50</v>
      </c>
      <c r="E835" s="34">
        <v>50</v>
      </c>
      <c r="F835" s="34">
        <v>50</v>
      </c>
      <c r="G835" s="34">
        <v>50</v>
      </c>
    </row>
    <row r="836" spans="1:7" hidden="1" x14ac:dyDescent="0.2">
      <c r="A836" s="18">
        <v>42745</v>
      </c>
      <c r="B836" s="34">
        <v>50</v>
      </c>
      <c r="C836" s="34">
        <v>50</v>
      </c>
      <c r="D836" s="34">
        <v>50</v>
      </c>
      <c r="E836" s="34">
        <v>50</v>
      </c>
      <c r="F836" s="34">
        <v>50</v>
      </c>
      <c r="G836" s="34">
        <v>50</v>
      </c>
    </row>
    <row r="837" spans="1:7" hidden="1" x14ac:dyDescent="0.2">
      <c r="A837" s="18">
        <v>42843</v>
      </c>
      <c r="B837" s="34">
        <v>50</v>
      </c>
      <c r="C837" s="34">
        <v>50</v>
      </c>
      <c r="D837" s="34">
        <v>50</v>
      </c>
      <c r="E837" s="34">
        <v>50</v>
      </c>
      <c r="F837" s="34">
        <v>50</v>
      </c>
      <c r="G837" s="34">
        <v>50</v>
      </c>
    </row>
    <row r="838" spans="1:7" hidden="1" x14ac:dyDescent="0.2">
      <c r="A838" s="18">
        <v>42934</v>
      </c>
      <c r="B838" s="34">
        <v>50</v>
      </c>
      <c r="C838" s="34">
        <v>50</v>
      </c>
      <c r="D838" s="34">
        <v>50</v>
      </c>
      <c r="E838" s="34">
        <v>50</v>
      </c>
      <c r="F838" s="34">
        <v>50</v>
      </c>
      <c r="G838" s="34">
        <v>50</v>
      </c>
    </row>
    <row r="839" spans="1:7" hidden="1" x14ac:dyDescent="0.2">
      <c r="A839" s="18">
        <v>43025</v>
      </c>
      <c r="B839" s="34">
        <v>50</v>
      </c>
      <c r="C839" s="34">
        <v>50</v>
      </c>
      <c r="D839" s="34">
        <v>50</v>
      </c>
      <c r="E839" s="34">
        <v>50</v>
      </c>
      <c r="F839" s="34">
        <v>50</v>
      </c>
      <c r="G839" s="34">
        <v>50</v>
      </c>
    </row>
    <row r="840" spans="1:7" hidden="1" x14ac:dyDescent="0.2">
      <c r="A840" s="18">
        <v>43109</v>
      </c>
      <c r="B840" s="34">
        <v>50</v>
      </c>
      <c r="C840" s="34">
        <v>50</v>
      </c>
      <c r="D840" s="34">
        <v>50</v>
      </c>
      <c r="E840" s="34">
        <v>50</v>
      </c>
      <c r="F840" s="34">
        <v>50</v>
      </c>
      <c r="G840" s="34">
        <v>50</v>
      </c>
    </row>
    <row r="841" spans="1:7" hidden="1" x14ac:dyDescent="0.2">
      <c r="A841" s="18">
        <v>43193</v>
      </c>
      <c r="B841" s="34">
        <v>50</v>
      </c>
      <c r="C841" s="34">
        <v>50</v>
      </c>
      <c r="D841" s="34">
        <v>50</v>
      </c>
      <c r="E841" s="34">
        <v>50</v>
      </c>
      <c r="F841" s="34">
        <v>50</v>
      </c>
      <c r="G841" s="34">
        <v>50</v>
      </c>
    </row>
    <row r="842" spans="1:7" hidden="1" x14ac:dyDescent="0.2">
      <c r="A842" s="18">
        <v>43298</v>
      </c>
      <c r="B842" s="34">
        <v>50</v>
      </c>
      <c r="C842" s="34">
        <v>50</v>
      </c>
      <c r="D842" s="34">
        <v>50</v>
      </c>
      <c r="E842" s="34">
        <v>50</v>
      </c>
      <c r="F842" s="34">
        <v>50</v>
      </c>
      <c r="G842" s="34">
        <v>50</v>
      </c>
    </row>
    <row r="843" spans="1:7" hidden="1" x14ac:dyDescent="0.2">
      <c r="A843" s="18">
        <v>43403</v>
      </c>
      <c r="B843" s="34">
        <v>50</v>
      </c>
      <c r="C843" s="34">
        <v>50</v>
      </c>
      <c r="D843" s="34">
        <v>50</v>
      </c>
      <c r="E843" s="34">
        <v>50</v>
      </c>
      <c r="F843" s="34">
        <v>50</v>
      </c>
      <c r="G843" s="34">
        <v>50</v>
      </c>
    </row>
    <row r="844" spans="1:7" hidden="1" x14ac:dyDescent="0.2">
      <c r="A844" s="18">
        <v>43487</v>
      </c>
      <c r="B844" s="34">
        <v>50</v>
      </c>
      <c r="C844" s="34">
        <v>50</v>
      </c>
      <c r="D844" s="34">
        <v>50</v>
      </c>
      <c r="E844" s="34">
        <v>50</v>
      </c>
      <c r="F844" s="34">
        <v>50</v>
      </c>
      <c r="G844" s="34"/>
    </row>
    <row r="845" spans="1:7" hidden="1" x14ac:dyDescent="0.2">
      <c r="A845" s="18">
        <v>43578</v>
      </c>
      <c r="B845" s="34">
        <v>50</v>
      </c>
      <c r="C845" s="34">
        <v>50</v>
      </c>
      <c r="D845" s="34">
        <v>50</v>
      </c>
      <c r="E845" s="34">
        <v>50</v>
      </c>
      <c r="F845" s="34">
        <v>50</v>
      </c>
      <c r="G845" s="34">
        <v>50</v>
      </c>
    </row>
    <row r="846" spans="1:7" hidden="1" x14ac:dyDescent="0.2">
      <c r="A846" s="18">
        <v>43704</v>
      </c>
      <c r="B846" s="34">
        <v>50</v>
      </c>
      <c r="C846" s="34">
        <v>50</v>
      </c>
      <c r="D846" s="34">
        <v>50</v>
      </c>
      <c r="E846" s="34">
        <v>50</v>
      </c>
      <c r="F846" s="34">
        <v>50</v>
      </c>
      <c r="G846" s="34">
        <v>50</v>
      </c>
    </row>
    <row r="847" spans="1:7" hidden="1" x14ac:dyDescent="0.2">
      <c r="A847" s="18">
        <v>43760</v>
      </c>
      <c r="B847" s="34">
        <v>50</v>
      </c>
      <c r="C847" s="34">
        <v>50</v>
      </c>
      <c r="D847" s="34">
        <v>50</v>
      </c>
      <c r="E847" s="34">
        <v>50</v>
      </c>
      <c r="F847" s="34">
        <v>50</v>
      </c>
      <c r="G847" s="34">
        <v>50</v>
      </c>
    </row>
    <row r="848" spans="1:7" hidden="1" x14ac:dyDescent="0.2">
      <c r="A848" s="18">
        <v>44021</v>
      </c>
      <c r="B848" s="34">
        <v>50</v>
      </c>
      <c r="C848" s="34">
        <v>50</v>
      </c>
      <c r="D848" s="34">
        <v>50</v>
      </c>
      <c r="E848" s="34">
        <v>50</v>
      </c>
      <c r="F848" s="34">
        <v>50</v>
      </c>
      <c r="G848" s="34">
        <v>50</v>
      </c>
    </row>
    <row r="849" spans="1:9" hidden="1" x14ac:dyDescent="0.2"/>
    <row r="851" spans="1:9" x14ac:dyDescent="0.2">
      <c r="A851" s="34"/>
      <c r="B851" s="36" t="s">
        <v>95</v>
      </c>
    </row>
    <row r="852" spans="1:9" x14ac:dyDescent="0.2">
      <c r="A852" s="34"/>
      <c r="B852" s="29" t="s">
        <v>75</v>
      </c>
    </row>
    <row r="853" spans="1:9" x14ac:dyDescent="0.2">
      <c r="A853" s="12" t="s">
        <v>7</v>
      </c>
      <c r="B853" s="78" t="s">
        <v>9</v>
      </c>
      <c r="C853" s="27" t="s">
        <v>14</v>
      </c>
      <c r="D853" s="77" t="s">
        <v>10</v>
      </c>
      <c r="E853" s="74" t="s">
        <v>13</v>
      </c>
      <c r="F853" s="76" t="s">
        <v>11</v>
      </c>
      <c r="G853" s="75" t="s">
        <v>12</v>
      </c>
      <c r="H853" s="3" t="s">
        <v>237</v>
      </c>
    </row>
    <row r="854" spans="1:9" x14ac:dyDescent="0.2">
      <c r="A854" s="18">
        <v>37046</v>
      </c>
      <c r="B854" s="185">
        <v>10</v>
      </c>
      <c r="C854" s="185"/>
      <c r="D854" s="185">
        <v>10</v>
      </c>
      <c r="E854" s="185"/>
      <c r="F854" s="185">
        <v>10</v>
      </c>
      <c r="G854" s="185">
        <v>10</v>
      </c>
      <c r="H854" s="166">
        <v>200</v>
      </c>
      <c r="I854" t="s">
        <v>235</v>
      </c>
    </row>
    <row r="855" spans="1:9" x14ac:dyDescent="0.2">
      <c r="A855" s="18">
        <v>37076</v>
      </c>
      <c r="B855" s="185">
        <v>10</v>
      </c>
      <c r="C855" s="185"/>
      <c r="D855" s="185">
        <v>10</v>
      </c>
      <c r="E855" s="185"/>
      <c r="F855" s="185">
        <v>10</v>
      </c>
      <c r="G855" s="185">
        <v>10</v>
      </c>
      <c r="H855" s="166">
        <v>200</v>
      </c>
      <c r="I855" t="s">
        <v>235</v>
      </c>
    </row>
    <row r="856" spans="1:9" x14ac:dyDescent="0.2">
      <c r="A856" s="18">
        <v>37335</v>
      </c>
      <c r="B856" s="185">
        <v>14.73</v>
      </c>
      <c r="C856" s="185"/>
      <c r="D856" s="185">
        <v>37.5</v>
      </c>
      <c r="E856" s="185"/>
      <c r="F856" s="185">
        <v>10</v>
      </c>
      <c r="G856" s="185">
        <v>15.67</v>
      </c>
      <c r="H856" s="166">
        <v>200</v>
      </c>
      <c r="I856" t="s">
        <v>235</v>
      </c>
    </row>
    <row r="857" spans="1:9" x14ac:dyDescent="0.2">
      <c r="A857" s="18">
        <v>37566</v>
      </c>
      <c r="B857" s="185"/>
      <c r="C857" s="185"/>
      <c r="D857" s="185"/>
      <c r="E857" s="185"/>
      <c r="F857" s="185"/>
      <c r="G857" s="185"/>
      <c r="H857" s="166">
        <v>200</v>
      </c>
      <c r="I857" t="s">
        <v>235</v>
      </c>
    </row>
    <row r="858" spans="1:9" x14ac:dyDescent="0.2">
      <c r="A858" s="18">
        <v>37594</v>
      </c>
      <c r="B858" s="185"/>
      <c r="C858" s="185"/>
      <c r="D858" s="185"/>
      <c r="E858" s="185"/>
      <c r="F858" s="185"/>
      <c r="G858" s="185"/>
      <c r="H858" s="166">
        <v>200</v>
      </c>
      <c r="I858" t="s">
        <v>235</v>
      </c>
    </row>
    <row r="859" spans="1:9" x14ac:dyDescent="0.2">
      <c r="A859" s="18">
        <v>37711</v>
      </c>
      <c r="B859" s="185"/>
      <c r="C859" s="185"/>
      <c r="D859" s="185"/>
      <c r="E859" s="185"/>
      <c r="F859" s="185"/>
      <c r="G859" s="185"/>
      <c r="H859" s="166">
        <v>200</v>
      </c>
      <c r="I859" t="s">
        <v>235</v>
      </c>
    </row>
    <row r="860" spans="1:9" x14ac:dyDescent="0.2">
      <c r="A860" s="18">
        <v>37739</v>
      </c>
      <c r="B860" s="185"/>
      <c r="C860" s="185"/>
      <c r="D860" s="185"/>
      <c r="E860" s="185"/>
      <c r="F860" s="185"/>
      <c r="G860" s="185"/>
      <c r="H860" s="166">
        <v>200</v>
      </c>
      <c r="I860" t="s">
        <v>235</v>
      </c>
    </row>
    <row r="861" spans="1:9" x14ac:dyDescent="0.2">
      <c r="A861" s="18">
        <v>37825</v>
      </c>
      <c r="B861" s="185"/>
      <c r="C861" s="185"/>
      <c r="D861" s="185"/>
      <c r="E861" s="185"/>
      <c r="F861" s="185"/>
      <c r="G861" s="185"/>
      <c r="H861" s="166">
        <v>200</v>
      </c>
      <c r="I861" t="s">
        <v>235</v>
      </c>
    </row>
    <row r="862" spans="1:9" x14ac:dyDescent="0.2">
      <c r="A862" s="18">
        <v>37888</v>
      </c>
      <c r="B862" s="185">
        <v>25.4</v>
      </c>
      <c r="C862" s="185"/>
      <c r="D862" s="185">
        <v>38</v>
      </c>
      <c r="E862" s="185"/>
      <c r="F862" s="185">
        <v>343.2</v>
      </c>
      <c r="G862" s="185">
        <v>257.39999999999998</v>
      </c>
      <c r="H862" s="166">
        <v>200</v>
      </c>
      <c r="I862" t="s">
        <v>235</v>
      </c>
    </row>
    <row r="863" spans="1:9" x14ac:dyDescent="0.2">
      <c r="A863" s="18">
        <v>37963</v>
      </c>
      <c r="B863" s="185">
        <v>10</v>
      </c>
      <c r="C863" s="185"/>
      <c r="D863" s="185">
        <v>10</v>
      </c>
      <c r="E863" s="185"/>
      <c r="F863" s="185">
        <v>10</v>
      </c>
      <c r="G863" s="185">
        <v>10</v>
      </c>
      <c r="H863" s="166">
        <v>200</v>
      </c>
      <c r="I863" t="s">
        <v>235</v>
      </c>
    </row>
    <row r="864" spans="1:9" x14ac:dyDescent="0.2">
      <c r="A864" s="18">
        <v>38012</v>
      </c>
      <c r="B864" s="185">
        <v>10</v>
      </c>
      <c r="C864" s="185"/>
      <c r="D864" s="185">
        <v>10</v>
      </c>
      <c r="E864" s="185"/>
      <c r="F864" s="185">
        <v>10</v>
      </c>
      <c r="G864" s="185">
        <v>10</v>
      </c>
      <c r="H864" s="166">
        <v>200</v>
      </c>
      <c r="I864" t="s">
        <v>235</v>
      </c>
    </row>
    <row r="865" spans="1:9" x14ac:dyDescent="0.2">
      <c r="A865" s="18">
        <v>38033</v>
      </c>
      <c r="B865" s="185">
        <v>10</v>
      </c>
      <c r="C865" s="185"/>
      <c r="D865" s="185">
        <v>10</v>
      </c>
      <c r="E865" s="185"/>
      <c r="F865" s="185">
        <v>10</v>
      </c>
      <c r="G865" s="185">
        <v>10</v>
      </c>
      <c r="H865" s="166">
        <v>200</v>
      </c>
      <c r="I865" t="s">
        <v>235</v>
      </c>
    </row>
    <row r="866" spans="1:9" x14ac:dyDescent="0.2">
      <c r="A866" s="18">
        <v>38271</v>
      </c>
      <c r="B866" s="185">
        <v>10</v>
      </c>
      <c r="C866" s="185"/>
      <c r="D866" s="185">
        <v>10</v>
      </c>
      <c r="E866" s="185"/>
      <c r="F866" s="185">
        <v>119.5</v>
      </c>
      <c r="G866" s="185">
        <v>70.5</v>
      </c>
      <c r="H866" s="166">
        <v>200</v>
      </c>
      <c r="I866" t="s">
        <v>235</v>
      </c>
    </row>
    <row r="867" spans="1:9" x14ac:dyDescent="0.2">
      <c r="A867" s="18">
        <v>38474</v>
      </c>
      <c r="B867" s="185">
        <v>10</v>
      </c>
      <c r="C867" s="185"/>
      <c r="D867" s="185">
        <v>10</v>
      </c>
      <c r="E867" s="185"/>
      <c r="F867" s="185">
        <v>29.3</v>
      </c>
      <c r="G867" s="185">
        <v>10</v>
      </c>
      <c r="H867" s="166">
        <v>200</v>
      </c>
      <c r="I867" t="s">
        <v>235</v>
      </c>
    </row>
    <row r="868" spans="1:9" x14ac:dyDescent="0.2">
      <c r="A868" s="18">
        <v>38896</v>
      </c>
      <c r="B868" s="185">
        <v>15.7</v>
      </c>
      <c r="C868" s="185"/>
      <c r="D868" s="185">
        <v>10</v>
      </c>
      <c r="E868" s="185"/>
      <c r="F868" s="185">
        <v>21.4</v>
      </c>
      <c r="G868" s="185">
        <v>38.9</v>
      </c>
      <c r="H868" s="166">
        <v>200</v>
      </c>
      <c r="I868" t="s">
        <v>235</v>
      </c>
    </row>
    <row r="869" spans="1:9" x14ac:dyDescent="0.2">
      <c r="A869" s="18">
        <v>40625</v>
      </c>
      <c r="B869" s="185">
        <v>100</v>
      </c>
      <c r="C869" s="185">
        <v>100</v>
      </c>
      <c r="D869" s="185">
        <v>100</v>
      </c>
      <c r="E869" s="185">
        <v>100</v>
      </c>
      <c r="F869" s="185">
        <v>100</v>
      </c>
      <c r="G869" s="185">
        <v>100</v>
      </c>
      <c r="H869" s="166">
        <v>200</v>
      </c>
      <c r="I869" t="s">
        <v>235</v>
      </c>
    </row>
    <row r="870" spans="1:9" x14ac:dyDescent="0.2">
      <c r="A870" s="18">
        <v>40716</v>
      </c>
      <c r="B870" s="185">
        <v>100</v>
      </c>
      <c r="C870" s="185">
        <v>100</v>
      </c>
      <c r="D870" s="185">
        <v>100</v>
      </c>
      <c r="E870" s="185">
        <v>100</v>
      </c>
      <c r="F870" s="185">
        <v>100</v>
      </c>
      <c r="G870" s="185">
        <v>100</v>
      </c>
      <c r="H870" s="166">
        <v>200</v>
      </c>
      <c r="I870" t="s">
        <v>235</v>
      </c>
    </row>
    <row r="871" spans="1:9" x14ac:dyDescent="0.2">
      <c r="A871" s="18">
        <v>40821</v>
      </c>
      <c r="B871" s="185">
        <v>100</v>
      </c>
      <c r="C871" s="185">
        <v>100</v>
      </c>
      <c r="D871" s="185">
        <v>100</v>
      </c>
      <c r="E871" s="185">
        <v>100</v>
      </c>
      <c r="F871" s="185">
        <v>100</v>
      </c>
      <c r="G871" s="185">
        <v>100</v>
      </c>
      <c r="H871" s="166">
        <v>200</v>
      </c>
      <c r="I871" t="s">
        <v>235</v>
      </c>
    </row>
    <row r="872" spans="1:9" x14ac:dyDescent="0.2">
      <c r="A872" s="18">
        <v>40897</v>
      </c>
      <c r="B872" s="185">
        <v>100</v>
      </c>
      <c r="C872" s="185">
        <v>100</v>
      </c>
      <c r="D872" s="185">
        <v>100</v>
      </c>
      <c r="E872" s="185">
        <v>100</v>
      </c>
      <c r="F872" s="185">
        <v>100</v>
      </c>
      <c r="G872" s="185">
        <v>100</v>
      </c>
      <c r="H872" s="166">
        <v>200</v>
      </c>
      <c r="I872" t="s">
        <v>235</v>
      </c>
    </row>
    <row r="873" spans="1:9" x14ac:dyDescent="0.2">
      <c r="A873" s="18">
        <v>41008</v>
      </c>
      <c r="B873" s="185">
        <v>100</v>
      </c>
      <c r="C873" s="185">
        <v>100</v>
      </c>
      <c r="D873" s="185">
        <v>100</v>
      </c>
      <c r="E873" s="185">
        <v>100</v>
      </c>
      <c r="F873" s="185">
        <v>100</v>
      </c>
      <c r="G873" s="185">
        <v>100</v>
      </c>
      <c r="H873" s="166">
        <v>200</v>
      </c>
      <c r="I873" t="s">
        <v>235</v>
      </c>
    </row>
    <row r="874" spans="1:9" x14ac:dyDescent="0.2">
      <c r="A874" s="18">
        <v>41086</v>
      </c>
      <c r="B874" s="185">
        <v>100</v>
      </c>
      <c r="C874" s="185">
        <v>100</v>
      </c>
      <c r="D874" s="185">
        <v>100</v>
      </c>
      <c r="E874" s="185">
        <v>100</v>
      </c>
      <c r="F874" s="185">
        <v>100</v>
      </c>
      <c r="G874" s="185">
        <v>100</v>
      </c>
      <c r="H874" s="166">
        <v>200</v>
      </c>
      <c r="I874" t="s">
        <v>235</v>
      </c>
    </row>
    <row r="875" spans="1:9" x14ac:dyDescent="0.2">
      <c r="A875" s="18">
        <v>41179</v>
      </c>
      <c r="B875" s="185">
        <v>100</v>
      </c>
      <c r="C875" s="185">
        <v>100</v>
      </c>
      <c r="D875" s="185">
        <v>100</v>
      </c>
      <c r="E875" s="185">
        <v>100</v>
      </c>
      <c r="F875" s="185">
        <v>100</v>
      </c>
      <c r="G875" s="185">
        <v>100</v>
      </c>
      <c r="H875" s="166">
        <v>200</v>
      </c>
      <c r="I875" t="s">
        <v>235</v>
      </c>
    </row>
    <row r="876" spans="1:9" x14ac:dyDescent="0.2">
      <c r="A876" s="18">
        <v>41247</v>
      </c>
      <c r="B876" s="185">
        <v>100</v>
      </c>
      <c r="C876" s="185">
        <v>100</v>
      </c>
      <c r="D876" s="185">
        <v>100</v>
      </c>
      <c r="E876" s="185">
        <v>100</v>
      </c>
      <c r="F876" s="185">
        <v>100</v>
      </c>
      <c r="G876" s="185">
        <v>100</v>
      </c>
      <c r="H876" s="166">
        <v>200</v>
      </c>
      <c r="I876" t="s">
        <v>235</v>
      </c>
    </row>
    <row r="877" spans="1:9" x14ac:dyDescent="0.2">
      <c r="A877" s="18">
        <v>41352</v>
      </c>
      <c r="B877" s="185">
        <v>100</v>
      </c>
      <c r="C877" s="185">
        <v>100</v>
      </c>
      <c r="D877" s="185">
        <v>100</v>
      </c>
      <c r="E877" s="185">
        <v>100</v>
      </c>
      <c r="F877" s="185">
        <v>100</v>
      </c>
      <c r="G877" s="185">
        <v>100</v>
      </c>
      <c r="H877" s="166">
        <v>200</v>
      </c>
      <c r="I877" t="s">
        <v>235</v>
      </c>
    </row>
    <row r="878" spans="1:9" x14ac:dyDescent="0.2">
      <c r="A878" s="18">
        <v>41445</v>
      </c>
      <c r="B878" s="185">
        <v>50</v>
      </c>
      <c r="C878" s="185">
        <v>50</v>
      </c>
      <c r="D878" s="185">
        <v>50</v>
      </c>
      <c r="E878" s="185">
        <v>50</v>
      </c>
      <c r="F878" s="185">
        <v>50</v>
      </c>
      <c r="G878" s="185">
        <v>50</v>
      </c>
      <c r="H878" s="166">
        <v>200</v>
      </c>
      <c r="I878" t="s">
        <v>235</v>
      </c>
    </row>
    <row r="879" spans="1:9" x14ac:dyDescent="0.2">
      <c r="A879" s="18">
        <v>41528</v>
      </c>
      <c r="B879" s="185">
        <v>50</v>
      </c>
      <c r="C879" s="185">
        <v>50</v>
      </c>
      <c r="D879" s="185">
        <v>50</v>
      </c>
      <c r="E879" s="185">
        <v>50</v>
      </c>
      <c r="F879" s="185">
        <v>50</v>
      </c>
      <c r="G879" s="185">
        <v>50</v>
      </c>
      <c r="H879" s="166">
        <v>200</v>
      </c>
      <c r="I879" t="s">
        <v>235</v>
      </c>
    </row>
    <row r="880" spans="1:9" x14ac:dyDescent="0.2">
      <c r="A880" s="18">
        <v>41670</v>
      </c>
      <c r="B880" s="185">
        <v>50</v>
      </c>
      <c r="C880" s="185">
        <v>50</v>
      </c>
      <c r="D880" s="185">
        <v>50</v>
      </c>
      <c r="E880" s="185">
        <v>50</v>
      </c>
      <c r="F880" s="185">
        <v>50</v>
      </c>
      <c r="G880" s="185">
        <v>50</v>
      </c>
      <c r="H880" s="166">
        <v>200</v>
      </c>
      <c r="I880" t="s">
        <v>235</v>
      </c>
    </row>
    <row r="881" spans="1:9" x14ac:dyDescent="0.2">
      <c r="A881" s="18">
        <v>41758</v>
      </c>
      <c r="B881" s="185">
        <v>50</v>
      </c>
      <c r="C881" s="185">
        <v>50</v>
      </c>
      <c r="D881" s="185">
        <v>50</v>
      </c>
      <c r="E881" s="185">
        <v>50</v>
      </c>
      <c r="F881" s="185">
        <v>50</v>
      </c>
      <c r="G881" s="185">
        <v>50</v>
      </c>
      <c r="H881" s="166">
        <v>200</v>
      </c>
      <c r="I881" t="s">
        <v>235</v>
      </c>
    </row>
    <row r="882" spans="1:9" x14ac:dyDescent="0.2">
      <c r="A882" s="18">
        <v>41835</v>
      </c>
      <c r="B882" s="185">
        <v>50</v>
      </c>
      <c r="C882" s="185">
        <v>50</v>
      </c>
      <c r="D882" s="185">
        <v>50</v>
      </c>
      <c r="E882" s="185">
        <v>50</v>
      </c>
      <c r="F882" s="185">
        <v>50</v>
      </c>
      <c r="G882" s="185">
        <v>50</v>
      </c>
      <c r="H882" s="166">
        <v>200</v>
      </c>
      <c r="I882" t="s">
        <v>235</v>
      </c>
    </row>
    <row r="883" spans="1:9" x14ac:dyDescent="0.2">
      <c r="A883" s="18">
        <v>42031</v>
      </c>
      <c r="B883" s="185">
        <v>50</v>
      </c>
      <c r="C883" s="185">
        <v>50</v>
      </c>
      <c r="D883" s="185">
        <v>50</v>
      </c>
      <c r="E883" s="185">
        <v>50</v>
      </c>
      <c r="F883" s="185">
        <v>50</v>
      </c>
      <c r="G883" s="185">
        <v>50</v>
      </c>
      <c r="H883" s="166">
        <v>200</v>
      </c>
      <c r="I883" t="s">
        <v>235</v>
      </c>
    </row>
    <row r="884" spans="1:9" x14ac:dyDescent="0.2">
      <c r="A884" s="18">
        <v>42094</v>
      </c>
      <c r="B884" s="185">
        <v>50</v>
      </c>
      <c r="C884" s="185">
        <v>50</v>
      </c>
      <c r="D884" s="185">
        <v>50</v>
      </c>
      <c r="E884" s="185">
        <v>50</v>
      </c>
      <c r="F884" s="185">
        <v>50</v>
      </c>
      <c r="G884" s="185">
        <v>50</v>
      </c>
      <c r="H884" s="166">
        <v>200</v>
      </c>
      <c r="I884" t="s">
        <v>235</v>
      </c>
    </row>
    <row r="885" spans="1:9" x14ac:dyDescent="0.2">
      <c r="A885" s="18">
        <v>42192</v>
      </c>
      <c r="B885" s="185">
        <v>50</v>
      </c>
      <c r="C885" s="185">
        <v>50</v>
      </c>
      <c r="D885" s="185">
        <v>50</v>
      </c>
      <c r="E885" s="185">
        <v>50</v>
      </c>
      <c r="F885" s="185">
        <v>50</v>
      </c>
      <c r="G885" s="185">
        <v>50</v>
      </c>
      <c r="H885" s="166">
        <v>200</v>
      </c>
      <c r="I885" t="s">
        <v>235</v>
      </c>
    </row>
    <row r="886" spans="1:9" x14ac:dyDescent="0.2">
      <c r="A886" s="18">
        <v>42290</v>
      </c>
      <c r="B886" s="185">
        <v>50</v>
      </c>
      <c r="C886" s="185"/>
      <c r="D886" s="185">
        <v>50</v>
      </c>
      <c r="E886" s="185">
        <v>50</v>
      </c>
      <c r="F886" s="185">
        <v>50</v>
      </c>
      <c r="G886" s="185">
        <v>50</v>
      </c>
      <c r="H886" s="166">
        <v>200</v>
      </c>
      <c r="I886" t="s">
        <v>235</v>
      </c>
    </row>
    <row r="887" spans="1:9" x14ac:dyDescent="0.2">
      <c r="A887" s="18">
        <v>42381</v>
      </c>
      <c r="B887" s="185">
        <v>50</v>
      </c>
      <c r="C887" s="185"/>
      <c r="D887" s="185">
        <v>50</v>
      </c>
      <c r="E887" s="185">
        <v>50</v>
      </c>
      <c r="F887" s="185">
        <v>50</v>
      </c>
      <c r="G887" s="185">
        <v>50</v>
      </c>
      <c r="H887" s="166">
        <v>200</v>
      </c>
      <c r="I887" t="s">
        <v>235</v>
      </c>
    </row>
    <row r="888" spans="1:9" x14ac:dyDescent="0.2">
      <c r="A888" s="18">
        <v>42479</v>
      </c>
      <c r="B888" s="185">
        <v>50</v>
      </c>
      <c r="C888" s="185">
        <v>50</v>
      </c>
      <c r="D888" s="185">
        <v>50</v>
      </c>
      <c r="E888" s="185">
        <v>50</v>
      </c>
      <c r="F888" s="185">
        <v>50</v>
      </c>
      <c r="G888" s="185">
        <v>50</v>
      </c>
      <c r="H888" s="166">
        <v>200</v>
      </c>
      <c r="I888" t="s">
        <v>235</v>
      </c>
    </row>
    <row r="889" spans="1:9" x14ac:dyDescent="0.2">
      <c r="A889" s="18">
        <v>42570</v>
      </c>
      <c r="B889" s="185">
        <v>50</v>
      </c>
      <c r="C889" s="185">
        <v>50</v>
      </c>
      <c r="D889" s="185">
        <v>50</v>
      </c>
      <c r="E889" s="185">
        <v>50</v>
      </c>
      <c r="F889" s="185">
        <v>50</v>
      </c>
      <c r="G889" s="185">
        <v>50</v>
      </c>
      <c r="H889" s="166">
        <v>200</v>
      </c>
      <c r="I889" t="s">
        <v>235</v>
      </c>
    </row>
    <row r="890" spans="1:9" x14ac:dyDescent="0.2">
      <c r="A890" s="18">
        <v>42654</v>
      </c>
      <c r="B890" s="185">
        <v>50</v>
      </c>
      <c r="C890" s="185">
        <v>50</v>
      </c>
      <c r="D890" s="185">
        <v>50</v>
      </c>
      <c r="E890" s="185">
        <v>50</v>
      </c>
      <c r="F890" s="185">
        <v>50</v>
      </c>
      <c r="G890" s="185">
        <v>50</v>
      </c>
      <c r="H890" s="166">
        <v>200</v>
      </c>
      <c r="I890" t="s">
        <v>235</v>
      </c>
    </row>
    <row r="891" spans="1:9" x14ac:dyDescent="0.2">
      <c r="A891" s="18">
        <v>42745</v>
      </c>
      <c r="B891" s="185">
        <v>50</v>
      </c>
      <c r="C891" s="185">
        <v>50</v>
      </c>
      <c r="D891" s="185">
        <v>50</v>
      </c>
      <c r="E891" s="185">
        <v>50</v>
      </c>
      <c r="F891" s="185">
        <v>50</v>
      </c>
      <c r="G891" s="185">
        <v>50</v>
      </c>
      <c r="H891" s="166">
        <v>200</v>
      </c>
      <c r="I891" t="s">
        <v>235</v>
      </c>
    </row>
    <row r="892" spans="1:9" x14ac:dyDescent="0.2">
      <c r="A892" s="18">
        <v>42843</v>
      </c>
      <c r="B892" s="185">
        <v>50</v>
      </c>
      <c r="C892" s="185">
        <v>50</v>
      </c>
      <c r="D892" s="185">
        <v>50</v>
      </c>
      <c r="E892" s="185">
        <v>50</v>
      </c>
      <c r="F892" s="185">
        <v>50</v>
      </c>
      <c r="G892" s="185">
        <v>50</v>
      </c>
      <c r="H892" s="166">
        <v>200</v>
      </c>
      <c r="I892" t="s">
        <v>235</v>
      </c>
    </row>
    <row r="893" spans="1:9" x14ac:dyDescent="0.2">
      <c r="A893" s="18">
        <v>42934</v>
      </c>
      <c r="B893" s="185">
        <v>50</v>
      </c>
      <c r="C893" s="185">
        <v>50</v>
      </c>
      <c r="D893" s="185">
        <v>50</v>
      </c>
      <c r="E893" s="185">
        <v>50</v>
      </c>
      <c r="F893" s="185">
        <v>50</v>
      </c>
      <c r="G893" s="185">
        <v>50</v>
      </c>
      <c r="H893" s="166">
        <v>200</v>
      </c>
      <c r="I893" t="s">
        <v>235</v>
      </c>
    </row>
    <row r="894" spans="1:9" x14ac:dyDescent="0.2">
      <c r="A894" s="18">
        <v>43025</v>
      </c>
      <c r="B894" s="185">
        <v>50</v>
      </c>
      <c r="C894" s="185">
        <v>50</v>
      </c>
      <c r="D894" s="185">
        <v>50</v>
      </c>
      <c r="E894" s="185">
        <v>50</v>
      </c>
      <c r="F894" s="185">
        <v>50</v>
      </c>
      <c r="G894" s="185">
        <v>50</v>
      </c>
      <c r="H894" s="166">
        <v>200</v>
      </c>
      <c r="I894" t="s">
        <v>235</v>
      </c>
    </row>
    <row r="895" spans="1:9" x14ac:dyDescent="0.2">
      <c r="A895" s="18">
        <v>43109</v>
      </c>
      <c r="B895" s="185">
        <v>50</v>
      </c>
      <c r="C895" s="185">
        <v>50</v>
      </c>
      <c r="D895" s="185">
        <v>50</v>
      </c>
      <c r="E895" s="185">
        <v>50</v>
      </c>
      <c r="F895" s="185">
        <v>50</v>
      </c>
      <c r="G895" s="185">
        <v>50</v>
      </c>
      <c r="H895" s="166">
        <v>200</v>
      </c>
      <c r="I895" t="s">
        <v>235</v>
      </c>
    </row>
    <row r="896" spans="1:9" x14ac:dyDescent="0.2">
      <c r="A896" s="18">
        <v>43193</v>
      </c>
      <c r="B896" s="185">
        <v>50</v>
      </c>
      <c r="C896" s="185">
        <v>50</v>
      </c>
      <c r="D896" s="185">
        <v>50</v>
      </c>
      <c r="E896" s="185">
        <v>50</v>
      </c>
      <c r="F896" s="185">
        <v>50</v>
      </c>
      <c r="G896" s="185">
        <v>50</v>
      </c>
      <c r="H896" s="166">
        <v>200</v>
      </c>
      <c r="I896" t="s">
        <v>235</v>
      </c>
    </row>
    <row r="897" spans="1:9" x14ac:dyDescent="0.2">
      <c r="A897" s="18">
        <v>43298</v>
      </c>
      <c r="B897" s="185">
        <v>50</v>
      </c>
      <c r="C897" s="185">
        <v>50</v>
      </c>
      <c r="D897" s="185">
        <v>50</v>
      </c>
      <c r="E897" s="185">
        <v>50</v>
      </c>
      <c r="F897" s="185">
        <v>50</v>
      </c>
      <c r="G897" s="185">
        <v>50</v>
      </c>
      <c r="H897" s="166">
        <v>200</v>
      </c>
      <c r="I897" t="s">
        <v>235</v>
      </c>
    </row>
    <row r="898" spans="1:9" x14ac:dyDescent="0.2">
      <c r="A898" s="18">
        <v>43403</v>
      </c>
      <c r="B898" s="185">
        <v>50</v>
      </c>
      <c r="C898" s="185">
        <v>50</v>
      </c>
      <c r="D898" s="185">
        <v>50</v>
      </c>
      <c r="E898" s="185">
        <v>50</v>
      </c>
      <c r="F898" s="185">
        <v>50</v>
      </c>
      <c r="G898" s="185">
        <v>50</v>
      </c>
      <c r="H898" s="166">
        <v>200</v>
      </c>
      <c r="I898" t="s">
        <v>235</v>
      </c>
    </row>
    <row r="899" spans="1:9" x14ac:dyDescent="0.2">
      <c r="A899" s="18">
        <v>43487</v>
      </c>
      <c r="B899" s="185">
        <v>50</v>
      </c>
      <c r="C899" s="185">
        <v>50</v>
      </c>
      <c r="D899" s="185">
        <v>50</v>
      </c>
      <c r="E899" s="185">
        <v>50</v>
      </c>
      <c r="F899" s="185">
        <v>50</v>
      </c>
      <c r="G899" s="185"/>
      <c r="H899" s="166">
        <v>200</v>
      </c>
      <c r="I899" t="s">
        <v>235</v>
      </c>
    </row>
    <row r="900" spans="1:9" x14ac:dyDescent="0.2">
      <c r="A900" s="18">
        <v>43578</v>
      </c>
      <c r="B900" s="185">
        <v>50</v>
      </c>
      <c r="C900" s="185">
        <v>50</v>
      </c>
      <c r="D900" s="185">
        <v>50</v>
      </c>
      <c r="E900" s="185">
        <v>50</v>
      </c>
      <c r="F900" s="185">
        <v>50</v>
      </c>
      <c r="G900" s="185">
        <v>50</v>
      </c>
      <c r="H900" s="166">
        <v>200</v>
      </c>
      <c r="I900" t="s">
        <v>235</v>
      </c>
    </row>
    <row r="901" spans="1:9" x14ac:dyDescent="0.2">
      <c r="A901" s="18">
        <v>43704</v>
      </c>
      <c r="B901" s="185">
        <v>50</v>
      </c>
      <c r="C901" s="185">
        <v>50</v>
      </c>
      <c r="D901" s="185">
        <v>50</v>
      </c>
      <c r="E901" s="185">
        <v>50</v>
      </c>
      <c r="F901" s="185">
        <v>50</v>
      </c>
      <c r="G901" s="185">
        <v>50</v>
      </c>
      <c r="H901" s="166">
        <v>200</v>
      </c>
      <c r="I901" t="s">
        <v>235</v>
      </c>
    </row>
    <row r="902" spans="1:9" x14ac:dyDescent="0.2">
      <c r="A902" s="18">
        <v>43760</v>
      </c>
      <c r="B902" s="185">
        <v>50</v>
      </c>
      <c r="C902" s="185">
        <v>50</v>
      </c>
      <c r="D902" s="185">
        <v>50</v>
      </c>
      <c r="E902" s="185">
        <v>50</v>
      </c>
      <c r="F902" s="185">
        <v>50</v>
      </c>
      <c r="G902" s="185">
        <v>50</v>
      </c>
      <c r="H902" s="166">
        <v>200</v>
      </c>
      <c r="I902" t="s">
        <v>235</v>
      </c>
    </row>
    <row r="903" spans="1:9" x14ac:dyDescent="0.2">
      <c r="A903" s="18">
        <v>44021</v>
      </c>
      <c r="B903" s="185">
        <v>50</v>
      </c>
      <c r="C903" s="185">
        <v>50</v>
      </c>
      <c r="D903" s="185">
        <v>50</v>
      </c>
      <c r="E903" s="185">
        <v>50</v>
      </c>
      <c r="F903" s="185">
        <v>50</v>
      </c>
      <c r="G903" s="185">
        <v>50</v>
      </c>
      <c r="H903" s="166">
        <v>200</v>
      </c>
      <c r="I903" t="s">
        <v>235</v>
      </c>
    </row>
    <row r="904" spans="1:9" x14ac:dyDescent="0.2">
      <c r="A904" s="18">
        <v>44111</v>
      </c>
      <c r="B904" s="185">
        <v>50</v>
      </c>
      <c r="C904" s="185">
        <v>50</v>
      </c>
      <c r="D904" s="185">
        <v>50</v>
      </c>
      <c r="E904" s="185">
        <v>50</v>
      </c>
      <c r="F904" s="185">
        <v>50</v>
      </c>
      <c r="G904" s="185">
        <v>50</v>
      </c>
      <c r="H904" s="166">
        <v>200</v>
      </c>
      <c r="I904" t="s">
        <v>235</v>
      </c>
    </row>
    <row r="905" spans="1:9" x14ac:dyDescent="0.2">
      <c r="A905" s="18">
        <v>44119</v>
      </c>
      <c r="B905" s="185">
        <v>50</v>
      </c>
      <c r="C905" s="185"/>
      <c r="D905" s="185">
        <v>50</v>
      </c>
      <c r="E905" s="185"/>
      <c r="F905" s="185"/>
      <c r="G905" s="185"/>
      <c r="H905" s="166">
        <v>200</v>
      </c>
      <c r="I905" t="s">
        <v>235</v>
      </c>
    </row>
    <row r="906" spans="1:9" x14ac:dyDescent="0.2">
      <c r="A906" s="18">
        <v>44120</v>
      </c>
      <c r="B906" s="185">
        <v>50</v>
      </c>
      <c r="C906" s="185"/>
      <c r="D906" s="185">
        <v>50</v>
      </c>
      <c r="E906" s="185"/>
      <c r="F906" s="185"/>
      <c r="G906" s="185"/>
      <c r="H906" s="166">
        <v>200</v>
      </c>
      <c r="I906" t="s">
        <v>235</v>
      </c>
    </row>
    <row r="907" spans="1:9" x14ac:dyDescent="0.2">
      <c r="A907" s="18">
        <v>44146</v>
      </c>
      <c r="B907" s="187">
        <v>50</v>
      </c>
      <c r="C907" s="187">
        <v>50</v>
      </c>
      <c r="D907" s="187">
        <v>50</v>
      </c>
      <c r="E907" s="187">
        <v>50</v>
      </c>
      <c r="F907" s="187">
        <v>50</v>
      </c>
      <c r="G907" s="187">
        <v>50</v>
      </c>
      <c r="H907" s="166">
        <v>200</v>
      </c>
      <c r="I907" t="s">
        <v>238</v>
      </c>
    </row>
    <row r="908" spans="1:9" x14ac:dyDescent="0.2">
      <c r="A908" s="18">
        <v>44146</v>
      </c>
      <c r="B908" s="185">
        <v>0.5</v>
      </c>
      <c r="C908" s="185">
        <v>0.5</v>
      </c>
      <c r="D908" s="185">
        <v>0.5</v>
      </c>
      <c r="E908" s="185">
        <v>0.5</v>
      </c>
      <c r="F908" s="185">
        <v>0.5</v>
      </c>
      <c r="G908" s="187">
        <v>16</v>
      </c>
      <c r="H908" s="166">
        <v>200</v>
      </c>
      <c r="I908" t="s">
        <v>236</v>
      </c>
    </row>
    <row r="909" spans="1:9" x14ac:dyDescent="0.2">
      <c r="A909" s="18">
        <v>44184</v>
      </c>
      <c r="B909" s="189">
        <v>1</v>
      </c>
      <c r="C909" s="185">
        <v>0.5</v>
      </c>
      <c r="D909" s="185">
        <v>0.7</v>
      </c>
      <c r="E909" s="187">
        <v>2.1</v>
      </c>
      <c r="F909" s="185">
        <v>0.8</v>
      </c>
      <c r="G909" s="189">
        <v>1</v>
      </c>
      <c r="H909" s="166">
        <v>200</v>
      </c>
      <c r="I909" t="s">
        <v>236</v>
      </c>
    </row>
    <row r="910" spans="1:9" hidden="1" x14ac:dyDescent="0.2"/>
    <row r="911" spans="1:9" hidden="1" x14ac:dyDescent="0.2">
      <c r="A911" s="34"/>
      <c r="B911" s="59" t="s">
        <v>99</v>
      </c>
    </row>
    <row r="912" spans="1:9" hidden="1" x14ac:dyDescent="0.2">
      <c r="A912" s="34"/>
      <c r="B912" s="60" t="s">
        <v>22</v>
      </c>
    </row>
    <row r="913" spans="1:7" hidden="1" x14ac:dyDescent="0.2">
      <c r="A913" s="12" t="s">
        <v>7</v>
      </c>
      <c r="B913" s="78" t="s">
        <v>9</v>
      </c>
      <c r="C913" s="27" t="s">
        <v>14</v>
      </c>
      <c r="D913" s="77" t="s">
        <v>10</v>
      </c>
      <c r="E913" s="74" t="s">
        <v>13</v>
      </c>
      <c r="F913" s="76" t="s">
        <v>11</v>
      </c>
      <c r="G913" s="75" t="s">
        <v>12</v>
      </c>
    </row>
    <row r="914" spans="1:7" hidden="1" x14ac:dyDescent="0.2">
      <c r="A914" s="18">
        <v>37046</v>
      </c>
      <c r="B914" s="34">
        <v>0.1353</v>
      </c>
      <c r="C914" s="34"/>
      <c r="D914" s="34">
        <v>9.0560000000000002E-2</v>
      </c>
      <c r="E914" s="34"/>
      <c r="F914" s="34">
        <v>9.9989999999999996E-2</v>
      </c>
      <c r="G914" s="34">
        <v>9.6980000000000011E-2</v>
      </c>
    </row>
    <row r="915" spans="1:7" hidden="1" x14ac:dyDescent="0.2">
      <c r="A915" s="18">
        <v>37076</v>
      </c>
      <c r="B915" s="34">
        <v>0.1172</v>
      </c>
      <c r="C915" s="34"/>
      <c r="D915" s="34">
        <v>0.13600000000000001</v>
      </c>
      <c r="E915" s="34"/>
      <c r="F915" s="34">
        <v>7.5490000000000002E-2</v>
      </c>
      <c r="G915" s="34">
        <v>8.745E-2</v>
      </c>
    </row>
    <row r="916" spans="1:7" hidden="1" x14ac:dyDescent="0.2">
      <c r="A916" s="18">
        <v>37335</v>
      </c>
      <c r="B916" s="34">
        <v>4.0740000000000005E-2</v>
      </c>
      <c r="C916" s="34"/>
      <c r="D916" s="34">
        <v>3.79E-3</v>
      </c>
      <c r="E916" s="34"/>
      <c r="F916" s="34">
        <v>1.8690000000000002E-2</v>
      </c>
      <c r="G916" s="34">
        <v>3.0260000000000002E-2</v>
      </c>
    </row>
    <row r="917" spans="1:7" hidden="1" x14ac:dyDescent="0.2">
      <c r="A917" s="18">
        <v>37566</v>
      </c>
      <c r="B917" s="34"/>
      <c r="C917" s="34"/>
      <c r="D917" s="34"/>
      <c r="E917" s="34"/>
      <c r="F917" s="34"/>
      <c r="G917" s="34"/>
    </row>
    <row r="918" spans="1:7" hidden="1" x14ac:dyDescent="0.2">
      <c r="A918" s="18">
        <v>37594</v>
      </c>
      <c r="B918" s="34"/>
      <c r="C918" s="34"/>
      <c r="D918" s="34"/>
      <c r="E918" s="34"/>
      <c r="F918" s="34"/>
      <c r="G918" s="34"/>
    </row>
    <row r="919" spans="1:7" hidden="1" x14ac:dyDescent="0.2">
      <c r="A919" s="18">
        <v>37711</v>
      </c>
      <c r="B919" s="34"/>
      <c r="C919" s="34"/>
      <c r="D919" s="34"/>
      <c r="E919" s="34"/>
      <c r="F919" s="34"/>
      <c r="G919" s="34"/>
    </row>
    <row r="920" spans="1:7" hidden="1" x14ac:dyDescent="0.2">
      <c r="A920" s="18">
        <v>37739</v>
      </c>
      <c r="B920" s="34"/>
      <c r="C920" s="34"/>
      <c r="D920" s="34"/>
      <c r="E920" s="34"/>
      <c r="F920" s="34"/>
      <c r="G920" s="34"/>
    </row>
    <row r="921" spans="1:7" hidden="1" x14ac:dyDescent="0.2">
      <c r="A921" s="18">
        <v>37825</v>
      </c>
      <c r="B921" s="34"/>
      <c r="C921" s="34"/>
      <c r="D921" s="34"/>
      <c r="E921" s="34"/>
      <c r="F921" s="34"/>
      <c r="G921" s="34"/>
    </row>
    <row r="922" spans="1:7" hidden="1" x14ac:dyDescent="0.2">
      <c r="A922" s="18">
        <v>37888</v>
      </c>
      <c r="B922" s="34"/>
      <c r="C922" s="34"/>
      <c r="D922" s="34"/>
      <c r="E922" s="34"/>
      <c r="F922" s="34"/>
      <c r="G922" s="34"/>
    </row>
    <row r="923" spans="1:7" hidden="1" x14ac:dyDescent="0.2">
      <c r="A923" s="18">
        <v>37963</v>
      </c>
      <c r="B923" s="34"/>
      <c r="C923" s="34"/>
      <c r="D923" s="34"/>
      <c r="E923" s="34"/>
      <c r="F923" s="34"/>
      <c r="G923" s="34"/>
    </row>
    <row r="924" spans="1:7" hidden="1" x14ac:dyDescent="0.2">
      <c r="A924" s="18">
        <v>38012</v>
      </c>
      <c r="B924" s="34"/>
      <c r="C924" s="34"/>
      <c r="D924" s="34"/>
      <c r="E924" s="34"/>
      <c r="F924" s="34"/>
      <c r="G924" s="34"/>
    </row>
    <row r="925" spans="1:7" hidden="1" x14ac:dyDescent="0.2">
      <c r="A925" s="18">
        <v>38033</v>
      </c>
      <c r="B925" s="34"/>
      <c r="C925" s="34"/>
      <c r="D925" s="34"/>
      <c r="E925" s="34"/>
      <c r="F925" s="34"/>
      <c r="G925" s="34"/>
    </row>
    <row r="926" spans="1:7" hidden="1" x14ac:dyDescent="0.2">
      <c r="A926" s="18">
        <v>38271</v>
      </c>
      <c r="B926" s="34">
        <v>2.1000000000000001E-2</v>
      </c>
      <c r="C926" s="34"/>
      <c r="D926" s="34">
        <v>0.1057</v>
      </c>
      <c r="E926" s="34"/>
      <c r="F926" s="34">
        <v>1.5800000000000002E-2</v>
      </c>
      <c r="G926" s="34">
        <v>3.15E-2</v>
      </c>
    </row>
    <row r="927" spans="1:7" hidden="1" x14ac:dyDescent="0.2">
      <c r="A927" s="18">
        <v>38474</v>
      </c>
      <c r="B927" s="34"/>
      <c r="C927" s="34"/>
      <c r="D927" s="34"/>
      <c r="E927" s="34"/>
      <c r="F927" s="34"/>
      <c r="G927" s="34"/>
    </row>
    <row r="928" spans="1:7" hidden="1" x14ac:dyDescent="0.2">
      <c r="A928" s="18">
        <v>38896</v>
      </c>
      <c r="B928" s="34">
        <v>8.0000000000000004E-4</v>
      </c>
      <c r="C928" s="34"/>
      <c r="D928" s="34">
        <v>8.0000000000000004E-4</v>
      </c>
      <c r="E928" s="34"/>
      <c r="F928" s="34">
        <v>8.0000000000000004E-4</v>
      </c>
      <c r="G928" s="34">
        <v>8.0000000000000004E-4</v>
      </c>
    </row>
    <row r="929" spans="1:7" hidden="1" x14ac:dyDescent="0.2">
      <c r="A929" s="18">
        <v>40625</v>
      </c>
      <c r="B929" s="34">
        <v>5.2999999999999999E-2</v>
      </c>
      <c r="C929" s="34">
        <v>2.3899999999999998E-2</v>
      </c>
      <c r="D929" s="34">
        <v>5.5200000000000006E-2</v>
      </c>
      <c r="E929" s="34">
        <v>3.1899999999999998E-2</v>
      </c>
      <c r="F929" s="34">
        <v>1.2490000000000001</v>
      </c>
      <c r="G929" s="34">
        <v>6.3299999999999995E-2</v>
      </c>
    </row>
    <row r="930" spans="1:7" hidden="1" x14ac:dyDescent="0.2">
      <c r="A930" s="18">
        <v>40716</v>
      </c>
      <c r="B930" s="34">
        <v>4.0999999999999995E-3</v>
      </c>
      <c r="C930" s="34">
        <v>5.6100000000000004E-2</v>
      </c>
      <c r="D930" s="34">
        <v>3.85E-2</v>
      </c>
      <c r="E930" s="34">
        <v>5.04E-2</v>
      </c>
      <c r="F930" s="34">
        <v>0.12459999999999999</v>
      </c>
      <c r="G930" s="34">
        <v>9.4700000000000006E-2</v>
      </c>
    </row>
    <row r="931" spans="1:7" hidden="1" x14ac:dyDescent="0.2">
      <c r="A931" s="18">
        <v>40821</v>
      </c>
      <c r="B931" s="34">
        <v>5.4700000000000006E-2</v>
      </c>
      <c r="C931" s="34">
        <v>0.25619999999999998</v>
      </c>
      <c r="D931" s="34">
        <v>5.2899999999999996E-2</v>
      </c>
      <c r="E931" s="34">
        <v>4.5100000000000001E-2</v>
      </c>
      <c r="F931" s="34">
        <v>3.5000000000000003E-2</v>
      </c>
      <c r="G931" s="34">
        <v>4.6899999999999997E-2</v>
      </c>
    </row>
    <row r="932" spans="1:7" hidden="1" x14ac:dyDescent="0.2">
      <c r="A932" s="18">
        <v>40897</v>
      </c>
      <c r="B932" s="34">
        <v>1.5800000000000002E-2</v>
      </c>
      <c r="C932" s="34">
        <v>3.4299999999999997E-2</v>
      </c>
      <c r="D932" s="34">
        <v>3.8200000000000005E-2</v>
      </c>
      <c r="E932" s="34">
        <v>2.2600000000000002E-2</v>
      </c>
      <c r="F932" s="34">
        <v>3.7700000000000004E-2</v>
      </c>
      <c r="G932" s="34">
        <v>7.8400000000000011E-2</v>
      </c>
    </row>
    <row r="933" spans="1:7" hidden="1" x14ac:dyDescent="0.2">
      <c r="A933" s="18">
        <v>41008</v>
      </c>
      <c r="B933" s="34">
        <v>5.8299999999999998E-2</v>
      </c>
      <c r="C933" s="34">
        <v>1.5900000000000001E-2</v>
      </c>
      <c r="D933" s="34">
        <v>3.3600000000000005E-2</v>
      </c>
      <c r="E933" s="34">
        <v>7.959999999999999E-2</v>
      </c>
      <c r="F933" s="34">
        <v>0.29249999999999998</v>
      </c>
      <c r="G933" s="34">
        <v>4.3799999999999999E-2</v>
      </c>
    </row>
    <row r="934" spans="1:7" hidden="1" x14ac:dyDescent="0.2">
      <c r="A934" s="18">
        <v>41086</v>
      </c>
      <c r="B934" s="34">
        <v>2.7100000000000003E-2</v>
      </c>
      <c r="C934" s="34">
        <v>0.1225</v>
      </c>
      <c r="D934" s="34">
        <v>3.1800000000000002E-2</v>
      </c>
      <c r="E934" s="34">
        <v>3.6700000000000003E-2</v>
      </c>
      <c r="F934" s="34">
        <v>4.48E-2</v>
      </c>
      <c r="G934" s="34">
        <v>5.4100000000000002E-2</v>
      </c>
    </row>
    <row r="935" spans="1:7" hidden="1" x14ac:dyDescent="0.2">
      <c r="A935" s="18">
        <v>41179</v>
      </c>
      <c r="B935" s="34">
        <v>1.2500000000000001E-2</v>
      </c>
      <c r="C935" s="34">
        <v>1.9399999999999997E-2</v>
      </c>
      <c r="D935" s="34">
        <v>1.5800000000000002E-2</v>
      </c>
      <c r="E935" s="34">
        <v>1.4500000000000001E-2</v>
      </c>
      <c r="F935" s="34">
        <v>1.55E-2</v>
      </c>
      <c r="G935" s="34">
        <v>1.5800000000000002E-2</v>
      </c>
    </row>
    <row r="936" spans="1:7" hidden="1" x14ac:dyDescent="0.2">
      <c r="A936" s="18">
        <v>41247</v>
      </c>
      <c r="B936" s="34">
        <v>2.5700000000000001E-2</v>
      </c>
      <c r="C936" s="34">
        <v>0.01</v>
      </c>
      <c r="D936" s="34">
        <v>1.2E-2</v>
      </c>
      <c r="E936" s="34">
        <v>1.6899999999999998E-2</v>
      </c>
      <c r="F936" s="34">
        <v>3.0800000000000001E-2</v>
      </c>
      <c r="G936" s="34">
        <v>3.6999999999999998E-2</v>
      </c>
    </row>
    <row r="937" spans="1:7" hidden="1" x14ac:dyDescent="0.2">
      <c r="A937" s="18">
        <v>41352</v>
      </c>
      <c r="B937" s="34">
        <v>3.8100000000000002E-2</v>
      </c>
      <c r="C937" s="34">
        <v>0.01</v>
      </c>
      <c r="D937" s="34">
        <v>3.5499999999999997E-2</v>
      </c>
      <c r="E937" s="34">
        <v>5.96E-2</v>
      </c>
      <c r="F937" s="34">
        <v>3.7700000000000004E-2</v>
      </c>
      <c r="G937" s="34">
        <v>6.7799999999999999E-2</v>
      </c>
    </row>
    <row r="938" spans="1:7" hidden="1" x14ac:dyDescent="0.2">
      <c r="A938" s="18">
        <v>41445</v>
      </c>
      <c r="B938" s="34">
        <v>2.63E-2</v>
      </c>
      <c r="C938" s="34">
        <v>1.2999999999999999E-2</v>
      </c>
      <c r="D938" s="34">
        <v>2.1299999999999999E-2</v>
      </c>
      <c r="E938" s="34">
        <v>2.9600000000000001E-2</v>
      </c>
      <c r="F938" s="34">
        <v>9.4500000000000001E-2</v>
      </c>
      <c r="G938" s="34">
        <v>6.3899999999999998E-2</v>
      </c>
    </row>
    <row r="939" spans="1:7" hidden="1" x14ac:dyDescent="0.2">
      <c r="A939" s="18">
        <v>41528</v>
      </c>
      <c r="B939" s="34">
        <v>1.95E-2</v>
      </c>
      <c r="C939" s="34">
        <v>0.01</v>
      </c>
      <c r="D939" s="34">
        <v>0.01</v>
      </c>
      <c r="E939" s="34">
        <v>0.01</v>
      </c>
      <c r="F939" s="34">
        <v>0.01</v>
      </c>
      <c r="G939" s="34">
        <v>0.01</v>
      </c>
    </row>
    <row r="940" spans="1:7" hidden="1" x14ac:dyDescent="0.2">
      <c r="A940" s="18">
        <v>41670</v>
      </c>
      <c r="B940" s="34">
        <v>0.1472</v>
      </c>
      <c r="C940" s="34">
        <v>0.15140000000000001</v>
      </c>
      <c r="D940" s="34">
        <v>0.15409999999999999</v>
      </c>
      <c r="E940" s="34">
        <v>0.18590000000000001</v>
      </c>
      <c r="F940" s="34">
        <v>0.1943</v>
      </c>
      <c r="G940" s="34">
        <v>0.2026</v>
      </c>
    </row>
    <row r="941" spans="1:7" hidden="1" x14ac:dyDescent="0.2">
      <c r="A941" s="18">
        <v>41758</v>
      </c>
      <c r="B941" s="34">
        <v>3.1600000000000003E-2</v>
      </c>
      <c r="C941" s="34">
        <v>5.4700000000000006E-2</v>
      </c>
      <c r="D941" s="34">
        <v>0.1318</v>
      </c>
      <c r="E941" s="34">
        <v>6.2799999999999995E-2</v>
      </c>
      <c r="F941" s="34">
        <v>8.3500000000000005E-2</v>
      </c>
      <c r="G941" s="34">
        <v>8.0399999999999999E-2</v>
      </c>
    </row>
    <row r="942" spans="1:7" hidden="1" x14ac:dyDescent="0.2">
      <c r="A942" s="18">
        <v>41835</v>
      </c>
      <c r="B942" s="34">
        <v>5.9499999999999997E-2</v>
      </c>
      <c r="C942" s="34">
        <v>0.05</v>
      </c>
      <c r="D942" s="34">
        <v>7.51E-2</v>
      </c>
      <c r="E942" s="34">
        <v>0.05</v>
      </c>
      <c r="F942" s="34">
        <v>0.05</v>
      </c>
      <c r="G942" s="34">
        <v>0.05</v>
      </c>
    </row>
    <row r="943" spans="1:7" hidden="1" x14ac:dyDescent="0.2">
      <c r="A943" s="18">
        <v>42031</v>
      </c>
      <c r="B943" s="34">
        <v>0.2676</v>
      </c>
      <c r="C943" s="34">
        <v>0.12640000000000001</v>
      </c>
      <c r="D943" s="34">
        <v>5.04E-2</v>
      </c>
      <c r="E943" s="34">
        <v>3.1100000000000003E-2</v>
      </c>
      <c r="F943" s="34">
        <v>0.1477</v>
      </c>
      <c r="G943" s="34">
        <v>0.20219999999999999</v>
      </c>
    </row>
    <row r="944" spans="1:7" hidden="1" x14ac:dyDescent="0.2">
      <c r="A944" s="18">
        <v>42094</v>
      </c>
      <c r="B944" s="34">
        <v>3.8600000000000002E-2</v>
      </c>
      <c r="C944" s="34">
        <v>5.9400000000000001E-2</v>
      </c>
      <c r="D944" s="34">
        <v>3.7100000000000001E-2</v>
      </c>
      <c r="E944" s="34">
        <v>4.5499999999999999E-2</v>
      </c>
      <c r="F944" s="34">
        <v>4.5399999999999996E-2</v>
      </c>
      <c r="G944" s="34">
        <v>7.3999999999999996E-2</v>
      </c>
    </row>
    <row r="945" spans="1:7" hidden="1" x14ac:dyDescent="0.2">
      <c r="A945" s="18">
        <v>42192</v>
      </c>
      <c r="B945" s="34">
        <v>0.02</v>
      </c>
      <c r="C945" s="34">
        <v>0.2132</v>
      </c>
      <c r="D945" s="34">
        <v>0.02</v>
      </c>
      <c r="E945" s="34">
        <v>2.0500000000000001E-2</v>
      </c>
      <c r="F945" s="34">
        <v>0.02</v>
      </c>
      <c r="G945" s="34">
        <v>0.02</v>
      </c>
    </row>
    <row r="946" spans="1:7" hidden="1" x14ac:dyDescent="0.2">
      <c r="A946" s="18">
        <v>42290</v>
      </c>
      <c r="B946" s="34">
        <v>0.02</v>
      </c>
      <c r="C946" s="34"/>
      <c r="D946" s="34">
        <v>0.02</v>
      </c>
      <c r="E946" s="34">
        <v>0.02</v>
      </c>
      <c r="F946" s="34">
        <v>7.8400000000000011E-2</v>
      </c>
      <c r="G946" s="34">
        <v>2.3899999999999998E-2</v>
      </c>
    </row>
    <row r="947" spans="1:7" hidden="1" x14ac:dyDescent="0.2">
      <c r="A947" s="18">
        <v>42381</v>
      </c>
      <c r="B947" s="34">
        <v>2.93E-2</v>
      </c>
      <c r="C947" s="34"/>
      <c r="D947" s="34">
        <v>4.2500000000000003E-2</v>
      </c>
      <c r="E947" s="34">
        <v>2.3600000000000003E-2</v>
      </c>
      <c r="F947" s="34">
        <v>2.6100000000000002E-2</v>
      </c>
      <c r="G947" s="34">
        <v>2.6800000000000001E-2</v>
      </c>
    </row>
    <row r="948" spans="1:7" hidden="1" x14ac:dyDescent="0.2">
      <c r="A948" s="18">
        <v>42479</v>
      </c>
      <c r="B948" s="34">
        <v>0.02</v>
      </c>
      <c r="C948" s="34">
        <v>3.8700000000000005E-2</v>
      </c>
      <c r="D948" s="34">
        <v>0.02</v>
      </c>
      <c r="E948" s="34">
        <v>2.1000000000000001E-2</v>
      </c>
      <c r="F948" s="34">
        <v>0.02</v>
      </c>
      <c r="G948" s="34">
        <v>2.2200000000000001E-2</v>
      </c>
    </row>
    <row r="949" spans="1:7" hidden="1" x14ac:dyDescent="0.2">
      <c r="A949" s="18">
        <v>42570</v>
      </c>
      <c r="B949" s="34">
        <v>0.02</v>
      </c>
      <c r="C949" s="34">
        <v>2.01E-2</v>
      </c>
      <c r="D949" s="34">
        <v>3.2799999999999996E-2</v>
      </c>
      <c r="E949" s="34">
        <v>3.0199999999999998E-2</v>
      </c>
      <c r="F949" s="34">
        <v>3.2799999999999996E-2</v>
      </c>
      <c r="G949" s="34">
        <v>4.6200000000000005E-2</v>
      </c>
    </row>
    <row r="950" spans="1:7" hidden="1" x14ac:dyDescent="0.2">
      <c r="A950" s="18">
        <v>42654</v>
      </c>
      <c r="B950" s="34">
        <v>2.2200000000000001E-2</v>
      </c>
      <c r="C950" s="34">
        <v>2.5999999999999999E-2</v>
      </c>
      <c r="D950" s="34">
        <v>0.02</v>
      </c>
      <c r="E950" s="34">
        <v>0.02</v>
      </c>
      <c r="F950" s="34">
        <v>0.02</v>
      </c>
      <c r="G950" s="34">
        <v>0.02</v>
      </c>
    </row>
    <row r="951" spans="1:7" hidden="1" x14ac:dyDescent="0.2">
      <c r="A951" s="18">
        <v>42745</v>
      </c>
      <c r="B951" s="34">
        <v>2.8199999999999999E-2</v>
      </c>
      <c r="C951" s="34">
        <v>0.02</v>
      </c>
      <c r="D951" s="34">
        <v>2.7E-2</v>
      </c>
      <c r="E951" s="34">
        <v>3.3799999999999997E-2</v>
      </c>
      <c r="F951" s="34">
        <v>4.02E-2</v>
      </c>
      <c r="G951" s="34">
        <v>5.7799999999999997E-2</v>
      </c>
    </row>
    <row r="952" spans="1:7" hidden="1" x14ac:dyDescent="0.2">
      <c r="A952" s="18">
        <v>42843</v>
      </c>
      <c r="B952" s="34">
        <v>4.1070000000000002E-2</v>
      </c>
      <c r="C952" s="34">
        <v>0.02</v>
      </c>
      <c r="D952" s="34">
        <v>0.02</v>
      </c>
      <c r="E952" s="34">
        <v>2.5499999999999998E-2</v>
      </c>
      <c r="F952" s="34">
        <v>0.02</v>
      </c>
      <c r="G952" s="34">
        <v>2.01E-2</v>
      </c>
    </row>
    <row r="953" spans="1:7" hidden="1" x14ac:dyDescent="0.2">
      <c r="A953" s="18">
        <v>42934</v>
      </c>
      <c r="B953" s="34">
        <v>2.6199999999999998E-2</v>
      </c>
      <c r="C953" s="34">
        <v>2.7399999999999997E-2</v>
      </c>
      <c r="D953" s="34">
        <v>2.63E-2</v>
      </c>
      <c r="E953" s="34">
        <v>0.02</v>
      </c>
      <c r="F953" s="34">
        <v>3.9799999999999995E-2</v>
      </c>
      <c r="G953" s="34">
        <v>3.8600000000000002E-2</v>
      </c>
    </row>
    <row r="954" spans="1:7" hidden="1" x14ac:dyDescent="0.2">
      <c r="A954" s="18">
        <v>43025</v>
      </c>
      <c r="B954" s="34">
        <v>0.29010000000000002</v>
      </c>
      <c r="C954" s="34">
        <v>2.87E-2</v>
      </c>
      <c r="D954" s="34">
        <v>4.0899999999999999E-2</v>
      </c>
      <c r="E954" s="34">
        <v>2.3E-2</v>
      </c>
      <c r="F954" s="34">
        <v>8.3799999999999999E-2</v>
      </c>
      <c r="G954" s="34">
        <v>6.6400000000000001E-2</v>
      </c>
    </row>
    <row r="955" spans="1:7" hidden="1" x14ac:dyDescent="0.2">
      <c r="A955" s="18">
        <v>43109</v>
      </c>
      <c r="B955" s="34">
        <v>9.0299999999999991E-2</v>
      </c>
      <c r="C955" s="34">
        <v>6.9900000000000004E-2</v>
      </c>
      <c r="D955" s="34">
        <v>7.8799999999999995E-2</v>
      </c>
      <c r="E955" s="34">
        <v>0.1055</v>
      </c>
      <c r="F955" s="34">
        <v>3.7600000000000001E-2</v>
      </c>
      <c r="G955" s="34">
        <v>7.6200000000000004E-2</v>
      </c>
    </row>
    <row r="956" spans="1:7" hidden="1" x14ac:dyDescent="0.2">
      <c r="A956" s="18">
        <v>43193</v>
      </c>
      <c r="B956" s="34">
        <v>8.0299999999999996E-2</v>
      </c>
      <c r="C956" s="34">
        <v>4.2500000000000003E-2</v>
      </c>
      <c r="D956" s="34">
        <v>5.1900000000000002E-2</v>
      </c>
      <c r="E956" s="34">
        <v>4.7E-2</v>
      </c>
      <c r="F956" s="34">
        <v>5.1200000000000002E-2</v>
      </c>
      <c r="G956" s="34">
        <v>8.1200000000000008E-2</v>
      </c>
    </row>
    <row r="957" spans="1:7" hidden="1" x14ac:dyDescent="0.2">
      <c r="A957" s="18">
        <v>43298</v>
      </c>
      <c r="B957" s="34">
        <v>0.02</v>
      </c>
      <c r="C957" s="34">
        <v>0.02</v>
      </c>
      <c r="D957" s="34">
        <v>0.02</v>
      </c>
      <c r="E957" s="34">
        <v>0.02</v>
      </c>
      <c r="F957" s="34">
        <v>0.02</v>
      </c>
      <c r="G957" s="34">
        <v>2.41E-2</v>
      </c>
    </row>
    <row r="958" spans="1:7" hidden="1" x14ac:dyDescent="0.2">
      <c r="A958" s="18">
        <v>43403</v>
      </c>
      <c r="B958" s="34">
        <v>0.02</v>
      </c>
      <c r="C958" s="34">
        <v>0.02</v>
      </c>
      <c r="D958" s="34">
        <v>2.1999999999999999E-2</v>
      </c>
      <c r="E958" s="34">
        <v>0.02</v>
      </c>
      <c r="F958" s="34">
        <v>0.02</v>
      </c>
      <c r="G958" s="34">
        <v>0.02</v>
      </c>
    </row>
    <row r="959" spans="1:7" hidden="1" x14ac:dyDescent="0.2">
      <c r="A959" s="18">
        <v>43487</v>
      </c>
      <c r="B959" s="34">
        <v>2.794E-2</v>
      </c>
      <c r="C959" s="34">
        <v>2.4390000000000002E-2</v>
      </c>
      <c r="D959" s="34">
        <v>5.5539999999999999E-2</v>
      </c>
      <c r="E959" s="34">
        <v>0.02</v>
      </c>
      <c r="F959" s="34">
        <v>3.7219999999999996E-2</v>
      </c>
      <c r="G959" s="34"/>
    </row>
    <row r="960" spans="1:7" hidden="1" x14ac:dyDescent="0.2">
      <c r="A960" s="18">
        <v>43578</v>
      </c>
      <c r="B960" s="34">
        <v>4.6009999999999995E-2</v>
      </c>
      <c r="C960" s="34">
        <v>7.6340000000000005E-2</v>
      </c>
      <c r="D960" s="34">
        <v>4.5399999999999996E-2</v>
      </c>
      <c r="E960" s="34">
        <v>4.2470000000000001E-2</v>
      </c>
      <c r="F960" s="34">
        <v>0.13639999999999999</v>
      </c>
      <c r="G960" s="34">
        <v>0.10908</v>
      </c>
    </row>
    <row r="961" spans="1:7" hidden="1" x14ac:dyDescent="0.2">
      <c r="A961" s="18">
        <v>43704</v>
      </c>
      <c r="B961" s="34">
        <v>3.1614000000000003E-2</v>
      </c>
      <c r="C961" s="34">
        <v>2.1405999999999998E-2</v>
      </c>
      <c r="D961" s="34">
        <v>6.761700000000001E-2</v>
      </c>
      <c r="E961" s="34">
        <v>0.02</v>
      </c>
      <c r="F961" s="34">
        <v>2.2605E-2</v>
      </c>
      <c r="G961" s="34">
        <v>2.0181999999999999E-2</v>
      </c>
    </row>
    <row r="962" spans="1:7" hidden="1" x14ac:dyDescent="0.2">
      <c r="A962" s="18">
        <v>43760</v>
      </c>
      <c r="B962" s="34">
        <v>9.5513000000000001E-2</v>
      </c>
      <c r="C962" s="34">
        <v>4.8081000000000006E-2</v>
      </c>
      <c r="D962" s="34">
        <v>4.4594000000000002E-2</v>
      </c>
      <c r="E962" s="34">
        <v>5.28E-2</v>
      </c>
      <c r="F962" s="34">
        <v>4.6628999999999997E-2</v>
      </c>
      <c r="G962" s="34">
        <v>0.103147</v>
      </c>
    </row>
    <row r="963" spans="1:7" hidden="1" x14ac:dyDescent="0.2">
      <c r="A963" s="18">
        <v>44021</v>
      </c>
      <c r="B963" s="34">
        <v>0.19525000000000001</v>
      </c>
      <c r="C963" s="34">
        <v>0.02</v>
      </c>
      <c r="D963" s="34">
        <v>8.5140000000000007E-2</v>
      </c>
      <c r="E963" s="34">
        <v>3.4957999999999996E-2</v>
      </c>
      <c r="F963" s="34">
        <v>6.4735000000000001E-2</v>
      </c>
      <c r="G963" s="34">
        <v>4.6365000000000003E-2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963"/>
  <sheetViews>
    <sheetView zoomScale="85" zoomScaleNormal="85" workbookViewId="0">
      <selection activeCell="Y8" sqref="Y8"/>
    </sheetView>
  </sheetViews>
  <sheetFormatPr defaultColWidth="11.42578125" defaultRowHeight="12.75" x14ac:dyDescent="0.2"/>
  <cols>
    <col min="2" max="2" width="14.42578125" customWidth="1"/>
  </cols>
  <sheetData>
    <row r="1" spans="1:44" x14ac:dyDescent="0.2">
      <c r="AR1" s="72"/>
    </row>
    <row r="2" spans="1:44" x14ac:dyDescent="0.2">
      <c r="AR2" s="72"/>
    </row>
    <row r="3" spans="1:44" x14ac:dyDescent="0.2">
      <c r="AR3" s="72"/>
    </row>
    <row r="4" spans="1:44" x14ac:dyDescent="0.2">
      <c r="AR4" s="72"/>
    </row>
    <row r="5" spans="1:44" x14ac:dyDescent="0.2">
      <c r="AR5" s="72"/>
    </row>
    <row r="6" spans="1:44" x14ac:dyDescent="0.2">
      <c r="AR6" s="72"/>
    </row>
    <row r="7" spans="1:44" ht="18" x14ac:dyDescent="0.25">
      <c r="A7" s="1" t="s">
        <v>0</v>
      </c>
      <c r="AR7" s="72"/>
    </row>
    <row r="8" spans="1:44" x14ac:dyDescent="0.2">
      <c r="A8" s="2" t="s">
        <v>1</v>
      </c>
    </row>
    <row r="9" spans="1:44" x14ac:dyDescent="0.2">
      <c r="A9" s="2" t="s">
        <v>102</v>
      </c>
      <c r="B9" s="3"/>
      <c r="AR9" s="72"/>
    </row>
    <row r="10" spans="1:44" x14ac:dyDescent="0.2">
      <c r="A10" s="2"/>
      <c r="B10" s="3"/>
      <c r="AR10" s="72"/>
    </row>
    <row r="11" spans="1:44" hidden="1" x14ac:dyDescent="0.2">
      <c r="A11" s="34"/>
      <c r="B11" s="36" t="s">
        <v>23</v>
      </c>
    </row>
    <row r="12" spans="1:44" hidden="1" x14ac:dyDescent="0.2">
      <c r="A12" s="34"/>
      <c r="B12" s="29" t="s">
        <v>22</v>
      </c>
    </row>
    <row r="13" spans="1:44" hidden="1" x14ac:dyDescent="0.2">
      <c r="A13" s="12" t="s">
        <v>7</v>
      </c>
      <c r="B13" s="27" t="s">
        <v>9</v>
      </c>
      <c r="C13" s="74" t="s">
        <v>10</v>
      </c>
      <c r="D13" s="75" t="s">
        <v>11</v>
      </c>
      <c r="E13" s="76" t="s">
        <v>12</v>
      </c>
      <c r="F13" s="77" t="s">
        <v>13</v>
      </c>
      <c r="G13" s="78" t="s">
        <v>14</v>
      </c>
    </row>
    <row r="14" spans="1:44" hidden="1" x14ac:dyDescent="0.2">
      <c r="A14" s="18">
        <v>37046</v>
      </c>
      <c r="B14" s="34"/>
      <c r="C14" s="34"/>
      <c r="D14" s="34"/>
      <c r="E14" s="34"/>
      <c r="F14" s="34"/>
      <c r="G14" s="34"/>
    </row>
    <row r="15" spans="1:44" hidden="1" x14ac:dyDescent="0.2">
      <c r="A15" s="18">
        <v>37076</v>
      </c>
      <c r="B15" s="34"/>
      <c r="C15" s="34"/>
      <c r="D15" s="34"/>
      <c r="E15" s="34"/>
      <c r="F15" s="34"/>
      <c r="G15" s="34"/>
    </row>
    <row r="16" spans="1:44" hidden="1" x14ac:dyDescent="0.2">
      <c r="A16" s="18">
        <v>37335</v>
      </c>
      <c r="B16" s="34"/>
      <c r="C16" s="34"/>
      <c r="D16" s="34"/>
      <c r="E16" s="34"/>
      <c r="F16" s="34"/>
      <c r="G16" s="34"/>
    </row>
    <row r="17" spans="1:7" hidden="1" x14ac:dyDescent="0.2">
      <c r="A17" s="18">
        <v>37566</v>
      </c>
      <c r="B17" s="34"/>
      <c r="C17" s="34"/>
      <c r="D17" s="34"/>
      <c r="E17" s="34"/>
      <c r="F17" s="34"/>
      <c r="G17" s="34"/>
    </row>
    <row r="18" spans="1:7" hidden="1" x14ac:dyDescent="0.2">
      <c r="A18" s="18">
        <v>37594</v>
      </c>
      <c r="B18" s="34"/>
      <c r="C18" s="34"/>
      <c r="D18" s="34"/>
      <c r="E18" s="34"/>
      <c r="F18" s="34"/>
      <c r="G18" s="34"/>
    </row>
    <row r="19" spans="1:7" hidden="1" x14ac:dyDescent="0.2">
      <c r="A19" s="18">
        <v>37711</v>
      </c>
      <c r="B19" s="34"/>
      <c r="C19" s="34"/>
      <c r="D19" s="34"/>
      <c r="E19" s="34"/>
      <c r="F19" s="34"/>
      <c r="G19" s="34"/>
    </row>
    <row r="20" spans="1:7" hidden="1" x14ac:dyDescent="0.2">
      <c r="A20" s="18">
        <v>37739</v>
      </c>
      <c r="B20" s="34"/>
      <c r="C20" s="34"/>
      <c r="D20" s="34"/>
      <c r="E20" s="34"/>
      <c r="F20" s="34"/>
      <c r="G20" s="34"/>
    </row>
    <row r="21" spans="1:7" hidden="1" x14ac:dyDescent="0.2">
      <c r="A21" s="18">
        <v>37825</v>
      </c>
      <c r="B21" s="34"/>
      <c r="C21" s="34"/>
      <c r="D21" s="34"/>
      <c r="E21" s="34"/>
      <c r="F21" s="34"/>
      <c r="G21" s="34"/>
    </row>
    <row r="22" spans="1:7" hidden="1" x14ac:dyDescent="0.2">
      <c r="A22" s="18">
        <v>37888</v>
      </c>
      <c r="B22" s="34"/>
      <c r="C22" s="34"/>
      <c r="D22" s="34"/>
      <c r="E22" s="34"/>
      <c r="F22" s="34"/>
      <c r="G22" s="34"/>
    </row>
    <row r="23" spans="1:7" hidden="1" x14ac:dyDescent="0.2">
      <c r="A23" s="18">
        <v>37963</v>
      </c>
      <c r="B23" s="34"/>
      <c r="C23" s="34"/>
      <c r="D23" s="34"/>
      <c r="E23" s="34"/>
      <c r="F23" s="34"/>
      <c r="G23" s="34"/>
    </row>
    <row r="24" spans="1:7" hidden="1" x14ac:dyDescent="0.2">
      <c r="A24" s="18">
        <v>38012</v>
      </c>
      <c r="B24" s="34"/>
      <c r="C24" s="34"/>
      <c r="D24" s="34"/>
      <c r="E24" s="34"/>
      <c r="F24" s="34"/>
      <c r="G24" s="34"/>
    </row>
    <row r="25" spans="1:7" hidden="1" x14ac:dyDescent="0.2">
      <c r="A25" s="18">
        <v>38033</v>
      </c>
      <c r="B25" s="34"/>
      <c r="C25" s="34"/>
      <c r="D25" s="34"/>
      <c r="E25" s="34"/>
      <c r="F25" s="34"/>
      <c r="G25" s="34"/>
    </row>
    <row r="26" spans="1:7" hidden="1" x14ac:dyDescent="0.2">
      <c r="A26" s="18">
        <v>38271</v>
      </c>
      <c r="B26" s="34">
        <v>0</v>
      </c>
      <c r="C26" s="34">
        <v>0</v>
      </c>
      <c r="D26" s="34">
        <v>0</v>
      </c>
      <c r="E26" s="34">
        <v>0</v>
      </c>
      <c r="F26" s="34"/>
      <c r="G26" s="34"/>
    </row>
    <row r="27" spans="1:7" hidden="1" x14ac:dyDescent="0.2">
      <c r="A27" s="18">
        <v>38474</v>
      </c>
      <c r="B27" s="34"/>
      <c r="C27" s="34"/>
      <c r="D27" s="34"/>
      <c r="E27" s="34"/>
      <c r="F27" s="34"/>
      <c r="G27" s="34"/>
    </row>
    <row r="28" spans="1:7" hidden="1" x14ac:dyDescent="0.2">
      <c r="A28" s="18">
        <v>38896</v>
      </c>
      <c r="B28" s="34">
        <v>0</v>
      </c>
      <c r="C28" s="34">
        <v>0</v>
      </c>
      <c r="D28" s="34">
        <v>0</v>
      </c>
      <c r="E28" s="34">
        <v>0</v>
      </c>
      <c r="F28" s="34"/>
      <c r="G28" s="34"/>
    </row>
    <row r="29" spans="1:7" hidden="1" x14ac:dyDescent="0.2">
      <c r="A29" s="18">
        <v>40625</v>
      </c>
      <c r="B29" s="34">
        <v>0.1</v>
      </c>
      <c r="C29" s="34">
        <v>0.1</v>
      </c>
      <c r="D29" s="34">
        <v>0.1</v>
      </c>
      <c r="E29" s="34">
        <v>0.1</v>
      </c>
      <c r="F29" s="34">
        <v>0.1</v>
      </c>
      <c r="G29" s="34">
        <v>0.1</v>
      </c>
    </row>
    <row r="30" spans="1:7" hidden="1" x14ac:dyDescent="0.2">
      <c r="A30" s="18">
        <v>40716</v>
      </c>
      <c r="B30" s="34"/>
      <c r="C30" s="34"/>
      <c r="D30" s="34"/>
      <c r="E30" s="34"/>
      <c r="F30" s="34"/>
      <c r="G30" s="34"/>
    </row>
    <row r="31" spans="1:7" hidden="1" x14ac:dyDescent="0.2">
      <c r="A31" s="18">
        <v>40821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</row>
    <row r="32" spans="1:7" hidden="1" x14ac:dyDescent="0.2">
      <c r="A32" s="18">
        <v>40897</v>
      </c>
      <c r="B32" s="34"/>
      <c r="C32" s="34"/>
      <c r="D32" s="34"/>
      <c r="E32" s="34"/>
      <c r="F32" s="34"/>
      <c r="G32" s="34"/>
    </row>
    <row r="33" spans="1:7" hidden="1" x14ac:dyDescent="0.2">
      <c r="A33" s="18">
        <v>41008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</row>
    <row r="34" spans="1:7" hidden="1" x14ac:dyDescent="0.2">
      <c r="A34" s="18">
        <v>41086</v>
      </c>
      <c r="B34" s="34"/>
      <c r="C34" s="34"/>
      <c r="D34" s="34"/>
      <c r="E34" s="34"/>
      <c r="F34" s="34"/>
      <c r="G34" s="34"/>
    </row>
    <row r="35" spans="1:7" hidden="1" x14ac:dyDescent="0.2">
      <c r="A35" s="18">
        <v>41179</v>
      </c>
      <c r="B35" s="34">
        <v>0.1</v>
      </c>
      <c r="C35" s="34">
        <v>0.1</v>
      </c>
      <c r="D35" s="34">
        <v>0.1</v>
      </c>
      <c r="E35" s="34">
        <v>0.1</v>
      </c>
      <c r="F35" s="34">
        <v>0.1</v>
      </c>
      <c r="G35" s="34">
        <v>0.1</v>
      </c>
    </row>
    <row r="36" spans="1:7" hidden="1" x14ac:dyDescent="0.2">
      <c r="A36" s="18">
        <v>41247</v>
      </c>
      <c r="B36" s="34"/>
      <c r="C36" s="34"/>
      <c r="D36" s="34"/>
      <c r="E36" s="34"/>
      <c r="F36" s="34"/>
      <c r="G36" s="34"/>
    </row>
    <row r="37" spans="1:7" hidden="1" x14ac:dyDescent="0.2">
      <c r="A37" s="18">
        <v>41352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</row>
    <row r="38" spans="1:7" hidden="1" x14ac:dyDescent="0.2">
      <c r="A38" s="18">
        <v>41445</v>
      </c>
      <c r="B38" s="34"/>
      <c r="C38" s="34"/>
      <c r="D38" s="34"/>
      <c r="E38" s="34"/>
      <c r="F38" s="34"/>
      <c r="G38" s="34"/>
    </row>
    <row r="39" spans="1:7" hidden="1" x14ac:dyDescent="0.2">
      <c r="A39" s="18">
        <v>41528</v>
      </c>
      <c r="B39" s="34">
        <v>1</v>
      </c>
      <c r="C39" s="34">
        <v>1</v>
      </c>
      <c r="D39" s="34">
        <v>1</v>
      </c>
      <c r="E39" s="34">
        <v>1</v>
      </c>
      <c r="F39" s="34">
        <v>1</v>
      </c>
      <c r="G39" s="34">
        <v>1</v>
      </c>
    </row>
    <row r="40" spans="1:7" hidden="1" x14ac:dyDescent="0.2">
      <c r="A40" s="18">
        <v>41670</v>
      </c>
      <c r="B40" s="34"/>
      <c r="C40" s="34"/>
      <c r="D40" s="34"/>
      <c r="E40" s="34"/>
      <c r="F40" s="34"/>
      <c r="G40" s="34"/>
    </row>
    <row r="41" spans="1:7" hidden="1" x14ac:dyDescent="0.2">
      <c r="A41" s="18">
        <v>41758</v>
      </c>
      <c r="B41" s="34">
        <v>1</v>
      </c>
      <c r="C41" s="34">
        <v>1</v>
      </c>
      <c r="D41" s="34">
        <v>1</v>
      </c>
      <c r="E41" s="34">
        <v>1</v>
      </c>
      <c r="F41" s="34">
        <v>1</v>
      </c>
      <c r="G41" s="34">
        <v>1</v>
      </c>
    </row>
    <row r="42" spans="1:7" hidden="1" x14ac:dyDescent="0.2">
      <c r="A42" s="18">
        <v>41835</v>
      </c>
      <c r="B42" s="34"/>
      <c r="C42" s="34"/>
      <c r="D42" s="34"/>
      <c r="E42" s="34"/>
      <c r="F42" s="34"/>
      <c r="G42" s="34"/>
    </row>
    <row r="43" spans="1:7" hidden="1" x14ac:dyDescent="0.2">
      <c r="A43" s="18">
        <v>42031</v>
      </c>
      <c r="B43" s="34"/>
      <c r="C43" s="34"/>
      <c r="D43" s="34"/>
      <c r="E43" s="34"/>
      <c r="F43" s="34"/>
      <c r="G43" s="34"/>
    </row>
    <row r="44" spans="1:7" hidden="1" x14ac:dyDescent="0.2">
      <c r="A44" s="18">
        <v>42094</v>
      </c>
      <c r="B44" s="34">
        <v>1</v>
      </c>
      <c r="C44" s="34">
        <v>1</v>
      </c>
      <c r="D44" s="34">
        <v>1</v>
      </c>
      <c r="E44" s="34">
        <v>1</v>
      </c>
      <c r="F44" s="34">
        <v>1</v>
      </c>
      <c r="G44" s="34">
        <v>1</v>
      </c>
    </row>
    <row r="45" spans="1:7" hidden="1" x14ac:dyDescent="0.2">
      <c r="A45" s="18">
        <v>42192</v>
      </c>
      <c r="B45" s="34"/>
      <c r="C45" s="34"/>
      <c r="D45" s="34"/>
      <c r="E45" s="34"/>
      <c r="F45" s="34"/>
      <c r="G45" s="34"/>
    </row>
    <row r="46" spans="1:7" hidden="1" x14ac:dyDescent="0.2">
      <c r="A46" s="18">
        <v>42290</v>
      </c>
      <c r="B46" s="34">
        <v>1</v>
      </c>
      <c r="C46" s="34">
        <v>1</v>
      </c>
      <c r="D46" s="34">
        <v>1</v>
      </c>
      <c r="E46" s="34">
        <v>1</v>
      </c>
      <c r="F46" s="34">
        <v>1</v>
      </c>
      <c r="G46" s="34"/>
    </row>
    <row r="47" spans="1:7" hidden="1" x14ac:dyDescent="0.2">
      <c r="A47" s="18">
        <v>42381</v>
      </c>
      <c r="B47" s="34"/>
      <c r="C47" s="34"/>
      <c r="D47" s="34"/>
      <c r="E47" s="34"/>
      <c r="F47" s="34"/>
      <c r="G47" s="34"/>
    </row>
    <row r="48" spans="1:7" hidden="1" x14ac:dyDescent="0.2">
      <c r="A48" s="18">
        <v>42479</v>
      </c>
      <c r="B48" s="34">
        <v>1</v>
      </c>
      <c r="C48" s="34">
        <v>1</v>
      </c>
      <c r="D48" s="34">
        <v>1</v>
      </c>
      <c r="E48" s="34">
        <v>1</v>
      </c>
      <c r="F48" s="34">
        <v>1</v>
      </c>
      <c r="G48" s="34">
        <v>1</v>
      </c>
    </row>
    <row r="49" spans="1:7" hidden="1" x14ac:dyDescent="0.2">
      <c r="A49" s="18">
        <v>42570</v>
      </c>
      <c r="B49" s="34"/>
      <c r="C49" s="34"/>
      <c r="D49" s="34"/>
      <c r="E49" s="34"/>
      <c r="F49" s="34"/>
      <c r="G49" s="34"/>
    </row>
    <row r="50" spans="1:7" hidden="1" x14ac:dyDescent="0.2">
      <c r="A50" s="18">
        <v>42654</v>
      </c>
      <c r="B50" s="34">
        <v>1</v>
      </c>
      <c r="C50" s="34">
        <v>1</v>
      </c>
      <c r="D50" s="34">
        <v>1</v>
      </c>
      <c r="E50" s="34">
        <v>1</v>
      </c>
      <c r="F50" s="34">
        <v>1</v>
      </c>
      <c r="G50" s="34">
        <v>1</v>
      </c>
    </row>
    <row r="51" spans="1:7" hidden="1" x14ac:dyDescent="0.2">
      <c r="A51" s="18">
        <v>42745</v>
      </c>
      <c r="B51" s="34"/>
      <c r="C51" s="34"/>
      <c r="D51" s="34"/>
      <c r="E51" s="34"/>
      <c r="F51" s="34"/>
      <c r="G51" s="34"/>
    </row>
    <row r="52" spans="1:7" hidden="1" x14ac:dyDescent="0.2">
      <c r="A52" s="18">
        <v>42843</v>
      </c>
      <c r="B52" s="34">
        <v>1</v>
      </c>
      <c r="C52" s="34">
        <v>1</v>
      </c>
      <c r="D52" s="34">
        <v>1</v>
      </c>
      <c r="E52" s="34">
        <v>1</v>
      </c>
      <c r="F52" s="34">
        <v>1</v>
      </c>
      <c r="G52" s="34">
        <v>1</v>
      </c>
    </row>
    <row r="53" spans="1:7" hidden="1" x14ac:dyDescent="0.2">
      <c r="A53" s="18">
        <v>42934</v>
      </c>
      <c r="B53" s="34"/>
      <c r="C53" s="34"/>
      <c r="D53" s="34"/>
      <c r="E53" s="34"/>
      <c r="F53" s="34"/>
      <c r="G53" s="34"/>
    </row>
    <row r="54" spans="1:7" hidden="1" x14ac:dyDescent="0.2">
      <c r="A54" s="18">
        <v>43025</v>
      </c>
      <c r="B54" s="34">
        <v>1</v>
      </c>
      <c r="C54" s="34">
        <v>1</v>
      </c>
      <c r="D54" s="34">
        <v>1</v>
      </c>
      <c r="E54" s="34">
        <v>1</v>
      </c>
      <c r="F54" s="34">
        <v>1</v>
      </c>
      <c r="G54" s="34">
        <v>1</v>
      </c>
    </row>
    <row r="55" spans="1:7" hidden="1" x14ac:dyDescent="0.2">
      <c r="A55" s="18">
        <v>43109</v>
      </c>
      <c r="B55" s="34">
        <v>1</v>
      </c>
      <c r="C55" s="34">
        <v>1</v>
      </c>
      <c r="D55" s="34">
        <v>1</v>
      </c>
      <c r="E55" s="34">
        <v>1</v>
      </c>
      <c r="F55" s="34">
        <v>1</v>
      </c>
      <c r="G55" s="34">
        <v>1</v>
      </c>
    </row>
    <row r="56" spans="1:7" hidden="1" x14ac:dyDescent="0.2">
      <c r="A56" s="18">
        <v>43193</v>
      </c>
      <c r="B56" s="34">
        <v>1</v>
      </c>
      <c r="C56" s="34">
        <v>1</v>
      </c>
      <c r="D56" s="34">
        <v>1</v>
      </c>
      <c r="E56" s="34">
        <v>1.07</v>
      </c>
      <c r="F56" s="34">
        <v>1</v>
      </c>
      <c r="G56" s="34">
        <v>1</v>
      </c>
    </row>
    <row r="57" spans="1:7" hidden="1" x14ac:dyDescent="0.2">
      <c r="A57" s="18">
        <v>43298</v>
      </c>
      <c r="B57" s="34"/>
      <c r="C57" s="34"/>
      <c r="D57" s="34"/>
      <c r="E57" s="34"/>
      <c r="F57" s="34"/>
      <c r="G57" s="34"/>
    </row>
    <row r="58" spans="1:7" hidden="1" x14ac:dyDescent="0.2">
      <c r="A58" s="18">
        <v>43403</v>
      </c>
      <c r="B58" s="34">
        <v>1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</row>
    <row r="59" spans="1:7" hidden="1" x14ac:dyDescent="0.2">
      <c r="A59" s="18">
        <v>43487</v>
      </c>
      <c r="B59" s="34"/>
      <c r="C59" s="34"/>
      <c r="D59" s="34"/>
      <c r="E59" s="34"/>
      <c r="F59" s="34"/>
      <c r="G59" s="34"/>
    </row>
    <row r="60" spans="1:7" hidden="1" x14ac:dyDescent="0.2">
      <c r="A60" s="18">
        <v>43578</v>
      </c>
      <c r="B60" s="34">
        <v>1</v>
      </c>
      <c r="C60" s="34">
        <v>1</v>
      </c>
      <c r="D60" s="34">
        <v>1</v>
      </c>
      <c r="E60" s="34">
        <v>1</v>
      </c>
      <c r="F60" s="34">
        <v>1</v>
      </c>
      <c r="G60" s="34">
        <v>1</v>
      </c>
    </row>
    <row r="61" spans="1:7" hidden="1" x14ac:dyDescent="0.2">
      <c r="A61" s="18">
        <v>43704</v>
      </c>
      <c r="B61" s="34"/>
      <c r="C61" s="34"/>
      <c r="D61" s="34"/>
      <c r="E61" s="34"/>
      <c r="F61" s="34"/>
      <c r="G61" s="34"/>
    </row>
    <row r="62" spans="1:7" hidden="1" x14ac:dyDescent="0.2">
      <c r="A62" s="18">
        <v>43760</v>
      </c>
      <c r="B62" s="34">
        <v>1</v>
      </c>
      <c r="C62" s="34">
        <v>1</v>
      </c>
      <c r="D62" s="34">
        <v>1</v>
      </c>
      <c r="E62" s="34">
        <v>1</v>
      </c>
      <c r="F62" s="34">
        <v>1</v>
      </c>
      <c r="G62" s="34">
        <v>1</v>
      </c>
    </row>
    <row r="63" spans="1:7" hidden="1" x14ac:dyDescent="0.2">
      <c r="A63" s="18">
        <v>44021</v>
      </c>
      <c r="B63" s="34">
        <v>1</v>
      </c>
      <c r="C63" s="34">
        <v>1.07</v>
      </c>
      <c r="D63" s="34">
        <v>1.07</v>
      </c>
      <c r="E63" s="34">
        <v>1.07</v>
      </c>
      <c r="F63" s="34">
        <v>1.07</v>
      </c>
      <c r="G63" s="34">
        <v>1.07</v>
      </c>
    </row>
    <row r="64" spans="1:7" hidden="1" x14ac:dyDescent="0.2"/>
    <row r="65" spans="1:7" hidden="1" x14ac:dyDescent="0.2"/>
    <row r="66" spans="1:7" hidden="1" x14ac:dyDescent="0.2">
      <c r="A66" s="34"/>
      <c r="B66" s="36" t="s">
        <v>30</v>
      </c>
    </row>
    <row r="67" spans="1:7" hidden="1" x14ac:dyDescent="0.2">
      <c r="A67" s="34"/>
      <c r="B67" s="29" t="s">
        <v>22</v>
      </c>
    </row>
    <row r="68" spans="1:7" hidden="1" x14ac:dyDescent="0.2">
      <c r="A68" s="12" t="s">
        <v>7</v>
      </c>
      <c r="B68" s="78" t="s">
        <v>9</v>
      </c>
      <c r="C68" s="77" t="s">
        <v>10</v>
      </c>
      <c r="D68" s="76" t="s">
        <v>11</v>
      </c>
      <c r="E68" s="75" t="s">
        <v>12</v>
      </c>
      <c r="F68" s="74" t="s">
        <v>13</v>
      </c>
      <c r="G68" s="27" t="s">
        <v>14</v>
      </c>
    </row>
    <row r="69" spans="1:7" hidden="1" x14ac:dyDescent="0.2">
      <c r="A69" s="18">
        <v>37046</v>
      </c>
      <c r="B69" s="34">
        <v>0.68</v>
      </c>
      <c r="C69" s="34">
        <v>0.18</v>
      </c>
      <c r="D69" s="34">
        <v>0.48</v>
      </c>
      <c r="E69" s="34">
        <v>0.57999999999999996</v>
      </c>
      <c r="F69" s="34"/>
      <c r="G69" s="34"/>
    </row>
    <row r="70" spans="1:7" hidden="1" x14ac:dyDescent="0.2">
      <c r="A70" s="18">
        <v>37076</v>
      </c>
      <c r="B70" s="34">
        <v>0.35</v>
      </c>
      <c r="C70" s="34">
        <v>0.37</v>
      </c>
      <c r="D70" s="34">
        <v>0.37</v>
      </c>
      <c r="E70" s="34">
        <v>0.52</v>
      </c>
      <c r="F70" s="34"/>
      <c r="G70" s="34"/>
    </row>
    <row r="71" spans="1:7" hidden="1" x14ac:dyDescent="0.2">
      <c r="A71" s="18">
        <v>37335</v>
      </c>
      <c r="B71" s="34">
        <v>0.88</v>
      </c>
      <c r="C71" s="34">
        <v>0.9</v>
      </c>
      <c r="D71" s="34">
        <v>0.73</v>
      </c>
      <c r="E71" s="34">
        <v>0.93</v>
      </c>
      <c r="F71" s="34"/>
      <c r="G71" s="34"/>
    </row>
    <row r="72" spans="1:7" hidden="1" x14ac:dyDescent="0.2">
      <c r="A72" s="18">
        <v>37566</v>
      </c>
      <c r="B72" s="34"/>
      <c r="C72" s="34"/>
      <c r="D72" s="34"/>
      <c r="E72" s="34"/>
      <c r="F72" s="34"/>
      <c r="G72" s="34"/>
    </row>
    <row r="73" spans="1:7" hidden="1" x14ac:dyDescent="0.2">
      <c r="A73" s="18">
        <v>37594</v>
      </c>
      <c r="B73" s="34">
        <v>0.73</v>
      </c>
      <c r="C73" s="34">
        <v>0.95</v>
      </c>
      <c r="D73" s="34">
        <v>0.55000000000000004</v>
      </c>
      <c r="E73" s="34">
        <v>0.48</v>
      </c>
      <c r="F73" s="34"/>
      <c r="G73" s="34"/>
    </row>
    <row r="74" spans="1:7" hidden="1" x14ac:dyDescent="0.2">
      <c r="A74" s="18">
        <v>37711</v>
      </c>
      <c r="B74" s="34">
        <v>0.5</v>
      </c>
      <c r="C74" s="34">
        <v>0.8</v>
      </c>
      <c r="D74" s="34"/>
      <c r="E74" s="34"/>
      <c r="F74" s="34"/>
      <c r="G74" s="34"/>
    </row>
    <row r="75" spans="1:7" hidden="1" x14ac:dyDescent="0.2">
      <c r="A75" s="18">
        <v>37739</v>
      </c>
      <c r="B75" s="34"/>
      <c r="C75" s="34"/>
      <c r="D75" s="34"/>
      <c r="E75" s="34"/>
      <c r="F75" s="34"/>
      <c r="G75" s="34"/>
    </row>
    <row r="76" spans="1:7" hidden="1" x14ac:dyDescent="0.2">
      <c r="A76" s="18">
        <v>37825</v>
      </c>
      <c r="B76" s="34">
        <v>0.75</v>
      </c>
      <c r="C76" s="34">
        <v>0.75</v>
      </c>
      <c r="D76" s="34">
        <v>0.88</v>
      </c>
      <c r="E76" s="34">
        <v>1.1000000000000001</v>
      </c>
      <c r="F76" s="34"/>
      <c r="G76" s="34"/>
    </row>
    <row r="77" spans="1:7" hidden="1" x14ac:dyDescent="0.2">
      <c r="A77" s="18">
        <v>37888</v>
      </c>
      <c r="B77" s="34">
        <v>1.4</v>
      </c>
      <c r="C77" s="34">
        <v>1</v>
      </c>
      <c r="D77" s="34">
        <v>1.5</v>
      </c>
      <c r="E77" s="34">
        <v>1</v>
      </c>
      <c r="F77" s="34"/>
      <c r="G77" s="34"/>
    </row>
    <row r="78" spans="1:7" hidden="1" x14ac:dyDescent="0.2">
      <c r="A78" s="18">
        <v>37963</v>
      </c>
      <c r="B78" s="34">
        <v>1.1000000000000001</v>
      </c>
      <c r="C78" s="34">
        <v>0.9</v>
      </c>
      <c r="D78" s="34">
        <v>0.9</v>
      </c>
      <c r="E78" s="34">
        <v>0.4</v>
      </c>
      <c r="F78" s="34"/>
      <c r="G78" s="34"/>
    </row>
    <row r="79" spans="1:7" hidden="1" x14ac:dyDescent="0.2">
      <c r="A79" s="18">
        <v>38012</v>
      </c>
      <c r="B79" s="34">
        <v>0.8</v>
      </c>
      <c r="C79" s="34">
        <v>1</v>
      </c>
      <c r="D79" s="34">
        <v>0.8</v>
      </c>
      <c r="E79" s="34">
        <v>0.6</v>
      </c>
      <c r="F79" s="34"/>
      <c r="G79" s="34"/>
    </row>
    <row r="80" spans="1:7" hidden="1" x14ac:dyDescent="0.2">
      <c r="A80" s="18">
        <v>38033</v>
      </c>
      <c r="B80" s="34">
        <v>0.7</v>
      </c>
      <c r="C80" s="34">
        <v>0.9</v>
      </c>
      <c r="D80" s="34">
        <v>0.8</v>
      </c>
      <c r="E80" s="34">
        <v>0.4</v>
      </c>
      <c r="F80" s="34"/>
      <c r="G80" s="34"/>
    </row>
    <row r="81" spans="1:7" hidden="1" x14ac:dyDescent="0.2">
      <c r="A81" s="18">
        <v>38271</v>
      </c>
      <c r="B81" s="34">
        <v>1.3</v>
      </c>
      <c r="C81" s="34">
        <v>0.9</v>
      </c>
      <c r="D81" s="34">
        <v>0.7</v>
      </c>
      <c r="E81" s="34">
        <v>0.7</v>
      </c>
      <c r="F81" s="34"/>
      <c r="G81" s="34"/>
    </row>
    <row r="82" spans="1:7" hidden="1" x14ac:dyDescent="0.2">
      <c r="A82" s="18">
        <v>38474</v>
      </c>
      <c r="B82" s="34">
        <v>0.8</v>
      </c>
      <c r="C82" s="34">
        <v>0.7</v>
      </c>
      <c r="D82" s="34">
        <v>0.6</v>
      </c>
      <c r="E82" s="34">
        <v>0.7</v>
      </c>
      <c r="F82" s="34"/>
      <c r="G82" s="34"/>
    </row>
    <row r="83" spans="1:7" hidden="1" x14ac:dyDescent="0.2">
      <c r="A83" s="18">
        <v>38896</v>
      </c>
      <c r="B83" s="34">
        <v>0.2</v>
      </c>
      <c r="C83" s="34">
        <v>0.2</v>
      </c>
      <c r="D83" s="34">
        <v>0.3</v>
      </c>
      <c r="E83" s="34">
        <v>0.2</v>
      </c>
      <c r="F83" s="34"/>
      <c r="G83" s="34"/>
    </row>
    <row r="84" spans="1:7" hidden="1" x14ac:dyDescent="0.2">
      <c r="A84" s="18">
        <v>40625</v>
      </c>
      <c r="B84" s="34">
        <v>1.2</v>
      </c>
      <c r="C84" s="34">
        <v>1</v>
      </c>
      <c r="D84" s="34">
        <v>1.3</v>
      </c>
      <c r="E84" s="34">
        <v>1</v>
      </c>
      <c r="F84" s="34">
        <v>1</v>
      </c>
      <c r="G84" s="34">
        <v>0.3</v>
      </c>
    </row>
    <row r="85" spans="1:7" hidden="1" x14ac:dyDescent="0.2">
      <c r="A85" s="18">
        <v>40716</v>
      </c>
      <c r="B85" s="34">
        <v>0.6</v>
      </c>
      <c r="C85" s="34">
        <v>0.6</v>
      </c>
      <c r="D85" s="34">
        <v>0.6</v>
      </c>
      <c r="E85" s="34">
        <v>0.6</v>
      </c>
      <c r="F85" s="34">
        <v>0.7</v>
      </c>
      <c r="G85" s="34">
        <v>0.3</v>
      </c>
    </row>
    <row r="86" spans="1:7" hidden="1" x14ac:dyDescent="0.2">
      <c r="A86" s="18">
        <v>40821</v>
      </c>
      <c r="B86" s="34">
        <v>0.8</v>
      </c>
      <c r="C86" s="34">
        <v>1</v>
      </c>
      <c r="D86" s="34">
        <v>0.8</v>
      </c>
      <c r="E86" s="34">
        <v>0.6</v>
      </c>
      <c r="F86" s="34">
        <v>1.1000000000000001</v>
      </c>
      <c r="G86" s="34">
        <v>0.4</v>
      </c>
    </row>
    <row r="87" spans="1:7" hidden="1" x14ac:dyDescent="0.2">
      <c r="A87" s="18">
        <v>40897</v>
      </c>
      <c r="B87" s="34">
        <v>1</v>
      </c>
      <c r="C87" s="34">
        <v>0.9</v>
      </c>
      <c r="D87" s="34">
        <v>1.4</v>
      </c>
      <c r="E87" s="34">
        <v>1.1000000000000001</v>
      </c>
      <c r="F87" s="34">
        <v>0.8</v>
      </c>
      <c r="G87" s="34">
        <v>0.2</v>
      </c>
    </row>
    <row r="88" spans="1:7" hidden="1" x14ac:dyDescent="0.2">
      <c r="A88" s="18">
        <v>41008</v>
      </c>
      <c r="B88" s="34">
        <v>0.7</v>
      </c>
      <c r="C88" s="34">
        <v>0.8</v>
      </c>
      <c r="D88" s="34">
        <v>3.1</v>
      </c>
      <c r="E88" s="34">
        <v>0.9</v>
      </c>
      <c r="F88" s="34">
        <v>1</v>
      </c>
      <c r="G88" s="34">
        <v>0.2</v>
      </c>
    </row>
    <row r="89" spans="1:7" hidden="1" x14ac:dyDescent="0.2">
      <c r="A89" s="18">
        <v>41086</v>
      </c>
      <c r="B89" s="34">
        <v>3.25</v>
      </c>
      <c r="C89" s="34">
        <v>3.5</v>
      </c>
      <c r="D89" s="34">
        <v>3.75</v>
      </c>
      <c r="E89" s="34">
        <v>2.5499999999999998</v>
      </c>
      <c r="F89" s="34">
        <v>3.45</v>
      </c>
      <c r="G89" s="34">
        <v>0.55000000000000004</v>
      </c>
    </row>
    <row r="90" spans="1:7" hidden="1" x14ac:dyDescent="0.2">
      <c r="A90" s="18">
        <v>41179</v>
      </c>
      <c r="B90" s="34">
        <v>1.1000000000000001</v>
      </c>
      <c r="C90" s="34">
        <v>1.1000000000000001</v>
      </c>
      <c r="D90" s="34">
        <v>0.9</v>
      </c>
      <c r="E90" s="34">
        <v>0.89</v>
      </c>
      <c r="F90" s="34">
        <v>1.2</v>
      </c>
      <c r="G90" s="34">
        <v>0.89</v>
      </c>
    </row>
    <row r="91" spans="1:7" hidden="1" x14ac:dyDescent="0.2">
      <c r="A91" s="18">
        <v>41247</v>
      </c>
      <c r="B91" s="34">
        <v>0.89</v>
      </c>
      <c r="C91" s="34">
        <v>0.89</v>
      </c>
      <c r="D91" s="34">
        <v>0.89</v>
      </c>
      <c r="E91" s="34">
        <v>0.89</v>
      </c>
      <c r="F91" s="34">
        <v>0.89</v>
      </c>
      <c r="G91" s="34">
        <v>0.89</v>
      </c>
    </row>
    <row r="92" spans="1:7" hidden="1" x14ac:dyDescent="0.2">
      <c r="A92" s="18">
        <v>41352</v>
      </c>
      <c r="B92" s="34">
        <v>5.35</v>
      </c>
      <c r="C92" s="34">
        <v>5.55</v>
      </c>
      <c r="D92" s="34">
        <v>5.0999999999999996</v>
      </c>
      <c r="E92" s="34">
        <v>5.05</v>
      </c>
      <c r="F92" s="34">
        <v>5.25</v>
      </c>
      <c r="G92" s="34">
        <v>0.35</v>
      </c>
    </row>
    <row r="93" spans="1:7" hidden="1" x14ac:dyDescent="0.2">
      <c r="A93" s="18">
        <v>41445</v>
      </c>
      <c r="B93" s="34">
        <v>1</v>
      </c>
      <c r="C93" s="34">
        <v>1</v>
      </c>
      <c r="D93" s="34">
        <v>1</v>
      </c>
      <c r="E93" s="34">
        <v>1</v>
      </c>
      <c r="F93" s="34">
        <v>1</v>
      </c>
      <c r="G93" s="34">
        <v>1</v>
      </c>
    </row>
    <row r="94" spans="1:7" hidden="1" x14ac:dyDescent="0.2">
      <c r="A94" s="18">
        <v>41528</v>
      </c>
      <c r="B94" s="34">
        <v>1.7</v>
      </c>
      <c r="C94" s="34">
        <v>1.75</v>
      </c>
      <c r="D94" s="34">
        <v>1.35</v>
      </c>
      <c r="E94" s="34">
        <v>0.7</v>
      </c>
      <c r="F94" s="34">
        <v>1.45</v>
      </c>
      <c r="G94" s="34">
        <v>0.65</v>
      </c>
    </row>
    <row r="95" spans="1:7" hidden="1" x14ac:dyDescent="0.2">
      <c r="A95" s="18">
        <v>41670</v>
      </c>
      <c r="B95" s="34">
        <v>3.6</v>
      </c>
      <c r="C95" s="34">
        <v>3.4</v>
      </c>
      <c r="D95" s="34">
        <v>2.7</v>
      </c>
      <c r="E95" s="34">
        <v>2.6</v>
      </c>
      <c r="F95" s="34">
        <v>3.4</v>
      </c>
      <c r="G95" s="34">
        <v>1</v>
      </c>
    </row>
    <row r="96" spans="1:7" hidden="1" x14ac:dyDescent="0.2">
      <c r="A96" s="18">
        <v>41758</v>
      </c>
      <c r="B96" s="34">
        <v>0.9</v>
      </c>
      <c r="C96" s="34">
        <v>1.05</v>
      </c>
      <c r="D96" s="34">
        <v>0.9</v>
      </c>
      <c r="E96" s="34">
        <v>1.35</v>
      </c>
      <c r="F96" s="34">
        <v>0.95</v>
      </c>
      <c r="G96" s="34">
        <v>0.15</v>
      </c>
    </row>
    <row r="97" spans="1:7" hidden="1" x14ac:dyDescent="0.2">
      <c r="A97" s="18">
        <v>41835</v>
      </c>
      <c r="B97" s="34">
        <v>0.4</v>
      </c>
      <c r="C97" s="34">
        <v>0.5</v>
      </c>
      <c r="D97" s="34">
        <v>0.35</v>
      </c>
      <c r="E97" s="34">
        <v>0.95</v>
      </c>
      <c r="F97" s="34">
        <v>0.6</v>
      </c>
      <c r="G97" s="34">
        <v>0.4</v>
      </c>
    </row>
    <row r="98" spans="1:7" hidden="1" x14ac:dyDescent="0.2">
      <c r="A98" s="18">
        <v>42031</v>
      </c>
      <c r="B98" s="34">
        <v>1.05</v>
      </c>
      <c r="C98" s="34">
        <v>1.1000000000000001</v>
      </c>
      <c r="D98" s="34">
        <v>1.1000000000000001</v>
      </c>
      <c r="E98" s="34">
        <v>4.0999999999999996</v>
      </c>
      <c r="F98" s="34">
        <v>0.7</v>
      </c>
      <c r="G98" s="34">
        <v>0.5</v>
      </c>
    </row>
    <row r="99" spans="1:7" hidden="1" x14ac:dyDescent="0.2">
      <c r="A99" s="18">
        <v>42094</v>
      </c>
      <c r="B99" s="34">
        <v>1.25</v>
      </c>
      <c r="C99" s="34">
        <v>0.4</v>
      </c>
      <c r="D99" s="34">
        <v>0.55000000000000004</v>
      </c>
      <c r="E99" s="34">
        <v>0.55000000000000004</v>
      </c>
      <c r="F99" s="34">
        <v>0.45</v>
      </c>
      <c r="G99" s="34">
        <v>0.1</v>
      </c>
    </row>
    <row r="100" spans="1:7" hidden="1" x14ac:dyDescent="0.2">
      <c r="A100" s="18">
        <v>42192</v>
      </c>
      <c r="B100" s="34">
        <v>0.6</v>
      </c>
      <c r="C100" s="34">
        <v>0.65</v>
      </c>
      <c r="D100" s="34">
        <v>0.5</v>
      </c>
      <c r="E100" s="34">
        <v>0.65</v>
      </c>
      <c r="F100" s="34">
        <v>0.55000000000000004</v>
      </c>
      <c r="G100" s="34">
        <v>0.2</v>
      </c>
    </row>
    <row r="101" spans="1:7" hidden="1" x14ac:dyDescent="0.2">
      <c r="A101" s="18">
        <v>42290</v>
      </c>
      <c r="B101" s="34">
        <v>0.85</v>
      </c>
      <c r="C101" s="34">
        <v>1.1000000000000001</v>
      </c>
      <c r="D101" s="34">
        <v>0.9</v>
      </c>
      <c r="E101" s="34">
        <v>0.8</v>
      </c>
      <c r="F101" s="34">
        <v>0.95</v>
      </c>
      <c r="G101" s="34"/>
    </row>
    <row r="102" spans="1:7" hidden="1" x14ac:dyDescent="0.2">
      <c r="A102" s="18">
        <v>42381</v>
      </c>
      <c r="B102" s="34">
        <v>1.7</v>
      </c>
      <c r="C102" s="34">
        <v>2</v>
      </c>
      <c r="D102" s="34">
        <v>1.8</v>
      </c>
      <c r="E102" s="34">
        <v>1.6</v>
      </c>
      <c r="F102" s="34">
        <v>1.8</v>
      </c>
      <c r="G102" s="34"/>
    </row>
    <row r="103" spans="1:7" hidden="1" x14ac:dyDescent="0.2">
      <c r="A103" s="18">
        <v>42479</v>
      </c>
      <c r="B103" s="34">
        <v>0.8</v>
      </c>
      <c r="C103" s="34">
        <v>0.6</v>
      </c>
      <c r="D103" s="34">
        <v>0.7</v>
      </c>
      <c r="E103" s="34">
        <v>1</v>
      </c>
      <c r="F103" s="34">
        <v>0.75</v>
      </c>
      <c r="G103" s="34">
        <v>1.58</v>
      </c>
    </row>
    <row r="104" spans="1:7" hidden="1" x14ac:dyDescent="0.2">
      <c r="A104" s="18">
        <v>42570</v>
      </c>
      <c r="B104" s="34">
        <v>0</v>
      </c>
      <c r="C104" s="34">
        <v>0</v>
      </c>
      <c r="D104" s="34">
        <v>0</v>
      </c>
      <c r="E104" s="34">
        <v>0</v>
      </c>
      <c r="F104" s="34">
        <v>0</v>
      </c>
      <c r="G104" s="34">
        <v>0</v>
      </c>
    </row>
    <row r="105" spans="1:7" hidden="1" x14ac:dyDescent="0.2">
      <c r="A105" s="18">
        <v>42654</v>
      </c>
      <c r="B105" s="34">
        <v>1.1000000000000001</v>
      </c>
      <c r="C105" s="34">
        <v>1.35</v>
      </c>
      <c r="D105" s="34">
        <v>1.2</v>
      </c>
      <c r="E105" s="34">
        <v>1</v>
      </c>
      <c r="F105" s="34">
        <v>1.4</v>
      </c>
      <c r="G105" s="34">
        <v>0.33</v>
      </c>
    </row>
    <row r="106" spans="1:7" hidden="1" x14ac:dyDescent="0.2">
      <c r="A106" s="18">
        <v>42745</v>
      </c>
      <c r="B106" s="34">
        <v>2.5499999999999998</v>
      </c>
      <c r="C106" s="34">
        <v>2.6</v>
      </c>
      <c r="D106" s="34">
        <v>2.6</v>
      </c>
      <c r="E106" s="34">
        <v>2.8</v>
      </c>
      <c r="F106" s="34">
        <v>2.5499999999999998</v>
      </c>
      <c r="G106" s="34">
        <v>0.4</v>
      </c>
    </row>
    <row r="107" spans="1:7" hidden="1" x14ac:dyDescent="0.2">
      <c r="A107" s="18">
        <v>42843</v>
      </c>
      <c r="B107" s="34">
        <v>0.7</v>
      </c>
      <c r="C107" s="34">
        <v>0.25</v>
      </c>
      <c r="D107" s="34">
        <v>0.4</v>
      </c>
      <c r="E107" s="34">
        <v>0.15</v>
      </c>
      <c r="F107" s="34">
        <v>0.3</v>
      </c>
      <c r="G107" s="34">
        <v>2.5000000000000001E-2</v>
      </c>
    </row>
    <row r="108" spans="1:7" hidden="1" x14ac:dyDescent="0.2">
      <c r="A108" s="18">
        <v>42934</v>
      </c>
      <c r="B108" s="34">
        <v>0.5</v>
      </c>
      <c r="C108" s="34">
        <v>0.55000000000000004</v>
      </c>
      <c r="D108" s="34">
        <v>0.6</v>
      </c>
      <c r="E108" s="34">
        <v>0.5</v>
      </c>
      <c r="F108" s="34">
        <v>0.6</v>
      </c>
      <c r="G108" s="34">
        <v>0.7</v>
      </c>
    </row>
    <row r="109" spans="1:7" hidden="1" x14ac:dyDescent="0.2">
      <c r="A109" s="18">
        <v>43025</v>
      </c>
      <c r="B109" s="34">
        <v>1</v>
      </c>
      <c r="C109" s="34">
        <v>0.85</v>
      </c>
      <c r="D109" s="34">
        <v>0.38</v>
      </c>
      <c r="E109" s="34">
        <v>0.4</v>
      </c>
      <c r="F109" s="34">
        <v>0.6</v>
      </c>
      <c r="G109" s="34">
        <v>0.5</v>
      </c>
    </row>
    <row r="110" spans="1:7" hidden="1" x14ac:dyDescent="0.2">
      <c r="A110" s="18">
        <v>43109</v>
      </c>
      <c r="B110" s="34">
        <v>0.6</v>
      </c>
      <c r="C110" s="34">
        <v>0.7</v>
      </c>
      <c r="D110" s="34">
        <v>0.5</v>
      </c>
      <c r="E110" s="34">
        <v>0.6</v>
      </c>
      <c r="F110" s="34">
        <v>0.65</v>
      </c>
      <c r="G110" s="34">
        <v>0.17499999999999999</v>
      </c>
    </row>
    <row r="111" spans="1:7" hidden="1" x14ac:dyDescent="0.2">
      <c r="A111" s="18">
        <v>43193</v>
      </c>
      <c r="B111" s="34">
        <v>3.4</v>
      </c>
      <c r="C111" s="34">
        <v>3.05</v>
      </c>
      <c r="D111" s="34">
        <v>2.8</v>
      </c>
      <c r="E111" s="34">
        <v>3.53</v>
      </c>
      <c r="F111" s="34">
        <v>3.1</v>
      </c>
      <c r="G111" s="34">
        <v>0.3</v>
      </c>
    </row>
    <row r="112" spans="1:7" hidden="1" x14ac:dyDescent="0.2">
      <c r="A112" s="18">
        <v>43298</v>
      </c>
      <c r="B112" s="34">
        <v>1</v>
      </c>
      <c r="C112" s="34">
        <v>1</v>
      </c>
      <c r="D112" s="34">
        <v>1</v>
      </c>
      <c r="E112" s="34">
        <v>1</v>
      </c>
      <c r="F112" s="34">
        <v>1</v>
      </c>
      <c r="G112" s="34">
        <v>1</v>
      </c>
    </row>
    <row r="113" spans="1:7" hidden="1" x14ac:dyDescent="0.2">
      <c r="A113" s="18">
        <v>43403</v>
      </c>
      <c r="B113" s="34">
        <v>1.95</v>
      </c>
      <c r="C113" s="34">
        <v>2.2000000000000002</v>
      </c>
      <c r="D113" s="34">
        <v>1.95</v>
      </c>
      <c r="E113" s="34">
        <v>2.2999999999999998</v>
      </c>
      <c r="F113" s="34">
        <v>1.6</v>
      </c>
      <c r="G113" s="34">
        <v>0.4</v>
      </c>
    </row>
    <row r="114" spans="1:7" hidden="1" x14ac:dyDescent="0.2">
      <c r="A114" s="18">
        <v>43487</v>
      </c>
      <c r="B114" s="34">
        <v>1.35</v>
      </c>
      <c r="C114" s="34">
        <v>0.85</v>
      </c>
      <c r="D114" s="34">
        <v>1.0249999999999999</v>
      </c>
      <c r="E114" s="34"/>
      <c r="F114" s="34">
        <v>1.1000000000000001</v>
      </c>
      <c r="G114" s="34">
        <v>0.2</v>
      </c>
    </row>
    <row r="115" spans="1:7" hidden="1" x14ac:dyDescent="0.2">
      <c r="A115" s="18">
        <v>43578</v>
      </c>
      <c r="B115" s="34">
        <v>4</v>
      </c>
      <c r="C115" s="34">
        <v>4</v>
      </c>
      <c r="D115" s="34">
        <v>4</v>
      </c>
      <c r="E115" s="34">
        <v>3</v>
      </c>
      <c r="F115" s="34">
        <v>0.2</v>
      </c>
      <c r="G115" s="34">
        <v>4</v>
      </c>
    </row>
    <row r="116" spans="1:7" hidden="1" x14ac:dyDescent="0.2">
      <c r="A116" s="18">
        <v>43704</v>
      </c>
      <c r="B116" s="34">
        <v>1.75</v>
      </c>
      <c r="C116" s="34">
        <v>2.25</v>
      </c>
      <c r="D116" s="34">
        <v>2</v>
      </c>
      <c r="E116" s="34">
        <v>1.85</v>
      </c>
      <c r="F116" s="34">
        <v>1.95</v>
      </c>
      <c r="G116" s="34">
        <v>2.2000000000000002</v>
      </c>
    </row>
    <row r="117" spans="1:7" hidden="1" x14ac:dyDescent="0.2">
      <c r="A117" s="18">
        <v>43760</v>
      </c>
      <c r="B117" s="34">
        <v>2.8</v>
      </c>
      <c r="C117" s="34">
        <v>1.3</v>
      </c>
      <c r="D117" s="34">
        <v>1.4</v>
      </c>
      <c r="E117" s="34">
        <v>1.25</v>
      </c>
      <c r="F117" s="34">
        <v>1.1000000000000001</v>
      </c>
      <c r="G117" s="34">
        <v>0.4</v>
      </c>
    </row>
    <row r="118" spans="1:7" hidden="1" x14ac:dyDescent="0.2">
      <c r="A118" s="18">
        <v>44021</v>
      </c>
      <c r="B118" s="34">
        <v>1.75</v>
      </c>
      <c r="C118" s="34">
        <v>1.9</v>
      </c>
      <c r="D118" s="34">
        <v>1.9</v>
      </c>
      <c r="E118" s="34">
        <v>1.7</v>
      </c>
      <c r="F118" s="34">
        <v>1.75</v>
      </c>
      <c r="G118" s="34">
        <v>1.1000000000000001</v>
      </c>
    </row>
    <row r="119" spans="1:7" hidden="1" x14ac:dyDescent="0.2"/>
    <row r="120" spans="1:7" hidden="1" x14ac:dyDescent="0.2"/>
    <row r="121" spans="1:7" hidden="1" x14ac:dyDescent="0.2">
      <c r="A121" s="34"/>
      <c r="B121" s="36" t="s">
        <v>32</v>
      </c>
    </row>
    <row r="122" spans="1:7" hidden="1" x14ac:dyDescent="0.2">
      <c r="A122" s="34"/>
      <c r="B122" s="29" t="s">
        <v>22</v>
      </c>
    </row>
    <row r="123" spans="1:7" hidden="1" x14ac:dyDescent="0.2">
      <c r="A123" s="12" t="s">
        <v>7</v>
      </c>
      <c r="B123" s="78" t="s">
        <v>9</v>
      </c>
      <c r="C123" s="77" t="s">
        <v>10</v>
      </c>
      <c r="D123" s="76" t="s">
        <v>11</v>
      </c>
      <c r="E123" s="75" t="s">
        <v>12</v>
      </c>
      <c r="F123" s="74" t="s">
        <v>13</v>
      </c>
      <c r="G123" s="27" t="s">
        <v>14</v>
      </c>
    </row>
    <row r="124" spans="1:7" hidden="1" x14ac:dyDescent="0.2">
      <c r="A124" s="18">
        <v>37046</v>
      </c>
      <c r="B124" s="34">
        <v>11.81</v>
      </c>
      <c r="C124" s="34">
        <v>23.42</v>
      </c>
      <c r="D124" s="34">
        <v>19.68</v>
      </c>
      <c r="E124" s="34">
        <v>7.87</v>
      </c>
      <c r="F124" s="34"/>
      <c r="G124" s="34"/>
    </row>
    <row r="125" spans="1:7" hidden="1" x14ac:dyDescent="0.2">
      <c r="A125" s="18">
        <v>37076</v>
      </c>
      <c r="B125" s="34">
        <v>7.75</v>
      </c>
      <c r="C125" s="34">
        <v>11.63</v>
      </c>
      <c r="D125" s="34">
        <v>9.69</v>
      </c>
      <c r="E125" s="34">
        <v>23.62</v>
      </c>
      <c r="F125" s="34"/>
      <c r="G125" s="34"/>
    </row>
    <row r="126" spans="1:7" hidden="1" x14ac:dyDescent="0.2">
      <c r="A126" s="18">
        <v>37335</v>
      </c>
      <c r="B126" s="34">
        <v>11.79</v>
      </c>
      <c r="C126" s="34">
        <v>9.82</v>
      </c>
      <c r="D126" s="34">
        <v>1.96</v>
      </c>
      <c r="E126" s="34">
        <v>3.93</v>
      </c>
      <c r="F126" s="34"/>
      <c r="G126" s="34"/>
    </row>
    <row r="127" spans="1:7" hidden="1" x14ac:dyDescent="0.2">
      <c r="A127" s="18">
        <v>37566</v>
      </c>
      <c r="B127" s="34">
        <v>1.83</v>
      </c>
      <c r="C127" s="34">
        <v>1.65</v>
      </c>
      <c r="D127" s="34">
        <v>1.68</v>
      </c>
      <c r="E127" s="34">
        <v>1.75</v>
      </c>
      <c r="F127" s="34"/>
      <c r="G127" s="34"/>
    </row>
    <row r="128" spans="1:7" hidden="1" x14ac:dyDescent="0.2">
      <c r="A128" s="18">
        <v>37594</v>
      </c>
      <c r="B128" s="34"/>
      <c r="C128" s="34"/>
      <c r="D128" s="34"/>
      <c r="E128" s="34"/>
      <c r="F128" s="34"/>
      <c r="G128" s="34"/>
    </row>
    <row r="129" spans="1:7" hidden="1" x14ac:dyDescent="0.2">
      <c r="A129" s="18">
        <v>37711</v>
      </c>
      <c r="B129" s="34"/>
      <c r="C129" s="34"/>
      <c r="D129" s="34"/>
      <c r="E129" s="34"/>
      <c r="F129" s="34"/>
      <c r="G129" s="34"/>
    </row>
    <row r="130" spans="1:7" hidden="1" x14ac:dyDescent="0.2">
      <c r="A130" s="18">
        <v>37739</v>
      </c>
      <c r="B130" s="34"/>
      <c r="C130" s="34"/>
      <c r="D130" s="34"/>
      <c r="E130" s="34"/>
      <c r="F130" s="34"/>
      <c r="G130" s="34"/>
    </row>
    <row r="131" spans="1:7" hidden="1" x14ac:dyDescent="0.2">
      <c r="A131" s="18">
        <v>37825</v>
      </c>
      <c r="B131" s="34"/>
      <c r="C131" s="34"/>
      <c r="D131" s="34"/>
      <c r="E131" s="34"/>
      <c r="F131" s="34"/>
      <c r="G131" s="34"/>
    </row>
    <row r="132" spans="1:7" hidden="1" x14ac:dyDescent="0.2">
      <c r="A132" s="18">
        <v>37888</v>
      </c>
      <c r="B132" s="34">
        <v>23.7</v>
      </c>
      <c r="C132" s="34">
        <v>21.8</v>
      </c>
      <c r="D132" s="34">
        <v>27.7</v>
      </c>
      <c r="E132" s="34">
        <v>19.8</v>
      </c>
      <c r="F132" s="34"/>
      <c r="G132" s="34"/>
    </row>
    <row r="133" spans="1:7" hidden="1" x14ac:dyDescent="0.2">
      <c r="A133" s="18">
        <v>37963</v>
      </c>
      <c r="B133" s="34">
        <v>5.9</v>
      </c>
      <c r="C133" s="34">
        <v>5.9</v>
      </c>
      <c r="D133" s="34">
        <v>3.7</v>
      </c>
      <c r="E133" s="34">
        <v>3.7</v>
      </c>
      <c r="F133" s="34"/>
      <c r="G133" s="34"/>
    </row>
    <row r="134" spans="1:7" hidden="1" x14ac:dyDescent="0.2">
      <c r="A134" s="18">
        <v>38012</v>
      </c>
      <c r="B134" s="34">
        <v>16</v>
      </c>
      <c r="C134" s="34">
        <v>14</v>
      </c>
      <c r="D134" s="34">
        <v>14</v>
      </c>
      <c r="E134" s="34">
        <v>12</v>
      </c>
      <c r="F134" s="34"/>
      <c r="G134" s="34"/>
    </row>
    <row r="135" spans="1:7" hidden="1" x14ac:dyDescent="0.2">
      <c r="A135" s="18">
        <v>38033</v>
      </c>
      <c r="B135" s="34">
        <v>1.95</v>
      </c>
      <c r="C135" s="34">
        <v>5.9</v>
      </c>
      <c r="D135" s="34">
        <v>1.95</v>
      </c>
      <c r="E135" s="34">
        <v>3.9</v>
      </c>
      <c r="F135" s="34"/>
      <c r="G135" s="34"/>
    </row>
    <row r="136" spans="1:7" hidden="1" x14ac:dyDescent="0.2">
      <c r="A136" s="18">
        <v>38271</v>
      </c>
      <c r="B136" s="34"/>
      <c r="C136" s="34"/>
      <c r="D136" s="34"/>
      <c r="E136" s="34"/>
      <c r="F136" s="34"/>
      <c r="G136" s="34"/>
    </row>
    <row r="137" spans="1:7" hidden="1" x14ac:dyDescent="0.2">
      <c r="A137" s="18">
        <v>38474</v>
      </c>
      <c r="B137" s="34">
        <v>29</v>
      </c>
      <c r="C137" s="34">
        <v>23</v>
      </c>
      <c r="D137" s="34">
        <v>27</v>
      </c>
      <c r="E137" s="34">
        <v>35</v>
      </c>
      <c r="F137" s="34"/>
      <c r="G137" s="34"/>
    </row>
    <row r="138" spans="1:7" hidden="1" x14ac:dyDescent="0.2">
      <c r="A138" s="18">
        <v>38896</v>
      </c>
      <c r="B138" s="34">
        <v>18</v>
      </c>
      <c r="C138" s="34">
        <v>14</v>
      </c>
      <c r="D138" s="34">
        <v>31</v>
      </c>
      <c r="E138" s="34">
        <v>10</v>
      </c>
      <c r="F138" s="34"/>
      <c r="G138" s="34"/>
    </row>
    <row r="139" spans="1:7" hidden="1" x14ac:dyDescent="0.2">
      <c r="A139" s="18">
        <v>40625</v>
      </c>
      <c r="B139" s="34">
        <v>54</v>
      </c>
      <c r="C139" s="34">
        <v>58</v>
      </c>
      <c r="D139" s="34">
        <v>44</v>
      </c>
      <c r="E139" s="34">
        <v>50</v>
      </c>
      <c r="F139" s="34">
        <v>58</v>
      </c>
      <c r="G139" s="34">
        <v>12</v>
      </c>
    </row>
    <row r="140" spans="1:7" hidden="1" x14ac:dyDescent="0.2">
      <c r="A140" s="18">
        <v>40716</v>
      </c>
      <c r="B140" s="34">
        <v>16</v>
      </c>
      <c r="C140" s="34">
        <v>18</v>
      </c>
      <c r="D140" s="34">
        <v>8</v>
      </c>
      <c r="E140" s="34">
        <v>16</v>
      </c>
      <c r="F140" s="34">
        <v>14</v>
      </c>
      <c r="G140" s="34">
        <v>6</v>
      </c>
    </row>
    <row r="141" spans="1:7" hidden="1" x14ac:dyDescent="0.2">
      <c r="A141" s="18">
        <v>40821</v>
      </c>
      <c r="B141" s="34">
        <v>58</v>
      </c>
      <c r="C141" s="34">
        <v>58</v>
      </c>
      <c r="D141" s="34">
        <v>46</v>
      </c>
      <c r="E141" s="34">
        <v>46</v>
      </c>
      <c r="F141" s="34">
        <v>64</v>
      </c>
      <c r="G141" s="34">
        <v>14</v>
      </c>
    </row>
    <row r="142" spans="1:7" hidden="1" x14ac:dyDescent="0.2">
      <c r="A142" s="18">
        <v>40897</v>
      </c>
      <c r="B142" s="34">
        <v>42</v>
      </c>
      <c r="C142" s="34">
        <v>38</v>
      </c>
      <c r="D142" s="34">
        <v>40</v>
      </c>
      <c r="E142" s="34">
        <v>46</v>
      </c>
      <c r="F142" s="34">
        <v>32</v>
      </c>
      <c r="G142" s="34">
        <v>12</v>
      </c>
    </row>
    <row r="143" spans="1:7" hidden="1" x14ac:dyDescent="0.2">
      <c r="A143" s="18">
        <v>41008</v>
      </c>
      <c r="B143" s="34">
        <v>21</v>
      </c>
      <c r="C143" s="34">
        <v>21</v>
      </c>
      <c r="D143" s="34">
        <v>107</v>
      </c>
      <c r="E143" s="34">
        <v>32</v>
      </c>
      <c r="F143" s="34">
        <v>19</v>
      </c>
      <c r="G143" s="34">
        <v>4</v>
      </c>
    </row>
    <row r="144" spans="1:7" hidden="1" x14ac:dyDescent="0.2">
      <c r="A144" s="18">
        <v>41086</v>
      </c>
      <c r="B144" s="34">
        <v>68</v>
      </c>
      <c r="C144" s="34">
        <v>62</v>
      </c>
      <c r="D144" s="34">
        <v>70</v>
      </c>
      <c r="E144" s="34">
        <v>50</v>
      </c>
      <c r="F144" s="34">
        <v>60</v>
      </c>
      <c r="G144" s="34">
        <v>27</v>
      </c>
    </row>
    <row r="145" spans="1:7" hidden="1" x14ac:dyDescent="0.2">
      <c r="A145" s="18">
        <v>41179</v>
      </c>
      <c r="B145" s="34">
        <v>25</v>
      </c>
      <c r="C145" s="34">
        <v>25</v>
      </c>
      <c r="D145" s="34">
        <v>25</v>
      </c>
      <c r="E145" s="34">
        <v>25</v>
      </c>
      <c r="F145" s="34">
        <v>25</v>
      </c>
      <c r="G145" s="34">
        <v>25</v>
      </c>
    </row>
    <row r="146" spans="1:7" hidden="1" x14ac:dyDescent="0.2">
      <c r="A146" s="18">
        <v>41247</v>
      </c>
      <c r="B146" s="34">
        <v>25</v>
      </c>
      <c r="C146" s="34">
        <v>25</v>
      </c>
      <c r="D146" s="34">
        <v>25</v>
      </c>
      <c r="E146" s="34">
        <v>25</v>
      </c>
      <c r="F146" s="34">
        <v>25</v>
      </c>
      <c r="G146" s="34">
        <v>25</v>
      </c>
    </row>
    <row r="147" spans="1:7" hidden="1" x14ac:dyDescent="0.2">
      <c r="A147" s="18">
        <v>41352</v>
      </c>
      <c r="B147" s="34">
        <v>74</v>
      </c>
      <c r="C147" s="34">
        <v>56</v>
      </c>
      <c r="D147" s="34">
        <v>75</v>
      </c>
      <c r="E147" s="34">
        <v>73</v>
      </c>
      <c r="F147" s="34">
        <v>64</v>
      </c>
      <c r="G147" s="34">
        <v>60</v>
      </c>
    </row>
    <row r="148" spans="1:7" hidden="1" x14ac:dyDescent="0.2">
      <c r="A148" s="18">
        <v>41445</v>
      </c>
      <c r="B148" s="34">
        <v>26</v>
      </c>
      <c r="C148" s="34">
        <v>25</v>
      </c>
      <c r="D148" s="34">
        <v>35</v>
      </c>
      <c r="E148" s="34">
        <v>25</v>
      </c>
      <c r="F148" s="34">
        <v>25</v>
      </c>
      <c r="G148" s="34">
        <v>25</v>
      </c>
    </row>
    <row r="149" spans="1:7" hidden="1" x14ac:dyDescent="0.2">
      <c r="A149" s="18">
        <v>41528</v>
      </c>
      <c r="B149" s="34">
        <v>25</v>
      </c>
      <c r="C149" s="34">
        <v>25</v>
      </c>
      <c r="D149" s="34">
        <v>25</v>
      </c>
      <c r="E149" s="34">
        <v>25</v>
      </c>
      <c r="F149" s="34">
        <v>25</v>
      </c>
      <c r="G149" s="34">
        <v>25</v>
      </c>
    </row>
    <row r="150" spans="1:7" hidden="1" x14ac:dyDescent="0.2">
      <c r="A150" s="18">
        <v>41670</v>
      </c>
      <c r="B150" s="34">
        <v>46</v>
      </c>
      <c r="C150" s="34">
        <v>47</v>
      </c>
      <c r="D150" s="34">
        <v>37</v>
      </c>
      <c r="E150" s="34">
        <v>91</v>
      </c>
      <c r="F150" s="34">
        <v>43</v>
      </c>
      <c r="G150" s="34">
        <v>25</v>
      </c>
    </row>
    <row r="151" spans="1:7" hidden="1" x14ac:dyDescent="0.2">
      <c r="A151" s="18">
        <v>41758</v>
      </c>
      <c r="B151" s="34">
        <v>41</v>
      </c>
      <c r="C151" s="34">
        <v>33</v>
      </c>
      <c r="D151" s="34">
        <v>41</v>
      </c>
      <c r="E151" s="34">
        <v>31</v>
      </c>
      <c r="F151" s="34">
        <v>27</v>
      </c>
      <c r="G151" s="34">
        <v>25</v>
      </c>
    </row>
    <row r="152" spans="1:7" hidden="1" x14ac:dyDescent="0.2">
      <c r="A152" s="18">
        <v>41835</v>
      </c>
      <c r="B152" s="34">
        <v>25</v>
      </c>
      <c r="C152" s="34">
        <v>25</v>
      </c>
      <c r="D152" s="34">
        <v>25</v>
      </c>
      <c r="E152" s="34">
        <v>25</v>
      </c>
      <c r="F152" s="34">
        <v>25</v>
      </c>
      <c r="G152" s="34">
        <v>25</v>
      </c>
    </row>
    <row r="153" spans="1:7" hidden="1" x14ac:dyDescent="0.2">
      <c r="A153" s="18">
        <v>42031</v>
      </c>
      <c r="B153" s="34">
        <v>34</v>
      </c>
      <c r="C153" s="34">
        <v>36</v>
      </c>
      <c r="D153" s="34">
        <v>32</v>
      </c>
      <c r="E153" s="34">
        <v>45</v>
      </c>
      <c r="F153" s="34">
        <v>29</v>
      </c>
      <c r="G153" s="34">
        <v>25</v>
      </c>
    </row>
    <row r="154" spans="1:7" hidden="1" x14ac:dyDescent="0.2">
      <c r="A154" s="18">
        <v>42094</v>
      </c>
      <c r="B154" s="34">
        <v>40</v>
      </c>
      <c r="C154" s="34">
        <v>44</v>
      </c>
      <c r="D154" s="34">
        <v>26</v>
      </c>
      <c r="E154" s="34">
        <v>37</v>
      </c>
      <c r="F154" s="34">
        <v>32</v>
      </c>
      <c r="G154" s="34">
        <v>25</v>
      </c>
    </row>
    <row r="155" spans="1:7" hidden="1" x14ac:dyDescent="0.2">
      <c r="A155" s="18">
        <v>42192</v>
      </c>
      <c r="B155" s="34">
        <v>25</v>
      </c>
      <c r="C155" s="34">
        <v>25</v>
      </c>
      <c r="D155" s="34">
        <v>25</v>
      </c>
      <c r="E155" s="34">
        <v>25</v>
      </c>
      <c r="F155" s="34">
        <v>25</v>
      </c>
      <c r="G155" s="34">
        <v>25</v>
      </c>
    </row>
    <row r="156" spans="1:7" hidden="1" x14ac:dyDescent="0.2">
      <c r="A156" s="18">
        <v>42290</v>
      </c>
      <c r="B156" s="34">
        <v>50</v>
      </c>
      <c r="C156" s="34">
        <v>32</v>
      </c>
      <c r="D156" s="34">
        <v>25</v>
      </c>
      <c r="E156" s="34">
        <v>25</v>
      </c>
      <c r="F156" s="34">
        <v>25</v>
      </c>
      <c r="G156" s="34"/>
    </row>
    <row r="157" spans="1:7" hidden="1" x14ac:dyDescent="0.2">
      <c r="A157" s="18">
        <v>42381</v>
      </c>
      <c r="B157" s="34">
        <v>30</v>
      </c>
      <c r="C157" s="34">
        <v>37</v>
      </c>
      <c r="D157" s="34">
        <v>25</v>
      </c>
      <c r="E157" s="34">
        <v>25</v>
      </c>
      <c r="F157" s="34">
        <v>25</v>
      </c>
      <c r="G157" s="34"/>
    </row>
    <row r="158" spans="1:7" hidden="1" x14ac:dyDescent="0.2">
      <c r="A158" s="18">
        <v>42479</v>
      </c>
      <c r="B158" s="34">
        <v>40</v>
      </c>
      <c r="C158" s="34">
        <v>36</v>
      </c>
      <c r="D158" s="34">
        <v>37</v>
      </c>
      <c r="E158" s="34">
        <v>27</v>
      </c>
      <c r="F158" s="34">
        <v>26</v>
      </c>
      <c r="G158" s="34">
        <v>25</v>
      </c>
    </row>
    <row r="159" spans="1:7" hidden="1" x14ac:dyDescent="0.2">
      <c r="A159" s="18">
        <v>42570</v>
      </c>
      <c r="B159" s="34">
        <v>31</v>
      </c>
      <c r="C159" s="34">
        <v>25</v>
      </c>
      <c r="D159" s="34">
        <v>30</v>
      </c>
      <c r="E159" s="34">
        <v>25</v>
      </c>
      <c r="F159" s="34">
        <v>27</v>
      </c>
      <c r="G159" s="34">
        <v>25</v>
      </c>
    </row>
    <row r="160" spans="1:7" hidden="1" x14ac:dyDescent="0.2">
      <c r="A160" s="18">
        <v>42654</v>
      </c>
      <c r="B160" s="34">
        <v>53</v>
      </c>
      <c r="C160" s="34">
        <v>45</v>
      </c>
      <c r="D160" s="34">
        <v>21</v>
      </c>
      <c r="E160" s="34">
        <v>29</v>
      </c>
      <c r="F160" s="34">
        <v>27</v>
      </c>
      <c r="G160" s="34">
        <v>46</v>
      </c>
    </row>
    <row r="161" spans="1:7" hidden="1" x14ac:dyDescent="0.2">
      <c r="A161" s="18">
        <v>42745</v>
      </c>
      <c r="B161" s="34">
        <v>78</v>
      </c>
      <c r="C161" s="34">
        <v>50</v>
      </c>
      <c r="D161" s="34">
        <v>55</v>
      </c>
      <c r="E161" s="34">
        <v>59</v>
      </c>
      <c r="F161" s="34">
        <v>31</v>
      </c>
      <c r="G161" s="34">
        <v>25</v>
      </c>
    </row>
    <row r="162" spans="1:7" hidden="1" x14ac:dyDescent="0.2">
      <c r="A162" s="18">
        <v>42843</v>
      </c>
      <c r="B162" s="34">
        <v>34</v>
      </c>
      <c r="C162" s="34">
        <v>31</v>
      </c>
      <c r="D162" s="34">
        <v>31</v>
      </c>
      <c r="E162" s="34">
        <v>33</v>
      </c>
      <c r="F162" s="34">
        <v>41</v>
      </c>
      <c r="G162" s="34">
        <v>35</v>
      </c>
    </row>
    <row r="163" spans="1:7" hidden="1" x14ac:dyDescent="0.2">
      <c r="A163" s="18">
        <v>42934</v>
      </c>
      <c r="B163" s="34">
        <v>25</v>
      </c>
      <c r="C163" s="34">
        <v>25</v>
      </c>
      <c r="D163" s="34">
        <v>25</v>
      </c>
      <c r="E163" s="34">
        <v>25</v>
      </c>
      <c r="F163" s="34">
        <v>25</v>
      </c>
      <c r="G163" s="34">
        <v>25</v>
      </c>
    </row>
    <row r="164" spans="1:7" hidden="1" x14ac:dyDescent="0.2">
      <c r="A164" s="18">
        <v>43025</v>
      </c>
      <c r="B164" s="34">
        <v>25</v>
      </c>
      <c r="C164" s="34">
        <v>25</v>
      </c>
      <c r="D164" s="34">
        <v>27</v>
      </c>
      <c r="E164" s="34">
        <v>25</v>
      </c>
      <c r="F164" s="34">
        <v>25</v>
      </c>
      <c r="G164" s="34">
        <v>25</v>
      </c>
    </row>
    <row r="165" spans="1:7" hidden="1" x14ac:dyDescent="0.2">
      <c r="A165" s="18">
        <v>43109</v>
      </c>
      <c r="B165" s="34">
        <v>35</v>
      </c>
      <c r="C165" s="34">
        <v>28</v>
      </c>
      <c r="D165" s="34">
        <v>25</v>
      </c>
      <c r="E165" s="34">
        <v>25</v>
      </c>
      <c r="F165" s="34">
        <v>29</v>
      </c>
      <c r="G165" s="34">
        <v>25</v>
      </c>
    </row>
    <row r="166" spans="1:7" hidden="1" x14ac:dyDescent="0.2">
      <c r="A166" s="18">
        <v>43193</v>
      </c>
      <c r="B166" s="34">
        <v>79</v>
      </c>
      <c r="C166" s="34">
        <v>72</v>
      </c>
      <c r="D166" s="34">
        <v>74</v>
      </c>
      <c r="E166" s="34">
        <v>90</v>
      </c>
      <c r="F166" s="34">
        <v>79</v>
      </c>
      <c r="G166" s="34">
        <v>25</v>
      </c>
    </row>
    <row r="167" spans="1:7" hidden="1" x14ac:dyDescent="0.2">
      <c r="A167" s="18">
        <v>43298</v>
      </c>
      <c r="B167" s="34">
        <v>25</v>
      </c>
      <c r="C167" s="34">
        <v>25</v>
      </c>
      <c r="D167" s="34">
        <v>25</v>
      </c>
      <c r="E167" s="34">
        <v>25</v>
      </c>
      <c r="F167" s="34">
        <v>25</v>
      </c>
      <c r="G167" s="34">
        <v>25</v>
      </c>
    </row>
    <row r="168" spans="1:7" hidden="1" x14ac:dyDescent="0.2">
      <c r="A168" s="18">
        <v>43403</v>
      </c>
      <c r="B168" s="34">
        <v>26</v>
      </c>
      <c r="C168" s="34">
        <v>25</v>
      </c>
      <c r="D168" s="34">
        <v>25</v>
      </c>
      <c r="E168" s="34">
        <v>25</v>
      </c>
      <c r="F168" s="34">
        <v>25</v>
      </c>
      <c r="G168" s="34">
        <v>25</v>
      </c>
    </row>
    <row r="169" spans="1:7" hidden="1" x14ac:dyDescent="0.2">
      <c r="A169" s="18">
        <v>43487</v>
      </c>
      <c r="B169" s="34">
        <v>25</v>
      </c>
      <c r="C169" s="34">
        <v>25</v>
      </c>
      <c r="D169" s="34">
        <v>25</v>
      </c>
      <c r="E169" s="34"/>
      <c r="F169" s="34">
        <v>25</v>
      </c>
      <c r="G169" s="34">
        <v>25</v>
      </c>
    </row>
    <row r="170" spans="1:7" hidden="1" x14ac:dyDescent="0.2">
      <c r="A170" s="18">
        <v>43578</v>
      </c>
      <c r="B170" s="34">
        <v>64</v>
      </c>
      <c r="C170" s="34">
        <v>69</v>
      </c>
      <c r="D170" s="34">
        <v>64</v>
      </c>
      <c r="E170" s="34">
        <v>64</v>
      </c>
      <c r="F170" s="34">
        <v>25</v>
      </c>
      <c r="G170" s="34">
        <v>69</v>
      </c>
    </row>
    <row r="171" spans="1:7" hidden="1" x14ac:dyDescent="0.2">
      <c r="A171" s="18">
        <v>43704</v>
      </c>
      <c r="B171" s="34">
        <v>25</v>
      </c>
      <c r="C171" s="34">
        <v>25</v>
      </c>
      <c r="D171" s="34">
        <v>25</v>
      </c>
      <c r="E171" s="34">
        <v>25</v>
      </c>
      <c r="F171" s="34">
        <v>25</v>
      </c>
      <c r="G171" s="34">
        <v>25</v>
      </c>
    </row>
    <row r="172" spans="1:7" hidden="1" x14ac:dyDescent="0.2">
      <c r="A172" s="18">
        <v>43760</v>
      </c>
      <c r="B172" s="34">
        <v>59</v>
      </c>
      <c r="C172" s="34">
        <v>40</v>
      </c>
      <c r="D172" s="34">
        <v>58</v>
      </c>
      <c r="E172" s="34">
        <v>62</v>
      </c>
      <c r="F172" s="34">
        <v>51</v>
      </c>
      <c r="G172" s="34">
        <v>25</v>
      </c>
    </row>
    <row r="173" spans="1:7" hidden="1" x14ac:dyDescent="0.2">
      <c r="A173" s="18">
        <v>44021</v>
      </c>
      <c r="B173" s="34">
        <v>25</v>
      </c>
      <c r="C173" s="34">
        <v>25</v>
      </c>
      <c r="D173" s="34">
        <v>28</v>
      </c>
      <c r="E173" s="34">
        <v>23</v>
      </c>
      <c r="F173" s="34">
        <v>35</v>
      </c>
      <c r="G173" s="34">
        <v>25</v>
      </c>
    </row>
    <row r="174" spans="1:7" hidden="1" x14ac:dyDescent="0.2"/>
    <row r="175" spans="1:7" hidden="1" x14ac:dyDescent="0.2"/>
    <row r="176" spans="1:7" hidden="1" x14ac:dyDescent="0.2">
      <c r="A176" s="34"/>
      <c r="B176" s="36" t="s">
        <v>39</v>
      </c>
    </row>
    <row r="177" spans="1:7" hidden="1" x14ac:dyDescent="0.2">
      <c r="A177" s="34"/>
      <c r="B177" s="29" t="s">
        <v>22</v>
      </c>
    </row>
    <row r="178" spans="1:7" hidden="1" x14ac:dyDescent="0.2">
      <c r="A178" s="12" t="s">
        <v>7</v>
      </c>
      <c r="B178" s="78" t="s">
        <v>9</v>
      </c>
      <c r="C178" s="77" t="s">
        <v>10</v>
      </c>
      <c r="D178" s="76" t="s">
        <v>11</v>
      </c>
      <c r="E178" s="75" t="s">
        <v>12</v>
      </c>
      <c r="F178" s="74" t="s">
        <v>13</v>
      </c>
      <c r="G178" s="27" t="s">
        <v>14</v>
      </c>
    </row>
    <row r="179" spans="1:7" hidden="1" x14ac:dyDescent="0.2">
      <c r="A179" s="18">
        <v>37046</v>
      </c>
      <c r="B179" s="34">
        <v>7.0000000000000007E-2</v>
      </c>
      <c r="C179" s="34">
        <v>0.22</v>
      </c>
      <c r="D179" s="34">
        <v>0.21</v>
      </c>
      <c r="E179" s="34">
        <v>0.05</v>
      </c>
      <c r="F179" s="34"/>
      <c r="G179" s="34"/>
    </row>
    <row r="180" spans="1:7" hidden="1" x14ac:dyDescent="0.2">
      <c r="A180" s="18">
        <v>37076</v>
      </c>
      <c r="B180" s="34">
        <v>0.03</v>
      </c>
      <c r="C180" s="34">
        <v>0.05</v>
      </c>
      <c r="D180" s="34">
        <v>0.03</v>
      </c>
      <c r="E180" s="34">
        <v>0.02</v>
      </c>
      <c r="F180" s="34"/>
      <c r="G180" s="34"/>
    </row>
    <row r="181" spans="1:7" hidden="1" x14ac:dyDescent="0.2">
      <c r="A181" s="18">
        <v>37335</v>
      </c>
      <c r="B181" s="34">
        <v>0.02</v>
      </c>
      <c r="C181" s="34">
        <v>0.04</v>
      </c>
      <c r="D181" s="34">
        <v>0.05</v>
      </c>
      <c r="E181" s="34">
        <v>0.09</v>
      </c>
      <c r="F181" s="34"/>
      <c r="G181" s="34"/>
    </row>
    <row r="182" spans="1:7" hidden="1" x14ac:dyDescent="0.2">
      <c r="A182" s="18">
        <v>37566</v>
      </c>
      <c r="B182" s="34">
        <v>0.64</v>
      </c>
      <c r="C182" s="34">
        <v>0.9</v>
      </c>
      <c r="D182" s="34">
        <v>0.91</v>
      </c>
      <c r="E182" s="34">
        <v>1.17</v>
      </c>
      <c r="F182" s="34"/>
      <c r="G182" s="34"/>
    </row>
    <row r="183" spans="1:7" hidden="1" x14ac:dyDescent="0.2">
      <c r="A183" s="18">
        <v>37594</v>
      </c>
      <c r="B183" s="34">
        <v>0.03</v>
      </c>
      <c r="C183" s="34">
        <v>0</v>
      </c>
      <c r="D183" s="34">
        <v>0.04</v>
      </c>
      <c r="E183" s="34">
        <v>0.03</v>
      </c>
      <c r="F183" s="34"/>
      <c r="G183" s="34"/>
    </row>
    <row r="184" spans="1:7" hidden="1" x14ac:dyDescent="0.2">
      <c r="A184" s="18">
        <v>37711</v>
      </c>
      <c r="B184" s="34">
        <v>0.09</v>
      </c>
      <c r="C184" s="34">
        <v>0.47</v>
      </c>
      <c r="D184" s="34"/>
      <c r="E184" s="34"/>
      <c r="F184" s="34"/>
      <c r="G184" s="34"/>
    </row>
    <row r="185" spans="1:7" hidden="1" x14ac:dyDescent="0.2">
      <c r="A185" s="18">
        <v>37739</v>
      </c>
      <c r="B185" s="34"/>
      <c r="C185" s="34"/>
      <c r="D185" s="34"/>
      <c r="E185" s="34"/>
      <c r="F185" s="34"/>
      <c r="G185" s="34"/>
    </row>
    <row r="186" spans="1:7" hidden="1" x14ac:dyDescent="0.2">
      <c r="A186" s="18">
        <v>37825</v>
      </c>
      <c r="B186" s="34">
        <v>0.05</v>
      </c>
      <c r="C186" s="34">
        <v>0.06</v>
      </c>
      <c r="D186" s="34"/>
      <c r="E186" s="34"/>
      <c r="F186" s="34"/>
      <c r="G186" s="34"/>
    </row>
    <row r="187" spans="1:7" hidden="1" x14ac:dyDescent="0.2">
      <c r="A187" s="18">
        <v>37888</v>
      </c>
      <c r="B187" s="34">
        <v>7.0000000000000007E-2</v>
      </c>
      <c r="C187" s="34">
        <v>0.08</v>
      </c>
      <c r="D187" s="34">
        <v>0.05</v>
      </c>
      <c r="E187" s="34">
        <v>0.04</v>
      </c>
      <c r="F187" s="34"/>
      <c r="G187" s="34"/>
    </row>
    <row r="188" spans="1:7" hidden="1" x14ac:dyDescent="0.2">
      <c r="A188" s="18">
        <v>37963</v>
      </c>
      <c r="B188" s="34">
        <v>0.04</v>
      </c>
      <c r="C188" s="34">
        <v>0.04</v>
      </c>
      <c r="D188" s="34">
        <v>0.05</v>
      </c>
      <c r="E188" s="34">
        <v>0.05</v>
      </c>
      <c r="F188" s="34"/>
      <c r="G188" s="34"/>
    </row>
    <row r="189" spans="1:7" hidden="1" x14ac:dyDescent="0.2">
      <c r="A189" s="18">
        <v>38012</v>
      </c>
      <c r="B189" s="34">
        <v>7.0000000000000007E-2</v>
      </c>
      <c r="C189" s="34">
        <v>0.05</v>
      </c>
      <c r="D189" s="34">
        <v>0.05</v>
      </c>
      <c r="E189" s="34">
        <v>0.04</v>
      </c>
      <c r="F189" s="34"/>
      <c r="G189" s="34"/>
    </row>
    <row r="190" spans="1:7" hidden="1" x14ac:dyDescent="0.2">
      <c r="A190" s="18">
        <v>38033</v>
      </c>
      <c r="B190" s="34">
        <v>0.05</v>
      </c>
      <c r="C190" s="34">
        <v>0.05</v>
      </c>
      <c r="D190" s="34">
        <v>0.06</v>
      </c>
      <c r="E190" s="34">
        <v>0.02</v>
      </c>
      <c r="F190" s="34"/>
      <c r="G190" s="34"/>
    </row>
    <row r="191" spans="1:7" hidden="1" x14ac:dyDescent="0.2">
      <c r="A191" s="18">
        <v>38271</v>
      </c>
      <c r="B191" s="34"/>
      <c r="C191" s="34"/>
      <c r="D191" s="34"/>
      <c r="E191" s="34"/>
      <c r="F191" s="34"/>
      <c r="G191" s="34"/>
    </row>
    <row r="192" spans="1:7" hidden="1" x14ac:dyDescent="0.2">
      <c r="A192" s="18">
        <v>38474</v>
      </c>
      <c r="B192" s="34">
        <v>0.22</v>
      </c>
      <c r="C192" s="34">
        <v>0.25</v>
      </c>
      <c r="D192" s="34">
        <v>0.25</v>
      </c>
      <c r="E192" s="34">
        <v>0.27</v>
      </c>
      <c r="F192" s="34"/>
      <c r="G192" s="34"/>
    </row>
    <row r="193" spans="1:7" hidden="1" x14ac:dyDescent="0.2">
      <c r="A193" s="18">
        <v>38896</v>
      </c>
      <c r="B193" s="34">
        <v>0.03</v>
      </c>
      <c r="C193" s="34">
        <v>0.03</v>
      </c>
      <c r="D193" s="34">
        <v>0.03</v>
      </c>
      <c r="E193" s="34">
        <v>0.03</v>
      </c>
      <c r="F193" s="34"/>
      <c r="G193" s="34"/>
    </row>
    <row r="194" spans="1:7" hidden="1" x14ac:dyDescent="0.2">
      <c r="A194" s="18">
        <v>40625</v>
      </c>
      <c r="B194" s="34">
        <v>0.13</v>
      </c>
      <c r="C194" s="34">
        <v>0.12</v>
      </c>
      <c r="D194" s="34">
        <v>0.12</v>
      </c>
      <c r="E194" s="34">
        <v>0.19</v>
      </c>
      <c r="F194" s="34">
        <v>0.1</v>
      </c>
      <c r="G194" s="34">
        <v>7.0000000000000007E-2</v>
      </c>
    </row>
    <row r="195" spans="1:7" hidden="1" x14ac:dyDescent="0.2">
      <c r="A195" s="18">
        <v>40716</v>
      </c>
      <c r="B195" s="34"/>
      <c r="C195" s="34"/>
      <c r="D195" s="34"/>
      <c r="E195" s="34"/>
      <c r="F195" s="34"/>
      <c r="G195" s="34"/>
    </row>
    <row r="196" spans="1:7" hidden="1" x14ac:dyDescent="0.2">
      <c r="A196" s="18">
        <v>40821</v>
      </c>
      <c r="B196" s="34">
        <v>0.3</v>
      </c>
      <c r="C196" s="34">
        <v>23</v>
      </c>
      <c r="D196" s="34">
        <v>0.14000000000000001</v>
      </c>
      <c r="E196" s="34">
        <v>0.27</v>
      </c>
      <c r="F196" s="34">
        <v>0.28999999999999998</v>
      </c>
      <c r="G196" s="34">
        <v>0.06</v>
      </c>
    </row>
    <row r="197" spans="1:7" hidden="1" x14ac:dyDescent="0.2">
      <c r="A197" s="18">
        <v>40897</v>
      </c>
      <c r="B197" s="34"/>
      <c r="C197" s="34"/>
      <c r="D197" s="34"/>
      <c r="E197" s="34"/>
      <c r="F197" s="34"/>
      <c r="G197" s="34"/>
    </row>
    <row r="198" spans="1:7" hidden="1" x14ac:dyDescent="0.2">
      <c r="A198" s="18">
        <v>41008</v>
      </c>
      <c r="B198" s="34">
        <v>0.03</v>
      </c>
      <c r="C198" s="34">
        <v>0.05</v>
      </c>
      <c r="D198" s="34">
        <v>0.69</v>
      </c>
      <c r="E198" s="34">
        <v>0.12</v>
      </c>
      <c r="F198" s="34">
        <v>7.0000000000000007E-2</v>
      </c>
      <c r="G198" s="34">
        <v>0.01</v>
      </c>
    </row>
    <row r="199" spans="1:7" hidden="1" x14ac:dyDescent="0.2">
      <c r="A199" s="18">
        <v>41086</v>
      </c>
      <c r="B199" s="34"/>
      <c r="C199" s="34"/>
      <c r="D199" s="34"/>
      <c r="E199" s="34"/>
      <c r="F199" s="34"/>
      <c r="G199" s="34"/>
    </row>
    <row r="200" spans="1:7" hidden="1" x14ac:dyDescent="0.2">
      <c r="A200" s="18">
        <v>41179</v>
      </c>
      <c r="B200" s="34">
        <v>0.03</v>
      </c>
      <c r="C200" s="34">
        <v>0.03</v>
      </c>
      <c r="D200" s="34">
        <v>0.05</v>
      </c>
      <c r="E200" s="34">
        <v>0.03</v>
      </c>
      <c r="F200" s="34">
        <v>0.03</v>
      </c>
      <c r="G200" s="34">
        <v>0.03</v>
      </c>
    </row>
    <row r="201" spans="1:7" hidden="1" x14ac:dyDescent="0.2">
      <c r="A201" s="18">
        <v>41247</v>
      </c>
      <c r="B201" s="34"/>
      <c r="C201" s="34"/>
      <c r="D201" s="34"/>
      <c r="E201" s="34"/>
      <c r="F201" s="34"/>
      <c r="G201" s="34"/>
    </row>
    <row r="202" spans="1:7" hidden="1" x14ac:dyDescent="0.2">
      <c r="A202" s="18">
        <v>41352</v>
      </c>
      <c r="B202" s="34">
        <v>0.38</v>
      </c>
      <c r="C202" s="34">
        <v>0.35</v>
      </c>
      <c r="D202" s="34">
        <v>0.42</v>
      </c>
      <c r="E202" s="34">
        <v>0.41</v>
      </c>
      <c r="F202" s="34">
        <v>0.4</v>
      </c>
      <c r="G202" s="34">
        <v>0.03</v>
      </c>
    </row>
    <row r="203" spans="1:7" hidden="1" x14ac:dyDescent="0.2">
      <c r="A203" s="18">
        <v>41445</v>
      </c>
      <c r="B203" s="34"/>
      <c r="C203" s="34"/>
      <c r="D203" s="34"/>
      <c r="E203" s="34"/>
      <c r="F203" s="34"/>
      <c r="G203" s="34"/>
    </row>
    <row r="204" spans="1:7" hidden="1" x14ac:dyDescent="0.2">
      <c r="A204" s="18">
        <v>41528</v>
      </c>
      <c r="B204" s="34">
        <v>0.03</v>
      </c>
      <c r="C204" s="34">
        <v>0.03</v>
      </c>
      <c r="D204" s="34">
        <v>0.03</v>
      </c>
      <c r="E204" s="34">
        <v>0.03</v>
      </c>
      <c r="F204" s="34">
        <v>0.03</v>
      </c>
      <c r="G204" s="34">
        <v>0.03</v>
      </c>
    </row>
    <row r="205" spans="1:7" hidden="1" x14ac:dyDescent="0.2">
      <c r="A205" s="18">
        <v>41670</v>
      </c>
      <c r="B205" s="34"/>
      <c r="C205" s="34"/>
      <c r="D205" s="34"/>
      <c r="E205" s="34"/>
      <c r="F205" s="34"/>
      <c r="G205" s="34"/>
    </row>
    <row r="206" spans="1:7" hidden="1" x14ac:dyDescent="0.2">
      <c r="A206" s="18">
        <v>41758</v>
      </c>
      <c r="B206" s="34">
        <v>0.1</v>
      </c>
      <c r="C206" s="34">
        <v>0.1</v>
      </c>
      <c r="D206" s="34">
        <v>0.1</v>
      </c>
      <c r="E206" s="34">
        <v>0.18</v>
      </c>
      <c r="F206" s="34">
        <v>0.1</v>
      </c>
      <c r="G206" s="34">
        <v>0.05</v>
      </c>
    </row>
    <row r="207" spans="1:7" hidden="1" x14ac:dyDescent="0.2">
      <c r="A207" s="18">
        <v>41835</v>
      </c>
      <c r="B207" s="34"/>
      <c r="C207" s="34"/>
      <c r="D207" s="34"/>
      <c r="E207" s="34"/>
      <c r="F207" s="34"/>
      <c r="G207" s="34"/>
    </row>
    <row r="208" spans="1:7" hidden="1" x14ac:dyDescent="0.2">
      <c r="A208" s="18">
        <v>42031</v>
      </c>
      <c r="B208" s="34"/>
      <c r="C208" s="34"/>
      <c r="D208" s="34"/>
      <c r="E208" s="34"/>
      <c r="F208" s="34"/>
      <c r="G208" s="34"/>
    </row>
    <row r="209" spans="1:7" hidden="1" x14ac:dyDescent="0.2">
      <c r="A209" s="18">
        <v>42094</v>
      </c>
      <c r="B209" s="34">
        <v>0.13</v>
      </c>
      <c r="C209" s="34">
        <v>0.12</v>
      </c>
      <c r="D209" s="34">
        <v>0.23</v>
      </c>
      <c r="E209" s="34">
        <v>0.28999999999999998</v>
      </c>
      <c r="F209" s="34">
        <v>0.14000000000000001</v>
      </c>
      <c r="G209" s="34">
        <v>0.1</v>
      </c>
    </row>
    <row r="210" spans="1:7" hidden="1" x14ac:dyDescent="0.2">
      <c r="A210" s="18">
        <v>42192</v>
      </c>
      <c r="B210" s="34"/>
      <c r="C210" s="34"/>
      <c r="D210" s="34"/>
      <c r="E210" s="34"/>
      <c r="F210" s="34"/>
      <c r="G210" s="34"/>
    </row>
    <row r="211" spans="1:7" hidden="1" x14ac:dyDescent="0.2">
      <c r="A211" s="18">
        <v>42290</v>
      </c>
      <c r="B211" s="34">
        <v>0.1</v>
      </c>
      <c r="C211" s="34">
        <v>0.1</v>
      </c>
      <c r="D211" s="34">
        <v>0.1</v>
      </c>
      <c r="E211" s="34">
        <v>0.1</v>
      </c>
      <c r="F211" s="34">
        <v>0.1</v>
      </c>
      <c r="G211" s="34"/>
    </row>
    <row r="212" spans="1:7" hidden="1" x14ac:dyDescent="0.2">
      <c r="A212" s="18">
        <v>42381</v>
      </c>
      <c r="B212" s="34"/>
      <c r="C212" s="34"/>
      <c r="D212" s="34"/>
      <c r="E212" s="34"/>
      <c r="F212" s="34"/>
      <c r="G212" s="34"/>
    </row>
    <row r="213" spans="1:7" hidden="1" x14ac:dyDescent="0.2">
      <c r="A213" s="18">
        <v>42479</v>
      </c>
      <c r="B213" s="34">
        <v>0.1</v>
      </c>
      <c r="C213" s="34">
        <v>0.1</v>
      </c>
      <c r="D213" s="34">
        <v>0.1</v>
      </c>
      <c r="E213" s="34">
        <v>0.11</v>
      </c>
      <c r="F213" s="34">
        <v>0.1</v>
      </c>
      <c r="G213" s="34">
        <v>0.1</v>
      </c>
    </row>
    <row r="214" spans="1:7" hidden="1" x14ac:dyDescent="0.2">
      <c r="A214" s="18">
        <v>42570</v>
      </c>
      <c r="B214" s="34"/>
      <c r="C214" s="34"/>
      <c r="D214" s="34"/>
      <c r="E214" s="34"/>
      <c r="F214" s="34"/>
      <c r="G214" s="34"/>
    </row>
    <row r="215" spans="1:7" hidden="1" x14ac:dyDescent="0.2">
      <c r="A215" s="18">
        <v>42654</v>
      </c>
      <c r="B215" s="34">
        <v>0.1</v>
      </c>
      <c r="C215" s="34">
        <v>0.1</v>
      </c>
      <c r="D215" s="34">
        <v>0.17</v>
      </c>
      <c r="E215" s="34">
        <v>0.1</v>
      </c>
      <c r="F215" s="34">
        <v>0.1</v>
      </c>
      <c r="G215" s="34">
        <v>0.1</v>
      </c>
    </row>
    <row r="216" spans="1:7" hidden="1" x14ac:dyDescent="0.2">
      <c r="A216" s="18">
        <v>42745</v>
      </c>
      <c r="B216" s="34"/>
      <c r="C216" s="34"/>
      <c r="D216" s="34"/>
      <c r="E216" s="34"/>
      <c r="F216" s="34"/>
      <c r="G216" s="34"/>
    </row>
    <row r="217" spans="1:7" hidden="1" x14ac:dyDescent="0.2">
      <c r="A217" s="18">
        <v>42843</v>
      </c>
      <c r="B217" s="34">
        <v>0.28999999999999998</v>
      </c>
      <c r="C217" s="34">
        <v>0.1</v>
      </c>
      <c r="D217" s="34">
        <v>0.1</v>
      </c>
      <c r="E217" s="34">
        <v>0.1</v>
      </c>
      <c r="F217" s="34">
        <v>0.1</v>
      </c>
      <c r="G217" s="34">
        <v>0.1</v>
      </c>
    </row>
    <row r="218" spans="1:7" hidden="1" x14ac:dyDescent="0.2">
      <c r="A218" s="18">
        <v>42934</v>
      </c>
      <c r="B218" s="34"/>
      <c r="C218" s="34"/>
      <c r="D218" s="34"/>
      <c r="E218" s="34"/>
      <c r="F218" s="34"/>
      <c r="G218" s="34"/>
    </row>
    <row r="219" spans="1:7" hidden="1" x14ac:dyDescent="0.2">
      <c r="A219" s="18">
        <v>43025</v>
      </c>
      <c r="B219" s="34">
        <v>0.1</v>
      </c>
      <c r="C219" s="34">
        <v>0.1</v>
      </c>
      <c r="D219" s="34">
        <v>0.1</v>
      </c>
      <c r="E219" s="34">
        <v>0.1</v>
      </c>
      <c r="F219" s="34">
        <v>0.1</v>
      </c>
      <c r="G219" s="34">
        <v>0.1</v>
      </c>
    </row>
    <row r="220" spans="1:7" hidden="1" x14ac:dyDescent="0.2">
      <c r="A220" s="18">
        <v>43109</v>
      </c>
      <c r="B220" s="34">
        <v>0.1</v>
      </c>
      <c r="C220" s="34">
        <v>0.1</v>
      </c>
      <c r="D220" s="34">
        <v>0.1</v>
      </c>
      <c r="E220" s="34">
        <v>0.1</v>
      </c>
      <c r="F220" s="34">
        <v>0.1</v>
      </c>
      <c r="G220" s="34">
        <v>0.1</v>
      </c>
    </row>
    <row r="221" spans="1:7" hidden="1" x14ac:dyDescent="0.2">
      <c r="A221" s="18">
        <v>43193</v>
      </c>
      <c r="B221" s="34">
        <v>0.3</v>
      </c>
      <c r="C221" s="34">
        <v>0.33</v>
      </c>
      <c r="D221" s="34">
        <v>0.35</v>
      </c>
      <c r="E221" s="34">
        <v>0.39</v>
      </c>
      <c r="F221" s="34">
        <v>0.32</v>
      </c>
      <c r="G221" s="34">
        <v>0.1</v>
      </c>
    </row>
    <row r="222" spans="1:7" hidden="1" x14ac:dyDescent="0.2">
      <c r="A222" s="18">
        <v>43298</v>
      </c>
      <c r="B222" s="34"/>
      <c r="C222" s="34"/>
      <c r="D222" s="34"/>
      <c r="E222" s="34"/>
      <c r="F222" s="34"/>
      <c r="G222" s="34"/>
    </row>
    <row r="223" spans="1:7" hidden="1" x14ac:dyDescent="0.2">
      <c r="A223" s="18">
        <v>43403</v>
      </c>
      <c r="B223" s="34">
        <v>0.1</v>
      </c>
      <c r="C223" s="34">
        <v>0.1</v>
      </c>
      <c r="D223" s="34">
        <v>0.1</v>
      </c>
      <c r="E223" s="34">
        <v>0.11</v>
      </c>
      <c r="F223" s="34">
        <v>0.1</v>
      </c>
      <c r="G223" s="34">
        <v>0.1</v>
      </c>
    </row>
    <row r="224" spans="1:7" hidden="1" x14ac:dyDescent="0.2">
      <c r="A224" s="18">
        <v>43487</v>
      </c>
      <c r="B224" s="34"/>
      <c r="C224" s="34"/>
      <c r="D224" s="34"/>
      <c r="E224" s="34"/>
      <c r="F224" s="34"/>
      <c r="G224" s="34"/>
    </row>
    <row r="225" spans="1:7" hidden="1" x14ac:dyDescent="0.2">
      <c r="A225" s="18">
        <v>43578</v>
      </c>
      <c r="B225" s="34">
        <v>0.31</v>
      </c>
      <c r="C225" s="34">
        <v>0.26</v>
      </c>
      <c r="D225" s="34">
        <v>0.27</v>
      </c>
      <c r="E225" s="34">
        <v>0.3</v>
      </c>
      <c r="F225" s="34">
        <v>0.1</v>
      </c>
      <c r="G225" s="34">
        <v>0.27</v>
      </c>
    </row>
    <row r="226" spans="1:7" hidden="1" x14ac:dyDescent="0.2">
      <c r="A226" s="18">
        <v>43704</v>
      </c>
      <c r="B226" s="34"/>
      <c r="C226" s="34"/>
      <c r="D226" s="34"/>
      <c r="E226" s="34"/>
      <c r="F226" s="34"/>
      <c r="G226" s="34"/>
    </row>
    <row r="227" spans="1:7" hidden="1" x14ac:dyDescent="0.2">
      <c r="A227" s="18">
        <v>43760</v>
      </c>
      <c r="B227" s="34">
        <v>0.1</v>
      </c>
      <c r="C227" s="34">
        <v>0.1</v>
      </c>
      <c r="D227" s="34">
        <v>0.1</v>
      </c>
      <c r="E227" s="34">
        <v>0.1</v>
      </c>
      <c r="F227" s="34">
        <v>0.1</v>
      </c>
      <c r="G227" s="34">
        <v>0.1</v>
      </c>
    </row>
    <row r="228" spans="1:7" hidden="1" x14ac:dyDescent="0.2">
      <c r="A228" s="18">
        <v>44021</v>
      </c>
      <c r="B228" s="34">
        <v>0.1</v>
      </c>
      <c r="C228" s="34">
        <v>0.1</v>
      </c>
      <c r="D228" s="34">
        <v>0.1</v>
      </c>
      <c r="E228" s="34">
        <v>0.1</v>
      </c>
      <c r="F228" s="34">
        <v>0.11</v>
      </c>
      <c r="G228" s="34">
        <v>0.1</v>
      </c>
    </row>
    <row r="229" spans="1:7" hidden="1" x14ac:dyDescent="0.2"/>
    <row r="230" spans="1:7" hidden="1" x14ac:dyDescent="0.2"/>
    <row r="231" spans="1:7" hidden="1" x14ac:dyDescent="0.2">
      <c r="A231" s="34"/>
      <c r="B231" s="36" t="s">
        <v>42</v>
      </c>
    </row>
    <row r="232" spans="1:7" hidden="1" x14ac:dyDescent="0.2">
      <c r="A232" s="34"/>
      <c r="B232" s="29" t="s">
        <v>43</v>
      </c>
    </row>
    <row r="233" spans="1:7" hidden="1" x14ac:dyDescent="0.2">
      <c r="A233" s="12" t="s">
        <v>7</v>
      </c>
      <c r="B233" s="78" t="s">
        <v>9</v>
      </c>
      <c r="C233" s="77" t="s">
        <v>10</v>
      </c>
      <c r="D233" s="76" t="s">
        <v>11</v>
      </c>
      <c r="E233" s="75" t="s">
        <v>12</v>
      </c>
      <c r="F233" s="74" t="s">
        <v>13</v>
      </c>
      <c r="G233" s="27" t="s">
        <v>14</v>
      </c>
    </row>
    <row r="234" spans="1:7" hidden="1" x14ac:dyDescent="0.2">
      <c r="A234" s="18">
        <v>37046</v>
      </c>
      <c r="B234" s="34"/>
      <c r="C234" s="34"/>
      <c r="D234" s="34"/>
      <c r="E234" s="34"/>
      <c r="F234" s="34"/>
      <c r="G234" s="34"/>
    </row>
    <row r="235" spans="1:7" hidden="1" x14ac:dyDescent="0.2">
      <c r="A235" s="18">
        <v>37076</v>
      </c>
      <c r="B235" s="34"/>
      <c r="C235" s="34"/>
      <c r="D235" s="34"/>
      <c r="E235" s="34"/>
      <c r="F235" s="34"/>
      <c r="G235" s="34"/>
    </row>
    <row r="236" spans="1:7" hidden="1" x14ac:dyDescent="0.2">
      <c r="A236" s="18">
        <v>37335</v>
      </c>
      <c r="B236" s="34"/>
      <c r="C236" s="34"/>
      <c r="D236" s="34"/>
      <c r="E236" s="34"/>
      <c r="F236" s="34"/>
      <c r="G236" s="34"/>
    </row>
    <row r="237" spans="1:7" hidden="1" x14ac:dyDescent="0.2">
      <c r="A237" s="18">
        <v>37566</v>
      </c>
      <c r="B237" s="34"/>
      <c r="C237" s="34"/>
      <c r="D237" s="34"/>
      <c r="E237" s="34"/>
      <c r="F237" s="34"/>
      <c r="G237" s="34"/>
    </row>
    <row r="238" spans="1:7" hidden="1" x14ac:dyDescent="0.2">
      <c r="A238" s="18">
        <v>37594</v>
      </c>
      <c r="B238" s="34"/>
      <c r="C238" s="34"/>
      <c r="D238" s="34"/>
      <c r="E238" s="34"/>
      <c r="F238" s="34"/>
      <c r="G238" s="34"/>
    </row>
    <row r="239" spans="1:7" hidden="1" x14ac:dyDescent="0.2">
      <c r="A239" s="18">
        <v>37711</v>
      </c>
      <c r="B239" s="34"/>
      <c r="C239" s="34"/>
      <c r="D239" s="34"/>
      <c r="E239" s="34"/>
      <c r="F239" s="34"/>
      <c r="G239" s="34"/>
    </row>
    <row r="240" spans="1:7" hidden="1" x14ac:dyDescent="0.2">
      <c r="A240" s="18">
        <v>37739</v>
      </c>
      <c r="B240" s="34"/>
      <c r="C240" s="34"/>
      <c r="D240" s="34"/>
      <c r="E240" s="34"/>
      <c r="F240" s="34"/>
      <c r="G240" s="34"/>
    </row>
    <row r="241" spans="1:7" hidden="1" x14ac:dyDescent="0.2">
      <c r="A241" s="18">
        <v>37825</v>
      </c>
      <c r="B241" s="34"/>
      <c r="C241" s="34"/>
      <c r="D241" s="34"/>
      <c r="E241" s="34"/>
      <c r="F241" s="34"/>
      <c r="G241" s="34"/>
    </row>
    <row r="242" spans="1:7" hidden="1" x14ac:dyDescent="0.2">
      <c r="A242" s="18">
        <v>37888</v>
      </c>
      <c r="B242" s="34"/>
      <c r="C242" s="34"/>
      <c r="D242" s="34"/>
      <c r="E242" s="34"/>
      <c r="F242" s="34"/>
      <c r="G242" s="34"/>
    </row>
    <row r="243" spans="1:7" hidden="1" x14ac:dyDescent="0.2">
      <c r="A243" s="18">
        <v>37963</v>
      </c>
      <c r="B243" s="34"/>
      <c r="C243" s="34"/>
      <c r="D243" s="34"/>
      <c r="E243" s="34"/>
      <c r="F243" s="34"/>
      <c r="G243" s="34"/>
    </row>
    <row r="244" spans="1:7" hidden="1" x14ac:dyDescent="0.2">
      <c r="A244" s="18">
        <v>38012</v>
      </c>
      <c r="B244" s="34"/>
      <c r="C244" s="34"/>
      <c r="D244" s="34"/>
      <c r="E244" s="34"/>
      <c r="F244" s="34"/>
      <c r="G244" s="34"/>
    </row>
    <row r="245" spans="1:7" hidden="1" x14ac:dyDescent="0.2">
      <c r="A245" s="18">
        <v>38033</v>
      </c>
      <c r="B245" s="34"/>
      <c r="C245" s="34"/>
      <c r="D245" s="34"/>
      <c r="E245" s="34"/>
      <c r="F245" s="34"/>
      <c r="G245" s="34"/>
    </row>
    <row r="246" spans="1:7" hidden="1" x14ac:dyDescent="0.2">
      <c r="A246" s="18">
        <v>38271</v>
      </c>
      <c r="B246" s="34">
        <v>1.0999999999999999E-2</v>
      </c>
      <c r="C246" s="34">
        <v>1.0999999999999999E-2</v>
      </c>
      <c r="D246" s="34">
        <v>0.01</v>
      </c>
      <c r="E246" s="34">
        <v>0.01</v>
      </c>
      <c r="F246" s="34"/>
      <c r="G246" s="34"/>
    </row>
    <row r="247" spans="1:7" hidden="1" x14ac:dyDescent="0.2">
      <c r="A247" s="18">
        <v>38474</v>
      </c>
      <c r="B247" s="34"/>
      <c r="C247" s="34"/>
      <c r="D247" s="34"/>
      <c r="E247" s="34"/>
      <c r="F247" s="34"/>
      <c r="G247" s="34"/>
    </row>
    <row r="248" spans="1:7" hidden="1" x14ac:dyDescent="0.2">
      <c r="A248" s="18">
        <v>38896</v>
      </c>
      <c r="B248" s="34">
        <v>0.01</v>
      </c>
      <c r="C248" s="34">
        <v>0.03</v>
      </c>
      <c r="D248" s="34">
        <v>0.01</v>
      </c>
      <c r="E248" s="34">
        <v>0.01</v>
      </c>
      <c r="F248" s="34"/>
      <c r="G248" s="34"/>
    </row>
    <row r="249" spans="1:7" hidden="1" x14ac:dyDescent="0.2">
      <c r="A249" s="18">
        <v>40625</v>
      </c>
      <c r="B249" s="34">
        <v>0.08</v>
      </c>
      <c r="C249" s="34">
        <v>0.05</v>
      </c>
      <c r="D249" s="34">
        <v>0.04</v>
      </c>
      <c r="E249" s="34">
        <v>7.0000000000000007E-2</v>
      </c>
      <c r="F249" s="34">
        <v>0.05</v>
      </c>
      <c r="G249" s="34">
        <v>0.03</v>
      </c>
    </row>
    <row r="250" spans="1:7" hidden="1" x14ac:dyDescent="0.2">
      <c r="A250" s="18">
        <v>40716</v>
      </c>
      <c r="B250" s="34"/>
      <c r="C250" s="34"/>
      <c r="D250" s="34"/>
      <c r="E250" s="34"/>
      <c r="F250" s="34"/>
      <c r="G250" s="34"/>
    </row>
    <row r="251" spans="1:7" hidden="1" x14ac:dyDescent="0.2">
      <c r="A251" s="18">
        <v>40821</v>
      </c>
      <c r="B251" s="34">
        <v>0.11</v>
      </c>
      <c r="C251" s="34">
        <v>0.15</v>
      </c>
      <c r="D251" s="34">
        <v>0.09</v>
      </c>
      <c r="E251" s="34">
        <v>0.09</v>
      </c>
      <c r="F251" s="34">
        <v>0.09</v>
      </c>
      <c r="G251" s="34">
        <v>0.09</v>
      </c>
    </row>
    <row r="252" spans="1:7" hidden="1" x14ac:dyDescent="0.2">
      <c r="A252" s="18">
        <v>40897</v>
      </c>
      <c r="B252" s="34"/>
      <c r="C252" s="34"/>
      <c r="D252" s="34"/>
      <c r="E252" s="34"/>
      <c r="F252" s="34"/>
      <c r="G252" s="34"/>
    </row>
    <row r="253" spans="1:7" hidden="1" x14ac:dyDescent="0.2">
      <c r="A253" s="18">
        <v>41008</v>
      </c>
      <c r="B253" s="34">
        <v>0.02</v>
      </c>
      <c r="C253" s="34">
        <v>0.01</v>
      </c>
      <c r="D253" s="34">
        <v>0.1</v>
      </c>
      <c r="E253" s="34">
        <v>0.01</v>
      </c>
      <c r="F253" s="34">
        <v>0.01</v>
      </c>
      <c r="G253" s="34">
        <v>0.01</v>
      </c>
    </row>
    <row r="254" spans="1:7" hidden="1" x14ac:dyDescent="0.2">
      <c r="A254" s="18">
        <v>41086</v>
      </c>
      <c r="B254" s="34"/>
      <c r="C254" s="34"/>
      <c r="D254" s="34"/>
      <c r="E254" s="34"/>
      <c r="F254" s="34"/>
      <c r="G254" s="34"/>
    </row>
    <row r="255" spans="1:7" hidden="1" x14ac:dyDescent="0.2">
      <c r="A255" s="18">
        <v>41179</v>
      </c>
      <c r="B255" s="34">
        <v>0.04</v>
      </c>
      <c r="C255" s="34">
        <v>0.04</v>
      </c>
      <c r="D255" s="34">
        <v>0.04</v>
      </c>
      <c r="E255" s="34">
        <v>0.04</v>
      </c>
      <c r="F255" s="34">
        <v>0.04</v>
      </c>
      <c r="G255" s="34">
        <v>0.04</v>
      </c>
    </row>
    <row r="256" spans="1:7" hidden="1" x14ac:dyDescent="0.2">
      <c r="A256" s="18">
        <v>41247</v>
      </c>
      <c r="B256" s="34"/>
      <c r="C256" s="34"/>
      <c r="D256" s="34"/>
      <c r="E256" s="34"/>
      <c r="F256" s="34"/>
      <c r="G256" s="34"/>
    </row>
    <row r="257" spans="1:7" hidden="1" x14ac:dyDescent="0.2">
      <c r="A257" s="18">
        <v>41352</v>
      </c>
      <c r="B257" s="34">
        <v>0.89</v>
      </c>
      <c r="C257" s="34">
        <v>0.53</v>
      </c>
      <c r="D257" s="34">
        <v>0.14000000000000001</v>
      </c>
      <c r="E257" s="34">
        <v>0.08</v>
      </c>
      <c r="F257" s="34">
        <v>0.06</v>
      </c>
      <c r="G257" s="34">
        <v>0.06</v>
      </c>
    </row>
    <row r="258" spans="1:7" hidden="1" x14ac:dyDescent="0.2">
      <c r="A258" s="18">
        <v>41445</v>
      </c>
      <c r="B258" s="34"/>
      <c r="C258" s="34"/>
      <c r="D258" s="34"/>
      <c r="E258" s="34"/>
      <c r="F258" s="34"/>
      <c r="G258" s="34"/>
    </row>
    <row r="259" spans="1:7" hidden="1" x14ac:dyDescent="0.2">
      <c r="A259" s="18">
        <v>41528</v>
      </c>
      <c r="B259" s="34">
        <v>0.01</v>
      </c>
      <c r="C259" s="34">
        <v>0.01</v>
      </c>
      <c r="D259" s="34">
        <v>0.01</v>
      </c>
      <c r="E259" s="34">
        <v>0.01</v>
      </c>
      <c r="F259" s="34">
        <v>0.01</v>
      </c>
      <c r="G259" s="34">
        <v>0.01</v>
      </c>
    </row>
    <row r="260" spans="1:7" hidden="1" x14ac:dyDescent="0.2">
      <c r="A260" s="18">
        <v>41670</v>
      </c>
      <c r="B260" s="34"/>
      <c r="C260" s="34"/>
      <c r="D260" s="34"/>
      <c r="E260" s="34"/>
      <c r="F260" s="34"/>
      <c r="G260" s="34"/>
    </row>
    <row r="261" spans="1:7" hidden="1" x14ac:dyDescent="0.2">
      <c r="A261" s="18">
        <v>41758</v>
      </c>
      <c r="B261" s="34">
        <v>0</v>
      </c>
      <c r="C261" s="34">
        <v>0</v>
      </c>
      <c r="D261" s="34">
        <v>0</v>
      </c>
      <c r="E261" s="34">
        <v>0</v>
      </c>
      <c r="F261" s="34">
        <v>0</v>
      </c>
      <c r="G261" s="34">
        <v>0</v>
      </c>
    </row>
    <row r="262" spans="1:7" hidden="1" x14ac:dyDescent="0.2">
      <c r="A262" s="18">
        <v>41835</v>
      </c>
      <c r="B262" s="34"/>
      <c r="C262" s="34"/>
      <c r="D262" s="34"/>
      <c r="E262" s="34"/>
      <c r="F262" s="34"/>
      <c r="G262" s="34"/>
    </row>
    <row r="263" spans="1:7" hidden="1" x14ac:dyDescent="0.2">
      <c r="A263" s="18">
        <v>42031</v>
      </c>
      <c r="B263" s="34"/>
      <c r="C263" s="34"/>
      <c r="D263" s="34"/>
      <c r="E263" s="34"/>
      <c r="F263" s="34"/>
      <c r="G263" s="34"/>
    </row>
    <row r="264" spans="1:7" hidden="1" x14ac:dyDescent="0.2">
      <c r="A264" s="18">
        <v>42094</v>
      </c>
      <c r="B264" s="34">
        <v>7.0000000000000007E-2</v>
      </c>
      <c r="C264" s="34">
        <v>0.21</v>
      </c>
      <c r="D264" s="34">
        <v>0.08</v>
      </c>
      <c r="E264" s="34">
        <v>0.09</v>
      </c>
      <c r="F264" s="34">
        <v>7.0000000000000007E-2</v>
      </c>
      <c r="G264" s="34">
        <v>7.0000000000000007E-2</v>
      </c>
    </row>
    <row r="265" spans="1:7" hidden="1" x14ac:dyDescent="0.2">
      <c r="A265" s="18">
        <v>42192</v>
      </c>
      <c r="B265" s="34"/>
      <c r="C265" s="34"/>
      <c r="D265" s="34"/>
      <c r="E265" s="34"/>
      <c r="F265" s="34"/>
      <c r="G265" s="34"/>
    </row>
    <row r="266" spans="1:7" hidden="1" x14ac:dyDescent="0.2">
      <c r="A266" s="18">
        <v>42290</v>
      </c>
      <c r="B266" s="34">
        <v>0.01</v>
      </c>
      <c r="C266" s="34">
        <v>0.01</v>
      </c>
      <c r="D266" s="34">
        <v>0.01</v>
      </c>
      <c r="E266" s="34">
        <v>0.01</v>
      </c>
      <c r="F266" s="34">
        <v>0.02</v>
      </c>
      <c r="G266" s="34"/>
    </row>
    <row r="267" spans="1:7" hidden="1" x14ac:dyDescent="0.2">
      <c r="A267" s="18">
        <v>42381</v>
      </c>
      <c r="B267" s="34"/>
      <c r="C267" s="34"/>
      <c r="D267" s="34"/>
      <c r="E267" s="34"/>
      <c r="F267" s="34"/>
      <c r="G267" s="34"/>
    </row>
    <row r="268" spans="1:7" hidden="1" x14ac:dyDescent="0.2">
      <c r="A268" s="18">
        <v>42479</v>
      </c>
      <c r="B268" s="34">
        <v>0.16</v>
      </c>
      <c r="C268" s="34">
        <v>0.1</v>
      </c>
      <c r="D268" s="34">
        <v>0.13</v>
      </c>
      <c r="E268" s="34">
        <v>0.12</v>
      </c>
      <c r="F268" s="34">
        <v>0.11</v>
      </c>
      <c r="G268" s="34">
        <v>0.13</v>
      </c>
    </row>
    <row r="269" spans="1:7" hidden="1" x14ac:dyDescent="0.2">
      <c r="A269" s="18">
        <v>42570</v>
      </c>
      <c r="B269" s="34"/>
      <c r="C269" s="34"/>
      <c r="D269" s="34"/>
      <c r="E269" s="34"/>
      <c r="F269" s="34"/>
      <c r="G269" s="34"/>
    </row>
    <row r="270" spans="1:7" hidden="1" x14ac:dyDescent="0.2">
      <c r="A270" s="18">
        <v>42654</v>
      </c>
      <c r="B270" s="34">
        <v>1.0900000000000001</v>
      </c>
      <c r="C270" s="34">
        <v>7.0000000000000007E-2</v>
      </c>
      <c r="D270" s="34">
        <v>0.02</v>
      </c>
      <c r="E270" s="34">
        <v>0.03</v>
      </c>
      <c r="F270" s="34">
        <v>2.4E-2</v>
      </c>
      <c r="G270" s="34">
        <v>2.4E-2</v>
      </c>
    </row>
    <row r="271" spans="1:7" hidden="1" x14ac:dyDescent="0.2">
      <c r="A271" s="18">
        <v>42745</v>
      </c>
      <c r="B271" s="34"/>
      <c r="C271" s="34"/>
      <c r="D271" s="34"/>
      <c r="E271" s="34"/>
      <c r="F271" s="34"/>
      <c r="G271" s="34"/>
    </row>
    <row r="272" spans="1:7" hidden="1" x14ac:dyDescent="0.2">
      <c r="A272" s="18">
        <v>42843</v>
      </c>
      <c r="B272" s="34">
        <v>0.72</v>
      </c>
      <c r="C272" s="34">
        <v>0.29299999999999998</v>
      </c>
      <c r="D272" s="34">
        <v>0.16300000000000001</v>
      </c>
      <c r="E272" s="34">
        <v>0.16400000000000001</v>
      </c>
      <c r="F272" s="34">
        <v>0.16300000000000001</v>
      </c>
      <c r="G272" s="34">
        <v>0.13</v>
      </c>
    </row>
    <row r="273" spans="1:7" hidden="1" x14ac:dyDescent="0.2">
      <c r="A273" s="18">
        <v>42934</v>
      </c>
      <c r="B273" s="34"/>
      <c r="C273" s="34"/>
      <c r="D273" s="34"/>
      <c r="E273" s="34"/>
      <c r="F273" s="34"/>
      <c r="G273" s="34"/>
    </row>
    <row r="274" spans="1:7" hidden="1" x14ac:dyDescent="0.2">
      <c r="A274" s="18">
        <v>43025</v>
      </c>
      <c r="B274" s="34">
        <v>0.03</v>
      </c>
      <c r="C274" s="34">
        <v>0.05</v>
      </c>
      <c r="D274" s="34">
        <v>0.04</v>
      </c>
      <c r="E274" s="34">
        <v>0.05</v>
      </c>
      <c r="F274" s="34">
        <v>0.03</v>
      </c>
      <c r="G274" s="34">
        <v>0.05</v>
      </c>
    </row>
    <row r="275" spans="1:7" hidden="1" x14ac:dyDescent="0.2">
      <c r="A275" s="18">
        <v>43109</v>
      </c>
      <c r="B275" s="34">
        <v>0.09</v>
      </c>
      <c r="C275" s="34">
        <v>0.21</v>
      </c>
      <c r="D275" s="34">
        <v>0.1</v>
      </c>
      <c r="E275" s="34">
        <v>0.15</v>
      </c>
      <c r="F275" s="34">
        <v>0.11</v>
      </c>
      <c r="G275" s="34">
        <v>0.15</v>
      </c>
    </row>
    <row r="276" spans="1:7" hidden="1" x14ac:dyDescent="0.2">
      <c r="A276" s="18">
        <v>43193</v>
      </c>
      <c r="B276" s="34">
        <v>0.254</v>
      </c>
      <c r="C276" s="34">
        <v>0.104</v>
      </c>
      <c r="D276" s="34">
        <v>7.0000000000000007E-2</v>
      </c>
      <c r="E276" s="34">
        <v>4.8000000000000001E-2</v>
      </c>
      <c r="F276" s="34">
        <v>0.113</v>
      </c>
      <c r="G276" s="34">
        <v>0.186</v>
      </c>
    </row>
    <row r="277" spans="1:7" hidden="1" x14ac:dyDescent="0.2">
      <c r="A277" s="18">
        <v>43298</v>
      </c>
      <c r="B277" s="34"/>
      <c r="C277" s="34"/>
      <c r="D277" s="34"/>
      <c r="E277" s="34"/>
      <c r="F277" s="34"/>
      <c r="G277" s="34"/>
    </row>
    <row r="278" spans="1:7" hidden="1" x14ac:dyDescent="0.2">
      <c r="A278" s="18">
        <v>43403</v>
      </c>
      <c r="B278" s="34">
        <v>0.71</v>
      </c>
      <c r="C278" s="34">
        <v>0.08</v>
      </c>
      <c r="D278" s="34">
        <v>0.12</v>
      </c>
      <c r="E278" s="34">
        <v>0.22</v>
      </c>
      <c r="F278" s="34">
        <v>0.06</v>
      </c>
      <c r="G278" s="34">
        <v>0.12</v>
      </c>
    </row>
    <row r="279" spans="1:7" hidden="1" x14ac:dyDescent="0.2">
      <c r="A279" s="18">
        <v>43487</v>
      </c>
      <c r="B279" s="34"/>
      <c r="C279" s="34"/>
      <c r="D279" s="34"/>
      <c r="E279" s="34"/>
      <c r="F279" s="34"/>
      <c r="G279" s="34"/>
    </row>
    <row r="280" spans="1:7" hidden="1" x14ac:dyDescent="0.2">
      <c r="A280" s="18">
        <v>43578</v>
      </c>
      <c r="B280" s="34">
        <v>0.112</v>
      </c>
      <c r="C280" s="34">
        <v>0.10199999999999999</v>
      </c>
      <c r="D280" s="34">
        <v>6.4000000000000001E-2</v>
      </c>
      <c r="E280" s="34">
        <v>0.16400000000000001</v>
      </c>
      <c r="F280" s="34">
        <v>6.4000000000000001E-2</v>
      </c>
      <c r="G280" s="34">
        <v>9.5000000000000001E-2</v>
      </c>
    </row>
    <row r="281" spans="1:7" hidden="1" x14ac:dyDescent="0.2">
      <c r="A281" s="18">
        <v>43704</v>
      </c>
      <c r="B281" s="34"/>
      <c r="C281" s="34"/>
      <c r="D281" s="34"/>
      <c r="E281" s="34"/>
      <c r="F281" s="34"/>
      <c r="G281" s="34"/>
    </row>
    <row r="282" spans="1:7" hidden="1" x14ac:dyDescent="0.2">
      <c r="A282" s="18">
        <v>43760</v>
      </c>
      <c r="B282" s="34">
        <v>0.22</v>
      </c>
      <c r="C282" s="34">
        <v>0.1</v>
      </c>
      <c r="D282" s="34">
        <v>0.08</v>
      </c>
      <c r="E282" s="34">
        <v>0.13</v>
      </c>
      <c r="F282" s="34">
        <v>0.12</v>
      </c>
      <c r="G282" s="34">
        <v>0.08</v>
      </c>
    </row>
    <row r="283" spans="1:7" hidden="1" x14ac:dyDescent="0.2">
      <c r="A283" s="18">
        <v>44021</v>
      </c>
      <c r="B283" s="34">
        <v>0.152</v>
      </c>
      <c r="C283" s="34">
        <v>6.8000000000000005E-2</v>
      </c>
      <c r="D283" s="34">
        <v>0.01</v>
      </c>
      <c r="E283" s="34">
        <v>0.01</v>
      </c>
      <c r="F283" s="34">
        <v>0.01</v>
      </c>
      <c r="G283" s="34">
        <v>0.01</v>
      </c>
    </row>
    <row r="284" spans="1:7" hidden="1" x14ac:dyDescent="0.2"/>
    <row r="285" spans="1:7" hidden="1" x14ac:dyDescent="0.2"/>
    <row r="286" spans="1:7" hidden="1" x14ac:dyDescent="0.2">
      <c r="A286" s="34"/>
      <c r="B286" s="36" t="s">
        <v>45</v>
      </c>
    </row>
    <row r="287" spans="1:7" hidden="1" x14ac:dyDescent="0.2">
      <c r="A287" s="34"/>
      <c r="B287" s="29" t="s">
        <v>43</v>
      </c>
    </row>
    <row r="288" spans="1:7" hidden="1" x14ac:dyDescent="0.2">
      <c r="A288" s="12" t="s">
        <v>7</v>
      </c>
      <c r="B288" s="78" t="s">
        <v>9</v>
      </c>
      <c r="C288" s="77" t="s">
        <v>10</v>
      </c>
      <c r="D288" s="76" t="s">
        <v>11</v>
      </c>
      <c r="E288" s="75" t="s">
        <v>12</v>
      </c>
      <c r="F288" s="74" t="s">
        <v>13</v>
      </c>
      <c r="G288" s="27" t="s">
        <v>14</v>
      </c>
    </row>
    <row r="289" spans="1:7" hidden="1" x14ac:dyDescent="0.2">
      <c r="A289" s="18">
        <v>37046</v>
      </c>
      <c r="B289" s="34"/>
      <c r="C289" s="34"/>
      <c r="D289" s="34"/>
      <c r="E289" s="34"/>
      <c r="F289" s="34"/>
      <c r="G289" s="34"/>
    </row>
    <row r="290" spans="1:7" hidden="1" x14ac:dyDescent="0.2">
      <c r="A290" s="18">
        <v>37076</v>
      </c>
      <c r="B290" s="34"/>
      <c r="C290" s="34"/>
      <c r="D290" s="34"/>
      <c r="E290" s="34"/>
      <c r="F290" s="34"/>
      <c r="G290" s="34"/>
    </row>
    <row r="291" spans="1:7" hidden="1" x14ac:dyDescent="0.2">
      <c r="A291" s="18">
        <v>37335</v>
      </c>
      <c r="B291" s="34"/>
      <c r="C291" s="34"/>
      <c r="D291" s="34"/>
      <c r="E291" s="34"/>
      <c r="F291" s="34"/>
      <c r="G291" s="34"/>
    </row>
    <row r="292" spans="1:7" hidden="1" x14ac:dyDescent="0.2">
      <c r="A292" s="18">
        <v>37566</v>
      </c>
      <c r="B292" s="34"/>
      <c r="C292" s="34"/>
      <c r="D292" s="34"/>
      <c r="E292" s="34"/>
      <c r="F292" s="34"/>
      <c r="G292" s="34"/>
    </row>
    <row r="293" spans="1:7" hidden="1" x14ac:dyDescent="0.2">
      <c r="A293" s="18">
        <v>37594</v>
      </c>
      <c r="B293" s="34"/>
      <c r="C293" s="34"/>
      <c r="D293" s="34"/>
      <c r="E293" s="34"/>
      <c r="F293" s="34"/>
      <c r="G293" s="34"/>
    </row>
    <row r="294" spans="1:7" hidden="1" x14ac:dyDescent="0.2">
      <c r="A294" s="18">
        <v>37711</v>
      </c>
      <c r="B294" s="34"/>
      <c r="C294" s="34"/>
      <c r="D294" s="34"/>
      <c r="E294" s="34"/>
      <c r="F294" s="34"/>
      <c r="G294" s="34"/>
    </row>
    <row r="295" spans="1:7" hidden="1" x14ac:dyDescent="0.2">
      <c r="A295" s="18">
        <v>37739</v>
      </c>
      <c r="B295" s="34"/>
      <c r="C295" s="34"/>
      <c r="D295" s="34"/>
      <c r="E295" s="34"/>
      <c r="F295" s="34"/>
      <c r="G295" s="34"/>
    </row>
    <row r="296" spans="1:7" hidden="1" x14ac:dyDescent="0.2">
      <c r="A296" s="18">
        <v>37825</v>
      </c>
      <c r="B296" s="34"/>
      <c r="C296" s="34"/>
      <c r="D296" s="34"/>
      <c r="E296" s="34"/>
      <c r="F296" s="34"/>
      <c r="G296" s="34"/>
    </row>
    <row r="297" spans="1:7" hidden="1" x14ac:dyDescent="0.2">
      <c r="A297" s="18">
        <v>37888</v>
      </c>
      <c r="B297" s="34"/>
      <c r="C297" s="34"/>
      <c r="D297" s="34"/>
      <c r="E297" s="34"/>
      <c r="F297" s="34"/>
      <c r="G297" s="34"/>
    </row>
    <row r="298" spans="1:7" hidden="1" x14ac:dyDescent="0.2">
      <c r="A298" s="18">
        <v>37963</v>
      </c>
      <c r="B298" s="34"/>
      <c r="C298" s="34"/>
      <c r="D298" s="34"/>
      <c r="E298" s="34"/>
      <c r="F298" s="34"/>
      <c r="G298" s="34"/>
    </row>
    <row r="299" spans="1:7" hidden="1" x14ac:dyDescent="0.2">
      <c r="A299" s="18">
        <v>38012</v>
      </c>
      <c r="B299" s="34"/>
      <c r="C299" s="34"/>
      <c r="D299" s="34"/>
      <c r="E299" s="34"/>
      <c r="F299" s="34"/>
      <c r="G299" s="34"/>
    </row>
    <row r="300" spans="1:7" hidden="1" x14ac:dyDescent="0.2">
      <c r="A300" s="18">
        <v>38033</v>
      </c>
      <c r="B300" s="34"/>
      <c r="C300" s="34"/>
      <c r="D300" s="34"/>
      <c r="E300" s="34"/>
      <c r="F300" s="34"/>
      <c r="G300" s="34"/>
    </row>
    <row r="301" spans="1:7" hidden="1" x14ac:dyDescent="0.2">
      <c r="A301" s="18">
        <v>38271</v>
      </c>
      <c r="B301" s="34">
        <v>0</v>
      </c>
      <c r="C301" s="34">
        <v>0</v>
      </c>
      <c r="D301" s="34">
        <v>0</v>
      </c>
      <c r="E301" s="34">
        <v>0</v>
      </c>
      <c r="F301" s="34"/>
      <c r="G301" s="34"/>
    </row>
    <row r="302" spans="1:7" hidden="1" x14ac:dyDescent="0.2">
      <c r="A302" s="18">
        <v>38474</v>
      </c>
      <c r="B302" s="34"/>
      <c r="C302" s="34"/>
      <c r="D302" s="34"/>
      <c r="E302" s="34"/>
      <c r="F302" s="34"/>
      <c r="G302" s="34"/>
    </row>
    <row r="303" spans="1:7" hidden="1" x14ac:dyDescent="0.2">
      <c r="A303" s="18">
        <v>38896</v>
      </c>
      <c r="B303" s="34">
        <v>0</v>
      </c>
      <c r="C303" s="34">
        <v>0</v>
      </c>
      <c r="D303" s="34">
        <v>0</v>
      </c>
      <c r="E303" s="34">
        <v>0</v>
      </c>
      <c r="F303" s="34"/>
      <c r="G303" s="34"/>
    </row>
    <row r="304" spans="1:7" hidden="1" x14ac:dyDescent="0.2">
      <c r="A304" s="18">
        <v>40625</v>
      </c>
      <c r="B304" s="34">
        <v>2.3E-2</v>
      </c>
      <c r="C304" s="34">
        <v>0.01</v>
      </c>
      <c r="D304" s="34">
        <v>1.7000000000000001E-2</v>
      </c>
      <c r="E304" s="34">
        <v>4.0000000000000001E-3</v>
      </c>
      <c r="F304" s="34">
        <v>7.0000000000000001E-3</v>
      </c>
      <c r="G304" s="34">
        <v>2E-3</v>
      </c>
    </row>
    <row r="305" spans="1:7" hidden="1" x14ac:dyDescent="0.2">
      <c r="A305" s="18">
        <v>40716</v>
      </c>
      <c r="B305" s="34"/>
      <c r="C305" s="34"/>
      <c r="D305" s="34"/>
      <c r="E305" s="34"/>
      <c r="F305" s="34"/>
      <c r="G305" s="34"/>
    </row>
    <row r="306" spans="1:7" hidden="1" x14ac:dyDescent="0.2">
      <c r="A306" s="18">
        <v>40821</v>
      </c>
      <c r="B306" s="34">
        <v>2E-3</v>
      </c>
      <c r="C306" s="34">
        <v>2E-3</v>
      </c>
      <c r="D306" s="34">
        <v>2E-3</v>
      </c>
      <c r="E306" s="34">
        <v>2E-3</v>
      </c>
      <c r="F306" s="34">
        <v>2E-3</v>
      </c>
      <c r="G306" s="34">
        <v>2E-3</v>
      </c>
    </row>
    <row r="307" spans="1:7" hidden="1" x14ac:dyDescent="0.2">
      <c r="A307" s="18">
        <v>40897</v>
      </c>
      <c r="B307" s="34"/>
      <c r="C307" s="34"/>
      <c r="D307" s="34"/>
      <c r="E307" s="34"/>
      <c r="F307" s="34"/>
      <c r="G307" s="34"/>
    </row>
    <row r="308" spans="1:7" hidden="1" x14ac:dyDescent="0.2">
      <c r="A308" s="18">
        <v>41008</v>
      </c>
      <c r="B308" s="34">
        <v>2</v>
      </c>
      <c r="C308" s="34">
        <v>6.9</v>
      </c>
      <c r="D308" s="34">
        <v>23.6</v>
      </c>
      <c r="E308" s="34">
        <v>11.9</v>
      </c>
      <c r="F308" s="34">
        <v>12.5</v>
      </c>
      <c r="G308" s="34">
        <v>2.5</v>
      </c>
    </row>
    <row r="309" spans="1:7" hidden="1" x14ac:dyDescent="0.2">
      <c r="A309" s="18">
        <v>41086</v>
      </c>
      <c r="B309" s="34"/>
      <c r="C309" s="34"/>
      <c r="D309" s="34"/>
      <c r="E309" s="34"/>
      <c r="F309" s="34"/>
      <c r="G309" s="34"/>
    </row>
    <row r="310" spans="1:7" hidden="1" x14ac:dyDescent="0.2">
      <c r="A310" s="18">
        <v>41179</v>
      </c>
      <c r="B310" s="34">
        <v>2E-3</v>
      </c>
      <c r="C310" s="34">
        <v>2E-3</v>
      </c>
      <c r="D310" s="34">
        <v>2E-3</v>
      </c>
      <c r="E310" s="34">
        <v>2E-3</v>
      </c>
      <c r="F310" s="34">
        <v>2E-3</v>
      </c>
      <c r="G310" s="34">
        <v>2E-3</v>
      </c>
    </row>
    <row r="311" spans="1:7" hidden="1" x14ac:dyDescent="0.2">
      <c r="A311" s="18">
        <v>41247</v>
      </c>
      <c r="B311" s="34"/>
      <c r="C311" s="34"/>
      <c r="D311" s="34"/>
      <c r="E311" s="34"/>
      <c r="F311" s="34"/>
      <c r="G311" s="34"/>
    </row>
    <row r="312" spans="1:7" hidden="1" x14ac:dyDescent="0.2">
      <c r="A312" s="18">
        <v>41352</v>
      </c>
      <c r="B312" s="34">
        <v>2E-3</v>
      </c>
      <c r="C312" s="34">
        <v>2E-3</v>
      </c>
      <c r="D312" s="34">
        <v>2E-3</v>
      </c>
      <c r="E312" s="34">
        <v>2E-3</v>
      </c>
      <c r="F312" s="34">
        <v>2E-3</v>
      </c>
      <c r="G312" s="34">
        <v>2E-3</v>
      </c>
    </row>
    <row r="313" spans="1:7" hidden="1" x14ac:dyDescent="0.2">
      <c r="A313" s="18">
        <v>41445</v>
      </c>
      <c r="B313" s="34"/>
      <c r="C313" s="34"/>
      <c r="D313" s="34"/>
      <c r="E313" s="34"/>
      <c r="F313" s="34"/>
      <c r="G313" s="34"/>
    </row>
    <row r="314" spans="1:7" hidden="1" x14ac:dyDescent="0.2">
      <c r="A314" s="18">
        <v>41528</v>
      </c>
      <c r="B314" s="34">
        <v>2E-3</v>
      </c>
      <c r="C314" s="34">
        <v>2E-3</v>
      </c>
      <c r="D314" s="34">
        <v>2E-3</v>
      </c>
      <c r="E314" s="34">
        <v>2E-3</v>
      </c>
      <c r="F314" s="34">
        <v>2E-3</v>
      </c>
      <c r="G314" s="34">
        <v>2E-3</v>
      </c>
    </row>
    <row r="315" spans="1:7" hidden="1" x14ac:dyDescent="0.2">
      <c r="A315" s="18">
        <v>41670</v>
      </c>
      <c r="B315" s="34"/>
      <c r="C315" s="34"/>
      <c r="D315" s="34"/>
      <c r="E315" s="34"/>
      <c r="F315" s="34"/>
      <c r="G315" s="34"/>
    </row>
    <row r="316" spans="1:7" hidden="1" x14ac:dyDescent="0.2">
      <c r="A316" s="18">
        <v>41758</v>
      </c>
      <c r="B316" s="34">
        <v>1.4E-2</v>
      </c>
      <c r="C316" s="34">
        <v>8.9999999999999993E-3</v>
      </c>
      <c r="D316" s="34">
        <v>5.0000000000000001E-3</v>
      </c>
      <c r="E316" s="34">
        <v>5.0000000000000001E-3</v>
      </c>
      <c r="F316" s="34">
        <v>7.0000000000000001E-3</v>
      </c>
      <c r="G316" s="34">
        <v>4.0000000000000001E-3</v>
      </c>
    </row>
    <row r="317" spans="1:7" hidden="1" x14ac:dyDescent="0.2">
      <c r="A317" s="18">
        <v>41835</v>
      </c>
      <c r="B317" s="34"/>
      <c r="C317" s="34"/>
      <c r="D317" s="34"/>
      <c r="E317" s="34"/>
      <c r="F317" s="34"/>
      <c r="G317" s="34"/>
    </row>
    <row r="318" spans="1:7" hidden="1" x14ac:dyDescent="0.2">
      <c r="A318" s="18">
        <v>42031</v>
      </c>
      <c r="B318" s="34"/>
      <c r="C318" s="34"/>
      <c r="D318" s="34"/>
      <c r="E318" s="34"/>
      <c r="F318" s="34"/>
      <c r="G318" s="34"/>
    </row>
    <row r="319" spans="1:7" hidden="1" x14ac:dyDescent="0.2">
      <c r="A319" s="18">
        <v>42094</v>
      </c>
      <c r="B319" s="34">
        <v>2E-3</v>
      </c>
      <c r="C319" s="34">
        <v>2E-3</v>
      </c>
      <c r="D319" s="34">
        <v>2E-3</v>
      </c>
      <c r="E319" s="34">
        <v>2E-3</v>
      </c>
      <c r="F319" s="34">
        <v>2E-3</v>
      </c>
      <c r="G319" s="34">
        <v>2E-3</v>
      </c>
    </row>
    <row r="320" spans="1:7" hidden="1" x14ac:dyDescent="0.2">
      <c r="A320" s="18">
        <v>42192</v>
      </c>
      <c r="B320" s="34"/>
      <c r="C320" s="34"/>
      <c r="D320" s="34"/>
      <c r="E320" s="34"/>
      <c r="F320" s="34"/>
      <c r="G320" s="34"/>
    </row>
    <row r="321" spans="1:7" hidden="1" x14ac:dyDescent="0.2">
      <c r="A321" s="18">
        <v>42290</v>
      </c>
      <c r="B321" s="34">
        <v>2E-3</v>
      </c>
      <c r="C321" s="34">
        <v>2E-3</v>
      </c>
      <c r="D321" s="34">
        <v>2E-3</v>
      </c>
      <c r="E321" s="34">
        <v>2E-3</v>
      </c>
      <c r="F321" s="34">
        <v>2E-3</v>
      </c>
      <c r="G321" s="34"/>
    </row>
    <row r="322" spans="1:7" hidden="1" x14ac:dyDescent="0.2">
      <c r="A322" s="18">
        <v>42381</v>
      </c>
      <c r="B322" s="34"/>
      <c r="C322" s="34"/>
      <c r="D322" s="34"/>
      <c r="E322" s="34"/>
      <c r="F322" s="34"/>
      <c r="G322" s="34"/>
    </row>
    <row r="323" spans="1:7" hidden="1" x14ac:dyDescent="0.2">
      <c r="A323" s="18">
        <v>42479</v>
      </c>
      <c r="B323" s="34">
        <v>1.6E-2</v>
      </c>
      <c r="C323" s="34">
        <v>1.2999999999999999E-2</v>
      </c>
      <c r="D323" s="34">
        <v>0.01</v>
      </c>
      <c r="E323" s="34">
        <v>4.1000000000000002E-2</v>
      </c>
      <c r="F323" s="34">
        <v>8.8999999999999996E-2</v>
      </c>
      <c r="G323" s="34">
        <v>8.0000000000000002E-3</v>
      </c>
    </row>
    <row r="324" spans="1:7" hidden="1" x14ac:dyDescent="0.2">
      <c r="A324" s="18">
        <v>42570</v>
      </c>
      <c r="B324" s="34"/>
      <c r="C324" s="34"/>
      <c r="D324" s="34"/>
      <c r="E324" s="34"/>
      <c r="F324" s="34"/>
      <c r="G324" s="34"/>
    </row>
    <row r="325" spans="1:7" hidden="1" x14ac:dyDescent="0.2">
      <c r="A325" s="18">
        <v>42654</v>
      </c>
      <c r="B325" s="34">
        <v>6.0000000000000001E-3</v>
      </c>
      <c r="C325" s="34">
        <v>6.0000000000000001E-3</v>
      </c>
      <c r="D325" s="34">
        <v>3.0000000000000001E-3</v>
      </c>
      <c r="E325" s="34">
        <v>0.01</v>
      </c>
      <c r="F325" s="34">
        <v>1.6E-2</v>
      </c>
      <c r="G325" s="34">
        <v>6.0000000000000001E-3</v>
      </c>
    </row>
    <row r="326" spans="1:7" hidden="1" x14ac:dyDescent="0.2">
      <c r="A326" s="18">
        <v>42745</v>
      </c>
      <c r="B326" s="34"/>
      <c r="C326" s="34"/>
      <c r="D326" s="34"/>
      <c r="E326" s="34"/>
      <c r="F326" s="34"/>
      <c r="G326" s="34"/>
    </row>
    <row r="327" spans="1:7" hidden="1" x14ac:dyDescent="0.2">
      <c r="A327" s="18">
        <v>42843</v>
      </c>
      <c r="B327" s="34">
        <v>0.01</v>
      </c>
      <c r="C327" s="34">
        <v>7.0000000000000001E-3</v>
      </c>
      <c r="D327" s="34">
        <v>7.0000000000000001E-3</v>
      </c>
      <c r="E327" s="34">
        <v>6.0000000000000001E-3</v>
      </c>
      <c r="F327" s="34">
        <v>7.0000000000000001E-3</v>
      </c>
      <c r="G327" s="34">
        <v>2E-3</v>
      </c>
    </row>
    <row r="328" spans="1:7" hidden="1" x14ac:dyDescent="0.2">
      <c r="A328" s="18">
        <v>42934</v>
      </c>
      <c r="B328" s="34"/>
      <c r="C328" s="34"/>
      <c r="D328" s="34"/>
      <c r="E328" s="34"/>
      <c r="F328" s="34"/>
      <c r="G328" s="34"/>
    </row>
    <row r="329" spans="1:7" hidden="1" x14ac:dyDescent="0.2">
      <c r="A329" s="18">
        <v>43025</v>
      </c>
      <c r="B329" s="34">
        <v>2E-3</v>
      </c>
      <c r="C329" s="34">
        <v>2E-3</v>
      </c>
      <c r="D329" s="34">
        <v>2E-3</v>
      </c>
      <c r="E329" s="34">
        <v>2E-3</v>
      </c>
      <c r="F329" s="34">
        <v>2E-3</v>
      </c>
      <c r="G329" s="34">
        <v>2E-3</v>
      </c>
    </row>
    <row r="330" spans="1:7" hidden="1" x14ac:dyDescent="0.2">
      <c r="A330" s="18">
        <v>43109</v>
      </c>
      <c r="B330" s="34">
        <v>8.0000000000000002E-3</v>
      </c>
      <c r="C330" s="34">
        <v>7.0000000000000001E-3</v>
      </c>
      <c r="D330" s="34">
        <v>6.0000000000000001E-3</v>
      </c>
      <c r="E330" s="34">
        <v>1.2E-2</v>
      </c>
      <c r="F330" s="34">
        <v>7.0000000000000001E-3</v>
      </c>
      <c r="G330" s="34">
        <v>2E-3</v>
      </c>
    </row>
    <row r="331" spans="1:7" hidden="1" x14ac:dyDescent="0.2">
      <c r="A331" s="18">
        <v>43193</v>
      </c>
      <c r="B331" s="34">
        <v>1.6E-2</v>
      </c>
      <c r="C331" s="34">
        <v>2.5999999999999999E-2</v>
      </c>
      <c r="D331" s="34">
        <v>0.02</v>
      </c>
      <c r="E331" s="34">
        <v>2.1999999999999999E-2</v>
      </c>
      <c r="F331" s="34">
        <v>1.7000000000000001E-2</v>
      </c>
      <c r="G331" s="34">
        <v>1.4E-2</v>
      </c>
    </row>
    <row r="332" spans="1:7" hidden="1" x14ac:dyDescent="0.2">
      <c r="A332" s="18">
        <v>43298</v>
      </c>
      <c r="B332" s="34"/>
      <c r="C332" s="34"/>
      <c r="D332" s="34"/>
      <c r="E332" s="34"/>
      <c r="F332" s="34"/>
      <c r="G332" s="34"/>
    </row>
    <row r="333" spans="1:7" hidden="1" x14ac:dyDescent="0.2">
      <c r="A333" s="18">
        <v>43403</v>
      </c>
      <c r="B333" s="34">
        <v>2E-3</v>
      </c>
      <c r="C333" s="34">
        <v>2E-3</v>
      </c>
      <c r="D333" s="34">
        <v>2E-3</v>
      </c>
      <c r="E333" s="34">
        <v>2E-3</v>
      </c>
      <c r="F333" s="34">
        <v>2E-3</v>
      </c>
      <c r="G333" s="34">
        <v>2E-3</v>
      </c>
    </row>
    <row r="334" spans="1:7" hidden="1" x14ac:dyDescent="0.2">
      <c r="A334" s="18">
        <v>43487</v>
      </c>
      <c r="B334" s="34"/>
      <c r="C334" s="34"/>
      <c r="D334" s="34"/>
      <c r="E334" s="34"/>
      <c r="F334" s="34"/>
      <c r="G334" s="34"/>
    </row>
    <row r="335" spans="1:7" hidden="1" x14ac:dyDescent="0.2">
      <c r="A335" s="18">
        <v>43578</v>
      </c>
      <c r="B335" s="34">
        <v>2E-3</v>
      </c>
      <c r="C335" s="34">
        <v>2E-3</v>
      </c>
      <c r="D335" s="34">
        <v>2E-3</v>
      </c>
      <c r="E335" s="34">
        <v>2E-3</v>
      </c>
      <c r="F335" s="34">
        <v>2E-3</v>
      </c>
      <c r="G335" s="34">
        <v>2E-3</v>
      </c>
    </row>
    <row r="336" spans="1:7" hidden="1" x14ac:dyDescent="0.2">
      <c r="A336" s="18">
        <v>43704</v>
      </c>
      <c r="B336" s="34"/>
      <c r="C336" s="34"/>
      <c r="D336" s="34"/>
      <c r="E336" s="34"/>
      <c r="F336" s="34"/>
      <c r="G336" s="34"/>
    </row>
    <row r="337" spans="1:7" hidden="1" x14ac:dyDescent="0.2">
      <c r="A337" s="18">
        <v>43760</v>
      </c>
      <c r="B337" s="34">
        <v>257.5</v>
      </c>
      <c r="C337" s="34">
        <v>49.92</v>
      </c>
      <c r="D337" s="34">
        <v>61.58</v>
      </c>
      <c r="E337" s="34">
        <v>42.42</v>
      </c>
      <c r="F337" s="34">
        <v>49.92</v>
      </c>
      <c r="G337" s="34">
        <v>23.25</v>
      </c>
    </row>
    <row r="338" spans="1:7" hidden="1" x14ac:dyDescent="0.2">
      <c r="A338" s="18">
        <v>44021</v>
      </c>
      <c r="B338" s="34">
        <v>8.0000000000000002E-3</v>
      </c>
      <c r="C338" s="34">
        <v>2E-3</v>
      </c>
      <c r="D338" s="34">
        <v>2E-3</v>
      </c>
      <c r="E338" s="34">
        <v>2E-3</v>
      </c>
      <c r="F338" s="34">
        <v>0.03</v>
      </c>
      <c r="G338" s="34">
        <v>2E-3</v>
      </c>
    </row>
    <row r="339" spans="1:7" hidden="1" x14ac:dyDescent="0.2"/>
    <row r="340" spans="1:7" hidden="1" x14ac:dyDescent="0.2"/>
    <row r="341" spans="1:7" hidden="1" x14ac:dyDescent="0.2">
      <c r="A341" s="34"/>
      <c r="B341" s="36" t="s">
        <v>52</v>
      </c>
    </row>
    <row r="342" spans="1:7" hidden="1" x14ac:dyDescent="0.2">
      <c r="A342" s="34"/>
      <c r="B342" s="34"/>
    </row>
    <row r="343" spans="1:7" hidden="1" x14ac:dyDescent="0.2">
      <c r="A343" s="12" t="s">
        <v>7</v>
      </c>
      <c r="B343" s="78" t="s">
        <v>9</v>
      </c>
      <c r="C343" s="77" t="s">
        <v>10</v>
      </c>
      <c r="D343" s="76" t="s">
        <v>11</v>
      </c>
      <c r="E343" s="75" t="s">
        <v>12</v>
      </c>
      <c r="F343" s="74" t="s">
        <v>13</v>
      </c>
      <c r="G343" s="27" t="s">
        <v>14</v>
      </c>
    </row>
    <row r="344" spans="1:7" hidden="1" x14ac:dyDescent="0.2">
      <c r="A344" s="18">
        <v>37046</v>
      </c>
      <c r="B344" s="34">
        <v>8.1999999999999993</v>
      </c>
      <c r="C344" s="34">
        <v>8.36</v>
      </c>
      <c r="D344" s="34">
        <v>8.4700000000000006</v>
      </c>
      <c r="E344" s="34">
        <v>8.34</v>
      </c>
      <c r="F344" s="34"/>
      <c r="G344" s="34"/>
    </row>
    <row r="345" spans="1:7" hidden="1" x14ac:dyDescent="0.2">
      <c r="A345" s="18">
        <v>37076</v>
      </c>
      <c r="B345" s="34">
        <v>8.44</v>
      </c>
      <c r="C345" s="34">
        <v>8.17</v>
      </c>
      <c r="D345" s="34">
        <v>8.1999999999999993</v>
      </c>
      <c r="E345" s="34">
        <v>8.1999999999999993</v>
      </c>
      <c r="F345" s="34"/>
      <c r="G345" s="34"/>
    </row>
    <row r="346" spans="1:7" hidden="1" x14ac:dyDescent="0.2">
      <c r="A346" s="18">
        <v>37335</v>
      </c>
      <c r="B346" s="34">
        <v>8.6300000000000008</v>
      </c>
      <c r="C346" s="34">
        <v>8.5</v>
      </c>
      <c r="D346" s="34">
        <v>8.5500000000000007</v>
      </c>
      <c r="E346" s="34">
        <v>8.5500000000000007</v>
      </c>
      <c r="F346" s="34"/>
      <c r="G346" s="34"/>
    </row>
    <row r="347" spans="1:7" hidden="1" x14ac:dyDescent="0.2">
      <c r="A347" s="18">
        <v>37566</v>
      </c>
      <c r="B347" s="34"/>
      <c r="C347" s="34"/>
      <c r="D347" s="34"/>
      <c r="E347" s="34"/>
      <c r="F347" s="34"/>
      <c r="G347" s="34"/>
    </row>
    <row r="348" spans="1:7" hidden="1" x14ac:dyDescent="0.2">
      <c r="A348" s="18">
        <v>37594</v>
      </c>
      <c r="B348" s="34">
        <v>8.8000000000000007</v>
      </c>
      <c r="C348" s="34">
        <v>8.6</v>
      </c>
      <c r="D348" s="34">
        <v>8.6999999999999993</v>
      </c>
      <c r="E348" s="34">
        <v>8.6999999999999993</v>
      </c>
      <c r="F348" s="34"/>
      <c r="G348" s="34"/>
    </row>
    <row r="349" spans="1:7" hidden="1" x14ac:dyDescent="0.2">
      <c r="A349" s="18">
        <v>37711</v>
      </c>
      <c r="B349" s="34"/>
      <c r="C349" s="34"/>
      <c r="D349" s="34"/>
      <c r="E349" s="34"/>
      <c r="F349" s="34"/>
      <c r="G349" s="34"/>
    </row>
    <row r="350" spans="1:7" hidden="1" x14ac:dyDescent="0.2">
      <c r="A350" s="18">
        <v>37739</v>
      </c>
      <c r="B350" s="34"/>
      <c r="C350" s="34"/>
      <c r="D350" s="34"/>
      <c r="E350" s="34"/>
      <c r="F350" s="34"/>
      <c r="G350" s="34"/>
    </row>
    <row r="351" spans="1:7" hidden="1" x14ac:dyDescent="0.2">
      <c r="A351" s="18">
        <v>37825</v>
      </c>
      <c r="B351" s="34"/>
      <c r="C351" s="34"/>
      <c r="D351" s="34"/>
      <c r="E351" s="34"/>
      <c r="F351" s="34"/>
      <c r="G351" s="34"/>
    </row>
    <row r="352" spans="1:7" hidden="1" x14ac:dyDescent="0.2">
      <c r="A352" s="18">
        <v>37888</v>
      </c>
      <c r="B352" s="34"/>
      <c r="C352" s="34"/>
      <c r="D352" s="34"/>
      <c r="E352" s="34"/>
      <c r="F352" s="34"/>
      <c r="G352" s="34"/>
    </row>
    <row r="353" spans="1:7" hidden="1" x14ac:dyDescent="0.2">
      <c r="A353" s="18">
        <v>37963</v>
      </c>
      <c r="B353" s="34"/>
      <c r="C353" s="34"/>
      <c r="D353" s="34"/>
      <c r="E353" s="34"/>
      <c r="F353" s="34"/>
      <c r="G353" s="34"/>
    </row>
    <row r="354" spans="1:7" hidden="1" x14ac:dyDescent="0.2">
      <c r="A354" s="18">
        <v>38012</v>
      </c>
      <c r="B354" s="34"/>
      <c r="C354" s="34"/>
      <c r="D354" s="34"/>
      <c r="E354" s="34"/>
      <c r="F354" s="34"/>
      <c r="G354" s="34"/>
    </row>
    <row r="355" spans="1:7" hidden="1" x14ac:dyDescent="0.2">
      <c r="A355" s="18">
        <v>38033</v>
      </c>
      <c r="B355" s="34"/>
      <c r="C355" s="34"/>
      <c r="D355" s="34"/>
      <c r="E355" s="34"/>
      <c r="F355" s="34"/>
      <c r="G355" s="34"/>
    </row>
    <row r="356" spans="1:7" hidden="1" x14ac:dyDescent="0.2">
      <c r="A356" s="18">
        <v>38271</v>
      </c>
      <c r="B356" s="34">
        <v>8.42</v>
      </c>
      <c r="C356" s="34">
        <v>8.3699999999999992</v>
      </c>
      <c r="D356" s="34">
        <v>8.4</v>
      </c>
      <c r="E356" s="34">
        <v>8.43</v>
      </c>
      <c r="F356" s="34"/>
      <c r="G356" s="34"/>
    </row>
    <row r="357" spans="1:7" hidden="1" x14ac:dyDescent="0.2">
      <c r="A357" s="18">
        <v>38474</v>
      </c>
      <c r="B357" s="34"/>
      <c r="C357" s="34"/>
      <c r="D357" s="34"/>
      <c r="E357" s="34"/>
      <c r="F357" s="34"/>
      <c r="G357" s="34"/>
    </row>
    <row r="358" spans="1:7" hidden="1" x14ac:dyDescent="0.2">
      <c r="A358" s="18">
        <v>38896</v>
      </c>
      <c r="B358" s="34">
        <v>8.42</v>
      </c>
      <c r="C358" s="34">
        <v>8.2799999999999994</v>
      </c>
      <c r="D358" s="34">
        <v>8.36</v>
      </c>
      <c r="E358" s="34">
        <v>8.4700000000000006</v>
      </c>
      <c r="F358" s="34"/>
      <c r="G358" s="34"/>
    </row>
    <row r="359" spans="1:7" hidden="1" x14ac:dyDescent="0.2">
      <c r="A359" s="18">
        <v>40625</v>
      </c>
      <c r="B359" s="34">
        <v>7.5</v>
      </c>
      <c r="C359" s="34">
        <v>7.64</v>
      </c>
      <c r="D359" s="34">
        <v>7.77</v>
      </c>
      <c r="E359" s="34">
        <v>7.88</v>
      </c>
      <c r="F359" s="34">
        <v>7.9</v>
      </c>
      <c r="G359" s="34">
        <v>8.1</v>
      </c>
    </row>
    <row r="360" spans="1:7" hidden="1" x14ac:dyDescent="0.2">
      <c r="A360" s="18">
        <v>40716</v>
      </c>
      <c r="B360" s="34">
        <v>7.98</v>
      </c>
      <c r="C360" s="34">
        <v>8.01</v>
      </c>
      <c r="D360" s="34">
        <v>8.06</v>
      </c>
      <c r="E360" s="34">
        <v>8.11</v>
      </c>
      <c r="F360" s="34">
        <v>8.0399999999999991</v>
      </c>
      <c r="G360" s="34">
        <v>7.82</v>
      </c>
    </row>
    <row r="361" spans="1:7" hidden="1" x14ac:dyDescent="0.2">
      <c r="A361" s="18">
        <v>40821</v>
      </c>
      <c r="B361" s="34">
        <v>7.82</v>
      </c>
      <c r="C361" s="34">
        <v>7.81</v>
      </c>
      <c r="D361" s="34">
        <v>7.88</v>
      </c>
      <c r="E361" s="34">
        <v>8.0299999999999994</v>
      </c>
      <c r="F361" s="34">
        <v>7.94</v>
      </c>
      <c r="G361" s="34">
        <v>8.1199999999999992</v>
      </c>
    </row>
    <row r="362" spans="1:7" hidden="1" x14ac:dyDescent="0.2">
      <c r="A362" s="18">
        <v>40897</v>
      </c>
      <c r="B362" s="34">
        <v>7.84</v>
      </c>
      <c r="C362" s="34">
        <v>7.74</v>
      </c>
      <c r="D362" s="34">
        <v>7.72</v>
      </c>
      <c r="E362" s="34">
        <v>7.79</v>
      </c>
      <c r="F362" s="34">
        <v>7.8</v>
      </c>
      <c r="G362" s="34">
        <v>8.11</v>
      </c>
    </row>
    <row r="363" spans="1:7" hidden="1" x14ac:dyDescent="0.2">
      <c r="A363" s="18">
        <v>41008</v>
      </c>
      <c r="B363" s="34">
        <v>8.3000000000000007</v>
      </c>
      <c r="C363" s="34">
        <v>8.1</v>
      </c>
      <c r="D363" s="34">
        <v>7.91</v>
      </c>
      <c r="E363" s="34">
        <v>8.31</v>
      </c>
      <c r="F363" s="34">
        <v>8.3000000000000007</v>
      </c>
      <c r="G363" s="34">
        <v>8.1</v>
      </c>
    </row>
    <row r="364" spans="1:7" hidden="1" x14ac:dyDescent="0.2">
      <c r="A364" s="18">
        <v>41086</v>
      </c>
      <c r="B364" s="34">
        <v>7.66</v>
      </c>
      <c r="C364" s="34">
        <v>7.47</v>
      </c>
      <c r="D364" s="34">
        <v>7.49</v>
      </c>
      <c r="E364" s="34">
        <v>7.6</v>
      </c>
      <c r="F364" s="34">
        <v>7.58</v>
      </c>
      <c r="G364" s="34">
        <v>7.51</v>
      </c>
    </row>
    <row r="365" spans="1:7" hidden="1" x14ac:dyDescent="0.2">
      <c r="A365" s="18">
        <v>41179</v>
      </c>
      <c r="B365" s="34">
        <v>8.64</v>
      </c>
      <c r="C365" s="34">
        <v>8.66</v>
      </c>
      <c r="D365" s="34">
        <v>8.75</v>
      </c>
      <c r="E365" s="34">
        <v>8.6300000000000008</v>
      </c>
      <c r="F365" s="34">
        <v>8.65</v>
      </c>
      <c r="G365" s="34">
        <v>7.75</v>
      </c>
    </row>
    <row r="366" spans="1:7" hidden="1" x14ac:dyDescent="0.2">
      <c r="A366" s="18">
        <v>41247</v>
      </c>
      <c r="B366" s="34">
        <v>8.3699999999999992</v>
      </c>
      <c r="C366" s="34">
        <v>8.31</v>
      </c>
      <c r="D366" s="34">
        <v>8.3000000000000007</v>
      </c>
      <c r="E366" s="34">
        <v>8.32</v>
      </c>
      <c r="F366" s="34">
        <v>8.3000000000000007</v>
      </c>
      <c r="G366" s="34">
        <v>7.83</v>
      </c>
    </row>
    <row r="367" spans="1:7" hidden="1" x14ac:dyDescent="0.2">
      <c r="A367" s="18">
        <v>41352</v>
      </c>
      <c r="B367" s="34">
        <v>7.51</v>
      </c>
      <c r="C367" s="34">
        <v>7.36</v>
      </c>
      <c r="D367" s="34">
        <v>7.34</v>
      </c>
      <c r="E367" s="34">
        <v>7.42</v>
      </c>
      <c r="F367" s="34">
        <v>7.19</v>
      </c>
      <c r="G367" s="34">
        <v>7.71</v>
      </c>
    </row>
    <row r="368" spans="1:7" hidden="1" x14ac:dyDescent="0.2">
      <c r="A368" s="18">
        <v>41445</v>
      </c>
      <c r="B368" s="34">
        <v>8.3000000000000007</v>
      </c>
      <c r="C368" s="34">
        <v>8.24</v>
      </c>
      <c r="D368" s="34">
        <v>8.31</v>
      </c>
      <c r="E368" s="34">
        <v>8.32</v>
      </c>
      <c r="F368" s="34">
        <v>8.26</v>
      </c>
      <c r="G368" s="34">
        <v>7.58</v>
      </c>
    </row>
    <row r="369" spans="1:7" hidden="1" x14ac:dyDescent="0.2">
      <c r="A369" s="18">
        <v>41528</v>
      </c>
      <c r="B369" s="34">
        <v>8.64</v>
      </c>
      <c r="C369" s="34">
        <v>8.6199999999999992</v>
      </c>
      <c r="D369" s="34">
        <v>8.81</v>
      </c>
      <c r="E369" s="34">
        <v>8.32</v>
      </c>
      <c r="F369" s="34">
        <v>8.65</v>
      </c>
      <c r="G369" s="34">
        <v>7.83</v>
      </c>
    </row>
    <row r="370" spans="1:7" hidden="1" x14ac:dyDescent="0.2">
      <c r="A370" s="18">
        <v>41670</v>
      </c>
      <c r="B370" s="34">
        <v>7.84</v>
      </c>
      <c r="C370" s="34">
        <v>7.79</v>
      </c>
      <c r="D370" s="34">
        <v>7.81</v>
      </c>
      <c r="E370" s="34">
        <v>7.8</v>
      </c>
      <c r="F370" s="34">
        <v>7.74</v>
      </c>
      <c r="G370" s="34">
        <v>7.84</v>
      </c>
    </row>
    <row r="371" spans="1:7" hidden="1" x14ac:dyDescent="0.2">
      <c r="A371" s="18">
        <v>41758</v>
      </c>
      <c r="B371" s="34">
        <v>8.19</v>
      </c>
      <c r="C371" s="34">
        <v>8.3000000000000007</v>
      </c>
      <c r="D371" s="34">
        <v>8.4</v>
      </c>
      <c r="E371" s="34">
        <v>8.43</v>
      </c>
      <c r="F371" s="34">
        <v>8.2899999999999991</v>
      </c>
      <c r="G371" s="34">
        <v>8.1300000000000008</v>
      </c>
    </row>
    <row r="372" spans="1:7" hidden="1" x14ac:dyDescent="0.2">
      <c r="A372" s="18">
        <v>41835</v>
      </c>
      <c r="B372" s="34">
        <v>8.27</v>
      </c>
      <c r="C372" s="34">
        <v>8.2899999999999991</v>
      </c>
      <c r="D372" s="34">
        <v>8.41</v>
      </c>
      <c r="E372" s="34">
        <v>8.52</v>
      </c>
      <c r="F372" s="34">
        <v>8.4</v>
      </c>
      <c r="G372" s="34">
        <v>8.02</v>
      </c>
    </row>
    <row r="373" spans="1:7" hidden="1" x14ac:dyDescent="0.2">
      <c r="A373" s="18">
        <v>42031</v>
      </c>
      <c r="B373" s="34">
        <v>8.74</v>
      </c>
      <c r="C373" s="34">
        <v>8.7200000000000006</v>
      </c>
      <c r="D373" s="34">
        <v>8.81</v>
      </c>
      <c r="E373" s="34">
        <v>8.61</v>
      </c>
      <c r="F373" s="34">
        <v>8.77</v>
      </c>
      <c r="G373" s="34">
        <v>8.7799999999999994</v>
      </c>
    </row>
    <row r="374" spans="1:7" hidden="1" x14ac:dyDescent="0.2">
      <c r="A374" s="18">
        <v>42094</v>
      </c>
      <c r="B374" s="34">
        <v>8.09</v>
      </c>
      <c r="C374" s="34">
        <v>8.31</v>
      </c>
      <c r="D374" s="34">
        <v>8.3000000000000007</v>
      </c>
      <c r="E374" s="34">
        <v>8.33</v>
      </c>
      <c r="F374" s="34">
        <v>8.3000000000000007</v>
      </c>
      <c r="G374" s="34">
        <v>8.3699999999999992</v>
      </c>
    </row>
    <row r="375" spans="1:7" hidden="1" x14ac:dyDescent="0.2">
      <c r="A375" s="18">
        <v>42192</v>
      </c>
      <c r="B375" s="34">
        <v>7.55</v>
      </c>
      <c r="C375" s="34">
        <v>7.84</v>
      </c>
      <c r="D375" s="34">
        <v>7.92</v>
      </c>
      <c r="E375" s="34">
        <v>7.97</v>
      </c>
      <c r="F375" s="34">
        <v>7.94</v>
      </c>
      <c r="G375" s="34">
        <v>7.55</v>
      </c>
    </row>
    <row r="376" spans="1:7" hidden="1" x14ac:dyDescent="0.2">
      <c r="A376" s="18">
        <v>42290</v>
      </c>
      <c r="B376" s="34">
        <v>8.39</v>
      </c>
      <c r="C376" s="34">
        <v>8.42</v>
      </c>
      <c r="D376" s="34">
        <v>8.58</v>
      </c>
      <c r="E376" s="34">
        <v>8.59</v>
      </c>
      <c r="F376" s="34">
        <v>8.4600000000000009</v>
      </c>
      <c r="G376" s="34"/>
    </row>
    <row r="377" spans="1:7" hidden="1" x14ac:dyDescent="0.2">
      <c r="A377" s="18">
        <v>42381</v>
      </c>
      <c r="B377" s="34">
        <v>8.3000000000000007</v>
      </c>
      <c r="C377" s="34">
        <v>7.98</v>
      </c>
      <c r="D377" s="34">
        <v>8.31</v>
      </c>
      <c r="E377" s="34">
        <v>8.32</v>
      </c>
      <c r="F377" s="34">
        <v>8.07</v>
      </c>
      <c r="G377" s="34"/>
    </row>
    <row r="378" spans="1:7" hidden="1" x14ac:dyDescent="0.2">
      <c r="A378" s="18">
        <v>42479</v>
      </c>
      <c r="B378" s="34">
        <v>8.06</v>
      </c>
      <c r="C378" s="34">
        <v>7.77</v>
      </c>
      <c r="D378" s="34">
        <v>7.65</v>
      </c>
      <c r="E378" s="34">
        <v>7.53</v>
      </c>
      <c r="F378" s="34">
        <v>7.66</v>
      </c>
      <c r="G378" s="34">
        <v>7.5</v>
      </c>
    </row>
    <row r="379" spans="1:7" hidden="1" x14ac:dyDescent="0.2">
      <c r="A379" s="18">
        <v>42570</v>
      </c>
      <c r="B379" s="34">
        <v>8.23</v>
      </c>
      <c r="C379" s="34">
        <v>8.2799999999999994</v>
      </c>
      <c r="D379" s="34">
        <v>8.4499999999999993</v>
      </c>
      <c r="E379" s="34">
        <v>8.3699999999999992</v>
      </c>
      <c r="F379" s="34">
        <v>8.31</v>
      </c>
      <c r="G379" s="34">
        <v>7.57</v>
      </c>
    </row>
    <row r="380" spans="1:7" hidden="1" x14ac:dyDescent="0.2">
      <c r="A380" s="18">
        <v>42654</v>
      </c>
      <c r="B380" s="34">
        <v>8.39</v>
      </c>
      <c r="C380" s="34">
        <v>8.3000000000000007</v>
      </c>
      <c r="D380" s="34">
        <v>8.3800000000000008</v>
      </c>
      <c r="E380" s="34">
        <v>8.4</v>
      </c>
      <c r="F380" s="34">
        <v>8.3000000000000007</v>
      </c>
      <c r="G380" s="34">
        <v>7.67</v>
      </c>
    </row>
    <row r="381" spans="1:7" hidden="1" x14ac:dyDescent="0.2">
      <c r="A381" s="18">
        <v>42745</v>
      </c>
      <c r="B381" s="34">
        <v>7.75</v>
      </c>
      <c r="C381" s="34">
        <v>7.71</v>
      </c>
      <c r="D381" s="34">
        <v>7.73</v>
      </c>
      <c r="E381" s="34">
        <v>7.77</v>
      </c>
      <c r="F381" s="34">
        <v>7.74</v>
      </c>
      <c r="G381" s="34">
        <v>8.0299999999999994</v>
      </c>
    </row>
    <row r="382" spans="1:7" hidden="1" x14ac:dyDescent="0.2">
      <c r="A382" s="18">
        <v>42843</v>
      </c>
      <c r="B382" s="34">
        <v>8.17</v>
      </c>
      <c r="C382" s="34">
        <v>8.1199999999999992</v>
      </c>
      <c r="D382" s="34">
        <v>8.1</v>
      </c>
      <c r="E382" s="34">
        <v>8.16</v>
      </c>
      <c r="F382" s="34">
        <v>8.0299999999999994</v>
      </c>
      <c r="G382" s="34">
        <v>8.1</v>
      </c>
    </row>
    <row r="383" spans="1:7" hidden="1" x14ac:dyDescent="0.2">
      <c r="A383" s="18">
        <v>42934</v>
      </c>
      <c r="B383" s="34">
        <v>7.69</v>
      </c>
      <c r="C383" s="34">
        <v>7.64</v>
      </c>
      <c r="D383" s="34">
        <v>7.78</v>
      </c>
      <c r="E383" s="34">
        <v>7.84</v>
      </c>
      <c r="F383" s="34">
        <v>7.74</v>
      </c>
      <c r="G383" s="34">
        <v>7.87</v>
      </c>
    </row>
    <row r="384" spans="1:7" hidden="1" x14ac:dyDescent="0.2">
      <c r="A384" s="18">
        <v>43025</v>
      </c>
      <c r="B384" s="34">
        <v>8.0500000000000007</v>
      </c>
      <c r="C384" s="34">
        <v>7.89</v>
      </c>
      <c r="D384" s="34">
        <v>8.0299999999999994</v>
      </c>
      <c r="E384" s="34">
        <v>8.08</v>
      </c>
      <c r="F384" s="34">
        <v>7.82</v>
      </c>
      <c r="G384" s="34">
        <v>7.13</v>
      </c>
    </row>
    <row r="385" spans="1:7" hidden="1" x14ac:dyDescent="0.2">
      <c r="A385" s="18">
        <v>43109</v>
      </c>
      <c r="B385" s="34">
        <v>8.1</v>
      </c>
      <c r="C385" s="34">
        <v>7.96</v>
      </c>
      <c r="D385" s="34">
        <v>8.08</v>
      </c>
      <c r="E385" s="34">
        <v>8.14</v>
      </c>
      <c r="F385" s="34">
        <v>8.08</v>
      </c>
      <c r="G385" s="34">
        <v>8.1</v>
      </c>
    </row>
    <row r="386" spans="1:7" hidden="1" x14ac:dyDescent="0.2">
      <c r="A386" s="18">
        <v>43193</v>
      </c>
      <c r="B386" s="34">
        <v>7.12</v>
      </c>
      <c r="C386" s="34">
        <v>7.22</v>
      </c>
      <c r="D386" s="34">
        <v>7.23</v>
      </c>
      <c r="E386" s="34">
        <v>7.35</v>
      </c>
      <c r="F386" s="34">
        <v>7.33</v>
      </c>
      <c r="G386" s="34">
        <v>7.7</v>
      </c>
    </row>
    <row r="387" spans="1:7" hidden="1" x14ac:dyDescent="0.2">
      <c r="A387" s="18">
        <v>43298</v>
      </c>
      <c r="B387" s="34">
        <v>8.34</v>
      </c>
      <c r="C387" s="34">
        <v>8.4</v>
      </c>
      <c r="D387" s="34">
        <v>8.4700000000000006</v>
      </c>
      <c r="E387" s="34">
        <v>8.49</v>
      </c>
      <c r="F387" s="34">
        <v>8.39</v>
      </c>
      <c r="G387" s="34">
        <v>8.1</v>
      </c>
    </row>
    <row r="388" spans="1:7" hidden="1" x14ac:dyDescent="0.2">
      <c r="A388" s="18">
        <v>43403</v>
      </c>
      <c r="B388" s="34">
        <v>8.6999999999999993</v>
      </c>
      <c r="C388" s="34">
        <v>8.3800000000000008</v>
      </c>
      <c r="D388" s="34">
        <v>8.94</v>
      </c>
      <c r="E388" s="34">
        <v>8.92</v>
      </c>
      <c r="F388" s="34">
        <v>8.57</v>
      </c>
      <c r="G388" s="34">
        <v>7.58</v>
      </c>
    </row>
    <row r="389" spans="1:7" hidden="1" x14ac:dyDescent="0.2">
      <c r="A389" s="18">
        <v>43487</v>
      </c>
      <c r="B389" s="34">
        <v>8.41</v>
      </c>
      <c r="C389" s="34">
        <v>8.2200000000000006</v>
      </c>
      <c r="D389" s="34">
        <v>8.4499999999999993</v>
      </c>
      <c r="E389" s="34"/>
      <c r="F389" s="34">
        <v>7.76</v>
      </c>
      <c r="G389" s="34">
        <v>8.44</v>
      </c>
    </row>
    <row r="390" spans="1:7" hidden="1" x14ac:dyDescent="0.2">
      <c r="A390" s="18">
        <v>43578</v>
      </c>
      <c r="B390" s="34">
        <v>8.17</v>
      </c>
      <c r="C390" s="34">
        <v>8.1</v>
      </c>
      <c r="D390" s="34">
        <v>8.18</v>
      </c>
      <c r="E390" s="34">
        <v>8.1300000000000008</v>
      </c>
      <c r="F390" s="34">
        <v>8.09</v>
      </c>
      <c r="G390" s="34">
        <v>8.09</v>
      </c>
    </row>
    <row r="391" spans="1:7" hidden="1" x14ac:dyDescent="0.2">
      <c r="A391" s="18">
        <v>43704</v>
      </c>
      <c r="B391" s="34">
        <v>8.33</v>
      </c>
      <c r="C391" s="34">
        <v>8.27</v>
      </c>
      <c r="D391" s="34">
        <v>8.23</v>
      </c>
      <c r="E391" s="34">
        <v>8.3699999999999992</v>
      </c>
      <c r="F391" s="34">
        <v>8.42</v>
      </c>
      <c r="G391" s="34">
        <v>7.41</v>
      </c>
    </row>
    <row r="392" spans="1:7" hidden="1" x14ac:dyDescent="0.2">
      <c r="A392" s="18">
        <v>43760</v>
      </c>
      <c r="B392" s="34">
        <v>8.0440000000000005</v>
      </c>
      <c r="C392" s="34">
        <v>8.1300000000000008</v>
      </c>
      <c r="D392" s="34">
        <v>8.11</v>
      </c>
      <c r="E392" s="34">
        <v>8.1199999999999992</v>
      </c>
      <c r="F392" s="34">
        <v>8.14</v>
      </c>
      <c r="G392" s="34">
        <v>7.93</v>
      </c>
    </row>
    <row r="393" spans="1:7" hidden="1" x14ac:dyDescent="0.2">
      <c r="A393" s="18">
        <v>44021</v>
      </c>
      <c r="B393" s="34">
        <v>8.39</v>
      </c>
      <c r="C393" s="34">
        <v>8.2899999999999991</v>
      </c>
      <c r="D393" s="34">
        <v>8.4700000000000006</v>
      </c>
      <c r="E393" s="34">
        <v>8.44</v>
      </c>
      <c r="F393" s="34">
        <v>8.4</v>
      </c>
      <c r="G393" s="34">
        <v>8.17</v>
      </c>
    </row>
    <row r="394" spans="1:7" hidden="1" x14ac:dyDescent="0.2"/>
    <row r="395" spans="1:7" hidden="1" x14ac:dyDescent="0.2"/>
    <row r="396" spans="1:7" hidden="1" x14ac:dyDescent="0.2">
      <c r="A396" s="34"/>
      <c r="B396" s="36" t="s">
        <v>60</v>
      </c>
    </row>
    <row r="397" spans="1:7" hidden="1" x14ac:dyDescent="0.2">
      <c r="A397" s="34"/>
      <c r="B397" s="29" t="s">
        <v>22</v>
      </c>
    </row>
    <row r="398" spans="1:7" hidden="1" x14ac:dyDescent="0.2">
      <c r="A398" s="12" t="s">
        <v>7</v>
      </c>
      <c r="B398" s="78" t="s">
        <v>9</v>
      </c>
      <c r="C398" s="77" t="s">
        <v>10</v>
      </c>
      <c r="D398" s="76" t="s">
        <v>11</v>
      </c>
      <c r="E398" s="75" t="s">
        <v>12</v>
      </c>
      <c r="F398" s="74" t="s">
        <v>13</v>
      </c>
      <c r="G398" s="27" t="s">
        <v>14</v>
      </c>
    </row>
    <row r="399" spans="1:7" hidden="1" x14ac:dyDescent="0.2">
      <c r="A399" s="18">
        <v>37046</v>
      </c>
      <c r="B399" s="34">
        <v>0</v>
      </c>
      <c r="C399" s="34">
        <v>18</v>
      </c>
      <c r="D399" s="34">
        <v>15</v>
      </c>
      <c r="E399" s="34">
        <v>6</v>
      </c>
      <c r="F399" s="34"/>
      <c r="G399" s="34"/>
    </row>
    <row r="400" spans="1:7" hidden="1" x14ac:dyDescent="0.2">
      <c r="A400" s="18">
        <v>37076</v>
      </c>
      <c r="B400" s="34">
        <v>14.5</v>
      </c>
      <c r="C400" s="34">
        <v>27.75</v>
      </c>
      <c r="D400" s="34">
        <v>23.5</v>
      </c>
      <c r="E400" s="34">
        <v>7</v>
      </c>
      <c r="F400" s="34"/>
      <c r="G400" s="34"/>
    </row>
    <row r="401" spans="1:7" hidden="1" x14ac:dyDescent="0.2">
      <c r="A401" s="18">
        <v>37335</v>
      </c>
      <c r="B401" s="34">
        <v>39.200000000000003</v>
      </c>
      <c r="C401" s="34">
        <v>17.600000000000001</v>
      </c>
      <c r="D401" s="34">
        <v>18</v>
      </c>
      <c r="E401" s="34">
        <v>32</v>
      </c>
      <c r="F401" s="34"/>
      <c r="G401" s="34"/>
    </row>
    <row r="402" spans="1:7" hidden="1" x14ac:dyDescent="0.2">
      <c r="A402" s="18">
        <v>37566</v>
      </c>
      <c r="B402" s="34"/>
      <c r="C402" s="34"/>
      <c r="D402" s="34"/>
      <c r="E402" s="34"/>
      <c r="F402" s="34"/>
      <c r="G402" s="34"/>
    </row>
    <row r="403" spans="1:7" hidden="1" x14ac:dyDescent="0.2">
      <c r="A403" s="18">
        <v>37594</v>
      </c>
      <c r="B403" s="34"/>
      <c r="C403" s="34"/>
      <c r="D403" s="34"/>
      <c r="E403" s="34"/>
      <c r="F403" s="34"/>
      <c r="G403" s="34"/>
    </row>
    <row r="404" spans="1:7" hidden="1" x14ac:dyDescent="0.2">
      <c r="A404" s="18">
        <v>37711</v>
      </c>
      <c r="B404" s="34"/>
      <c r="C404" s="34"/>
      <c r="D404" s="34"/>
      <c r="E404" s="34"/>
      <c r="F404" s="34"/>
      <c r="G404" s="34"/>
    </row>
    <row r="405" spans="1:7" hidden="1" x14ac:dyDescent="0.2">
      <c r="A405" s="18">
        <v>37739</v>
      </c>
      <c r="B405" s="34"/>
      <c r="C405" s="34"/>
      <c r="D405" s="34"/>
      <c r="E405" s="34"/>
      <c r="F405" s="34"/>
      <c r="G405" s="34"/>
    </row>
    <row r="406" spans="1:7" hidden="1" x14ac:dyDescent="0.2">
      <c r="A406" s="18">
        <v>37825</v>
      </c>
      <c r="B406" s="34"/>
      <c r="C406" s="34"/>
      <c r="D406" s="34"/>
      <c r="E406" s="34"/>
      <c r="F406" s="34"/>
      <c r="G406" s="34"/>
    </row>
    <row r="407" spans="1:7" hidden="1" x14ac:dyDescent="0.2">
      <c r="A407" s="18">
        <v>37888</v>
      </c>
      <c r="B407" s="34"/>
      <c r="C407" s="34"/>
      <c r="D407" s="34"/>
      <c r="E407" s="34"/>
      <c r="F407" s="34"/>
      <c r="G407" s="34"/>
    </row>
    <row r="408" spans="1:7" hidden="1" x14ac:dyDescent="0.2">
      <c r="A408" s="18">
        <v>37963</v>
      </c>
      <c r="B408" s="34"/>
      <c r="C408" s="34"/>
      <c r="D408" s="34"/>
      <c r="E408" s="34"/>
      <c r="F408" s="34"/>
      <c r="G408" s="34"/>
    </row>
    <row r="409" spans="1:7" hidden="1" x14ac:dyDescent="0.2">
      <c r="A409" s="18">
        <v>38012</v>
      </c>
      <c r="B409" s="34"/>
      <c r="C409" s="34"/>
      <c r="D409" s="34"/>
      <c r="E409" s="34"/>
      <c r="F409" s="34"/>
      <c r="G409" s="34"/>
    </row>
    <row r="410" spans="1:7" hidden="1" x14ac:dyDescent="0.2">
      <c r="A410" s="18">
        <v>38033</v>
      </c>
      <c r="B410" s="34"/>
      <c r="C410" s="34"/>
      <c r="D410" s="34"/>
      <c r="E410" s="34"/>
      <c r="F410" s="34"/>
      <c r="G410" s="34"/>
    </row>
    <row r="411" spans="1:7" hidden="1" x14ac:dyDescent="0.2">
      <c r="A411" s="18">
        <v>38271</v>
      </c>
      <c r="B411" s="34">
        <v>10</v>
      </c>
      <c r="C411" s="34">
        <v>6.7</v>
      </c>
      <c r="D411" s="34">
        <v>3</v>
      </c>
      <c r="E411" s="34">
        <v>7.3</v>
      </c>
      <c r="F411" s="34"/>
      <c r="G411" s="34"/>
    </row>
    <row r="412" spans="1:7" hidden="1" x14ac:dyDescent="0.2">
      <c r="A412" s="18">
        <v>38474</v>
      </c>
      <c r="B412" s="34"/>
      <c r="C412" s="34"/>
      <c r="D412" s="34"/>
      <c r="E412" s="34"/>
      <c r="F412" s="34"/>
      <c r="G412" s="34"/>
    </row>
    <row r="413" spans="1:7" hidden="1" x14ac:dyDescent="0.2">
      <c r="A413" s="18">
        <v>38896</v>
      </c>
      <c r="B413" s="34">
        <v>5.2</v>
      </c>
      <c r="C413" s="34">
        <v>5.2</v>
      </c>
      <c r="D413" s="34">
        <v>0.8</v>
      </c>
      <c r="E413" s="34">
        <v>1.6</v>
      </c>
      <c r="F413" s="34"/>
      <c r="G413" s="34"/>
    </row>
    <row r="414" spans="1:7" hidden="1" x14ac:dyDescent="0.2">
      <c r="A414" s="18">
        <v>40625</v>
      </c>
      <c r="B414" s="34">
        <v>2</v>
      </c>
      <c r="C414" s="34">
        <v>6.4</v>
      </c>
      <c r="D414" s="34">
        <v>8.4</v>
      </c>
      <c r="E414" s="34">
        <v>17.600000000000001</v>
      </c>
      <c r="F414" s="34">
        <v>5.6</v>
      </c>
      <c r="G414" s="34">
        <v>6</v>
      </c>
    </row>
    <row r="415" spans="1:7" hidden="1" x14ac:dyDescent="0.2">
      <c r="A415" s="18">
        <v>40716</v>
      </c>
      <c r="B415" s="34"/>
      <c r="C415" s="34"/>
      <c r="D415" s="34"/>
      <c r="E415" s="34"/>
      <c r="F415" s="34"/>
      <c r="G415" s="34"/>
    </row>
    <row r="416" spans="1:7" hidden="1" x14ac:dyDescent="0.2">
      <c r="A416" s="18">
        <v>40821</v>
      </c>
      <c r="B416" s="34">
        <v>5.2</v>
      </c>
      <c r="C416" s="34">
        <v>2.8</v>
      </c>
      <c r="D416" s="34">
        <v>2.8</v>
      </c>
      <c r="E416" s="34">
        <v>3.2</v>
      </c>
      <c r="F416" s="34">
        <v>4.4000000000000004</v>
      </c>
      <c r="G416" s="34">
        <v>7.6</v>
      </c>
    </row>
    <row r="417" spans="1:7" hidden="1" x14ac:dyDescent="0.2">
      <c r="A417" s="18">
        <v>40897</v>
      </c>
      <c r="B417" s="34"/>
      <c r="C417" s="34"/>
      <c r="D417" s="34"/>
      <c r="E417" s="34"/>
      <c r="F417" s="34"/>
      <c r="G417" s="34"/>
    </row>
    <row r="418" spans="1:7" hidden="1" x14ac:dyDescent="0.2">
      <c r="A418" s="18">
        <v>41008</v>
      </c>
      <c r="B418" s="34">
        <v>26</v>
      </c>
      <c r="C418" s="34">
        <v>28</v>
      </c>
      <c r="D418" s="34">
        <v>18.670000000000002</v>
      </c>
      <c r="E418" s="34">
        <v>61.6</v>
      </c>
      <c r="F418" s="34">
        <v>52</v>
      </c>
      <c r="G418" s="34">
        <v>34.799999999999997</v>
      </c>
    </row>
    <row r="419" spans="1:7" hidden="1" x14ac:dyDescent="0.2">
      <c r="A419" s="18">
        <v>41086</v>
      </c>
      <c r="B419" s="34"/>
      <c r="C419" s="34"/>
      <c r="D419" s="34"/>
      <c r="E419" s="34"/>
      <c r="F419" s="34"/>
      <c r="G419" s="34"/>
    </row>
    <row r="420" spans="1:7" hidden="1" x14ac:dyDescent="0.2">
      <c r="A420" s="18">
        <v>41179</v>
      </c>
      <c r="B420" s="34">
        <v>9.6</v>
      </c>
      <c r="C420" s="34">
        <v>10.4</v>
      </c>
      <c r="D420" s="34">
        <v>2.4</v>
      </c>
      <c r="E420" s="34">
        <v>5.6</v>
      </c>
      <c r="F420" s="34">
        <v>0.8</v>
      </c>
      <c r="G420" s="34">
        <v>9.6</v>
      </c>
    </row>
    <row r="421" spans="1:7" hidden="1" x14ac:dyDescent="0.2">
      <c r="A421" s="18">
        <v>41247</v>
      </c>
      <c r="B421" s="34"/>
      <c r="C421" s="34"/>
      <c r="D421" s="34"/>
      <c r="E421" s="34"/>
      <c r="F421" s="34"/>
      <c r="G421" s="34"/>
    </row>
    <row r="422" spans="1:7" hidden="1" x14ac:dyDescent="0.2">
      <c r="A422" s="18">
        <v>41352</v>
      </c>
      <c r="B422" s="34">
        <v>1.2</v>
      </c>
      <c r="C422" s="34">
        <v>4</v>
      </c>
      <c r="D422" s="34">
        <v>2</v>
      </c>
      <c r="E422" s="34">
        <v>6</v>
      </c>
      <c r="F422" s="34">
        <v>1.6</v>
      </c>
      <c r="G422" s="34">
        <v>6.4</v>
      </c>
    </row>
    <row r="423" spans="1:7" hidden="1" x14ac:dyDescent="0.2">
      <c r="A423" s="18">
        <v>41445</v>
      </c>
      <c r="B423" s="34"/>
      <c r="C423" s="34"/>
      <c r="D423" s="34"/>
      <c r="E423" s="34"/>
      <c r="F423" s="34"/>
      <c r="G423" s="34"/>
    </row>
    <row r="424" spans="1:7" hidden="1" x14ac:dyDescent="0.2">
      <c r="A424" s="18">
        <v>41528</v>
      </c>
      <c r="B424" s="34">
        <v>12.8</v>
      </c>
      <c r="C424" s="34">
        <v>51.6</v>
      </c>
      <c r="D424" s="34">
        <v>45.2</v>
      </c>
      <c r="E424" s="34">
        <v>18.8</v>
      </c>
      <c r="F424" s="34">
        <v>20</v>
      </c>
      <c r="G424" s="34">
        <v>62.4</v>
      </c>
    </row>
    <row r="425" spans="1:7" hidden="1" x14ac:dyDescent="0.2">
      <c r="A425" s="18">
        <v>41670</v>
      </c>
      <c r="B425" s="34"/>
      <c r="C425" s="34"/>
      <c r="D425" s="34"/>
      <c r="E425" s="34"/>
      <c r="F425" s="34"/>
      <c r="G425" s="34"/>
    </row>
    <row r="426" spans="1:7" hidden="1" x14ac:dyDescent="0.2">
      <c r="A426" s="18">
        <v>41758</v>
      </c>
      <c r="B426" s="34">
        <v>10.4</v>
      </c>
      <c r="C426" s="34">
        <v>10</v>
      </c>
      <c r="D426" s="34">
        <v>11.6</v>
      </c>
      <c r="E426" s="34">
        <v>12.4</v>
      </c>
      <c r="F426" s="34">
        <v>10.4</v>
      </c>
      <c r="G426" s="34">
        <v>6</v>
      </c>
    </row>
    <row r="427" spans="1:7" hidden="1" x14ac:dyDescent="0.2">
      <c r="A427" s="18">
        <v>41835</v>
      </c>
      <c r="B427" s="34"/>
      <c r="C427" s="34"/>
      <c r="D427" s="34"/>
      <c r="E427" s="34"/>
      <c r="F427" s="34"/>
      <c r="G427" s="34"/>
    </row>
    <row r="428" spans="1:7" hidden="1" x14ac:dyDescent="0.2">
      <c r="A428" s="18">
        <v>42031</v>
      </c>
      <c r="B428" s="34"/>
      <c r="C428" s="34"/>
      <c r="D428" s="34"/>
      <c r="E428" s="34"/>
      <c r="F428" s="34"/>
      <c r="G428" s="34"/>
    </row>
    <row r="429" spans="1:7" hidden="1" x14ac:dyDescent="0.2">
      <c r="A429" s="18">
        <v>42094</v>
      </c>
      <c r="B429" s="34">
        <v>34</v>
      </c>
      <c r="C429" s="34">
        <v>2.4</v>
      </c>
      <c r="D429" s="34">
        <v>6</v>
      </c>
      <c r="E429" s="34">
        <v>40.4</v>
      </c>
      <c r="F429" s="34">
        <v>8.4</v>
      </c>
      <c r="G429" s="34">
        <v>55.6</v>
      </c>
    </row>
    <row r="430" spans="1:7" hidden="1" x14ac:dyDescent="0.2">
      <c r="A430" s="18">
        <v>42192</v>
      </c>
      <c r="B430" s="34"/>
      <c r="C430" s="34"/>
      <c r="D430" s="34"/>
      <c r="E430" s="34"/>
      <c r="F430" s="34"/>
      <c r="G430" s="34"/>
    </row>
    <row r="431" spans="1:7" hidden="1" x14ac:dyDescent="0.2">
      <c r="A431" s="18">
        <v>42290</v>
      </c>
      <c r="B431" s="34">
        <v>11.6</v>
      </c>
      <c r="C431" s="34">
        <v>7.2</v>
      </c>
      <c r="D431" s="34">
        <v>8</v>
      </c>
      <c r="E431" s="34">
        <v>10</v>
      </c>
      <c r="F431" s="34">
        <v>7.2</v>
      </c>
      <c r="G431" s="34"/>
    </row>
    <row r="432" spans="1:7" hidden="1" x14ac:dyDescent="0.2">
      <c r="A432" s="18">
        <v>42381</v>
      </c>
      <c r="B432" s="34"/>
      <c r="C432" s="34"/>
      <c r="D432" s="34"/>
      <c r="E432" s="34"/>
      <c r="F432" s="34"/>
      <c r="G432" s="34"/>
    </row>
    <row r="433" spans="1:7" hidden="1" x14ac:dyDescent="0.2">
      <c r="A433" s="18">
        <v>42479</v>
      </c>
      <c r="B433" s="34">
        <v>18.399999999999999</v>
      </c>
      <c r="C433" s="34">
        <v>12.8</v>
      </c>
      <c r="D433" s="34">
        <v>3.6</v>
      </c>
      <c r="E433" s="34">
        <v>2.8</v>
      </c>
      <c r="F433" s="34">
        <v>9.1999999999999993</v>
      </c>
      <c r="G433" s="34">
        <v>9.1999999999999993</v>
      </c>
    </row>
    <row r="434" spans="1:7" hidden="1" x14ac:dyDescent="0.2">
      <c r="A434" s="18">
        <v>42570</v>
      </c>
      <c r="B434" s="34"/>
      <c r="C434" s="34"/>
      <c r="D434" s="34"/>
      <c r="E434" s="34"/>
      <c r="F434" s="34"/>
      <c r="G434" s="34"/>
    </row>
    <row r="435" spans="1:7" hidden="1" x14ac:dyDescent="0.2">
      <c r="A435" s="18">
        <v>42654</v>
      </c>
      <c r="B435" s="34">
        <v>3.2</v>
      </c>
      <c r="C435" s="34">
        <v>11.9</v>
      </c>
      <c r="D435" s="34">
        <v>14.8</v>
      </c>
      <c r="E435" s="34">
        <v>7.6</v>
      </c>
      <c r="F435" s="34">
        <v>9.1999999999999993</v>
      </c>
      <c r="G435" s="34">
        <v>4.8</v>
      </c>
    </row>
    <row r="436" spans="1:7" hidden="1" x14ac:dyDescent="0.2">
      <c r="A436" s="18">
        <v>42745</v>
      </c>
      <c r="B436" s="34"/>
      <c r="C436" s="34"/>
      <c r="D436" s="34"/>
      <c r="E436" s="34"/>
      <c r="F436" s="34"/>
      <c r="G436" s="34"/>
    </row>
    <row r="437" spans="1:7" hidden="1" x14ac:dyDescent="0.2">
      <c r="A437" s="18">
        <v>42843</v>
      </c>
      <c r="B437" s="34">
        <v>3.6</v>
      </c>
      <c r="C437" s="34">
        <v>2</v>
      </c>
      <c r="D437" s="34">
        <v>2.8</v>
      </c>
      <c r="E437" s="34">
        <v>7.6</v>
      </c>
      <c r="F437" s="34">
        <v>6.8</v>
      </c>
      <c r="G437" s="34">
        <v>5.6</v>
      </c>
    </row>
    <row r="438" spans="1:7" hidden="1" x14ac:dyDescent="0.2">
      <c r="A438" s="18">
        <v>42934</v>
      </c>
      <c r="B438" s="34"/>
      <c r="C438" s="34"/>
      <c r="D438" s="34"/>
      <c r="E438" s="34"/>
      <c r="F438" s="34"/>
      <c r="G438" s="34"/>
    </row>
    <row r="439" spans="1:7" hidden="1" x14ac:dyDescent="0.2">
      <c r="A439" s="18">
        <v>43025</v>
      </c>
      <c r="B439" s="34">
        <v>10</v>
      </c>
      <c r="C439" s="34">
        <v>4.4000000000000004</v>
      </c>
      <c r="D439" s="34">
        <v>10.4</v>
      </c>
      <c r="E439" s="34">
        <v>12</v>
      </c>
      <c r="F439" s="34">
        <v>16.8</v>
      </c>
      <c r="G439" s="34">
        <v>5.2</v>
      </c>
    </row>
    <row r="440" spans="1:7" hidden="1" x14ac:dyDescent="0.2">
      <c r="A440" s="18">
        <v>43109</v>
      </c>
      <c r="B440" s="34">
        <v>8.4</v>
      </c>
      <c r="C440" s="34">
        <v>5.2</v>
      </c>
      <c r="D440" s="34">
        <v>6.8</v>
      </c>
      <c r="E440" s="34">
        <v>3.2</v>
      </c>
      <c r="F440" s="34">
        <v>17.600000000000001</v>
      </c>
      <c r="G440" s="34">
        <v>31.2</v>
      </c>
    </row>
    <row r="441" spans="1:7" hidden="1" x14ac:dyDescent="0.2">
      <c r="A441" s="18">
        <v>43193</v>
      </c>
      <c r="B441" s="34">
        <v>8</v>
      </c>
      <c r="C441" s="34">
        <v>6.8</v>
      </c>
      <c r="D441" s="34">
        <v>12</v>
      </c>
      <c r="E441" s="34">
        <v>10.4</v>
      </c>
      <c r="F441" s="34">
        <v>2.8</v>
      </c>
      <c r="G441" s="34">
        <v>25.6</v>
      </c>
    </row>
    <row r="442" spans="1:7" hidden="1" x14ac:dyDescent="0.2">
      <c r="A442" s="18">
        <v>43298</v>
      </c>
      <c r="B442" s="34"/>
      <c r="C442" s="34"/>
      <c r="D442" s="34"/>
      <c r="E442" s="34"/>
      <c r="F442" s="34"/>
      <c r="G442" s="34"/>
    </row>
    <row r="443" spans="1:7" hidden="1" x14ac:dyDescent="0.2">
      <c r="A443" s="18">
        <v>43403</v>
      </c>
      <c r="B443" s="34">
        <v>4.4000000000000004</v>
      </c>
      <c r="C443" s="34">
        <v>7.6</v>
      </c>
      <c r="D443" s="34">
        <v>13.6</v>
      </c>
      <c r="E443" s="34">
        <v>8.4</v>
      </c>
      <c r="F443" s="34">
        <v>4.4000000000000004</v>
      </c>
      <c r="G443" s="34">
        <v>0</v>
      </c>
    </row>
    <row r="444" spans="1:7" hidden="1" x14ac:dyDescent="0.2">
      <c r="A444" s="18">
        <v>43487</v>
      </c>
      <c r="B444" s="34"/>
      <c r="C444" s="34"/>
      <c r="D444" s="34"/>
      <c r="E444" s="34"/>
      <c r="F444" s="34"/>
      <c r="G444" s="34"/>
    </row>
    <row r="445" spans="1:7" hidden="1" x14ac:dyDescent="0.2">
      <c r="A445" s="18">
        <v>43578</v>
      </c>
      <c r="B445" s="34">
        <v>18.399999999999999</v>
      </c>
      <c r="C445" s="34">
        <v>28.4</v>
      </c>
      <c r="D445" s="34">
        <v>18.399999999999999</v>
      </c>
      <c r="E445" s="34">
        <v>22.8</v>
      </c>
      <c r="F445" s="34">
        <v>6</v>
      </c>
      <c r="G445" s="34">
        <v>12.4</v>
      </c>
    </row>
    <row r="446" spans="1:7" hidden="1" x14ac:dyDescent="0.2">
      <c r="A446" s="18">
        <v>43704</v>
      </c>
      <c r="B446" s="34"/>
      <c r="C446" s="34"/>
      <c r="D446" s="34"/>
      <c r="E446" s="34"/>
      <c r="F446" s="34"/>
      <c r="G446" s="34"/>
    </row>
    <row r="447" spans="1:7" hidden="1" x14ac:dyDescent="0.2">
      <c r="A447" s="18">
        <v>43760</v>
      </c>
      <c r="B447" s="34">
        <v>8.5</v>
      </c>
      <c r="C447" s="34">
        <v>9.5</v>
      </c>
      <c r="D447" s="34">
        <v>10</v>
      </c>
      <c r="E447" s="34">
        <v>11</v>
      </c>
      <c r="F447" s="34">
        <v>10.5</v>
      </c>
      <c r="G447" s="34">
        <v>16</v>
      </c>
    </row>
    <row r="448" spans="1:7" hidden="1" x14ac:dyDescent="0.2">
      <c r="A448" s="18">
        <v>44021</v>
      </c>
      <c r="B448" s="34">
        <v>4.8</v>
      </c>
      <c r="C448" s="34">
        <v>10.8</v>
      </c>
      <c r="D448" s="34">
        <v>0</v>
      </c>
      <c r="E448" s="34">
        <v>6.8</v>
      </c>
      <c r="F448" s="34">
        <v>10.8</v>
      </c>
      <c r="G448" s="34">
        <v>5.6</v>
      </c>
    </row>
    <row r="449" spans="1:7" hidden="1" x14ac:dyDescent="0.2"/>
    <row r="450" spans="1:7" hidden="1" x14ac:dyDescent="0.2"/>
    <row r="451" spans="1:7" hidden="1" x14ac:dyDescent="0.2">
      <c r="A451" s="34"/>
      <c r="B451" s="36" t="s">
        <v>74</v>
      </c>
    </row>
    <row r="452" spans="1:7" hidden="1" x14ac:dyDescent="0.2">
      <c r="A452" s="34"/>
      <c r="B452" s="29" t="s">
        <v>75</v>
      </c>
    </row>
    <row r="453" spans="1:7" hidden="1" x14ac:dyDescent="0.2">
      <c r="A453" s="12" t="s">
        <v>7</v>
      </c>
      <c r="B453" s="78" t="s">
        <v>9</v>
      </c>
      <c r="C453" s="77" t="s">
        <v>10</v>
      </c>
      <c r="D453" s="76" t="s">
        <v>11</v>
      </c>
      <c r="E453" s="75" t="s">
        <v>12</v>
      </c>
      <c r="F453" s="74" t="s">
        <v>13</v>
      </c>
      <c r="G453" s="27" t="s">
        <v>14</v>
      </c>
    </row>
    <row r="454" spans="1:7" hidden="1" x14ac:dyDescent="0.2">
      <c r="A454" s="18">
        <v>37046</v>
      </c>
      <c r="B454" s="34"/>
      <c r="C454" s="34"/>
      <c r="D454" s="34"/>
      <c r="E454" s="34"/>
      <c r="F454" s="34"/>
      <c r="G454" s="34"/>
    </row>
    <row r="455" spans="1:7" hidden="1" x14ac:dyDescent="0.2">
      <c r="A455" s="18">
        <v>37076</v>
      </c>
      <c r="B455" s="34">
        <v>169.7</v>
      </c>
      <c r="C455" s="34">
        <v>341.1</v>
      </c>
      <c r="D455" s="34">
        <v>218.2</v>
      </c>
      <c r="E455" s="34">
        <v>240.2</v>
      </c>
      <c r="F455" s="34"/>
      <c r="G455" s="34"/>
    </row>
    <row r="456" spans="1:7" hidden="1" x14ac:dyDescent="0.2">
      <c r="A456" s="18">
        <v>37335</v>
      </c>
      <c r="B456" s="34">
        <v>257.2</v>
      </c>
      <c r="C456" s="34">
        <v>30</v>
      </c>
      <c r="D456" s="34">
        <v>821.7</v>
      </c>
      <c r="E456" s="34">
        <v>1111</v>
      </c>
      <c r="F456" s="34"/>
      <c r="G456" s="34"/>
    </row>
    <row r="457" spans="1:7" hidden="1" x14ac:dyDescent="0.2">
      <c r="A457" s="18">
        <v>37566</v>
      </c>
      <c r="B457" s="34"/>
      <c r="C457" s="34"/>
      <c r="D457" s="34"/>
      <c r="E457" s="34"/>
      <c r="F457" s="34"/>
      <c r="G457" s="34"/>
    </row>
    <row r="458" spans="1:7" hidden="1" x14ac:dyDescent="0.2">
      <c r="A458" s="18">
        <v>37594</v>
      </c>
      <c r="B458" s="34"/>
      <c r="C458" s="34"/>
      <c r="D458" s="34"/>
      <c r="E458" s="34"/>
      <c r="F458" s="34"/>
      <c r="G458" s="34"/>
    </row>
    <row r="459" spans="1:7" hidden="1" x14ac:dyDescent="0.2">
      <c r="A459" s="18">
        <v>37711</v>
      </c>
      <c r="B459" s="34"/>
      <c r="C459" s="34"/>
      <c r="D459" s="34"/>
      <c r="E459" s="34"/>
      <c r="F459" s="34"/>
      <c r="G459" s="34"/>
    </row>
    <row r="460" spans="1:7" hidden="1" x14ac:dyDescent="0.2">
      <c r="A460" s="18">
        <v>37739</v>
      </c>
      <c r="B460" s="34"/>
      <c r="C460" s="34"/>
      <c r="D460" s="34"/>
      <c r="E460" s="34"/>
      <c r="F460" s="34"/>
      <c r="G460" s="34"/>
    </row>
    <row r="461" spans="1:7" hidden="1" x14ac:dyDescent="0.2">
      <c r="A461" s="18">
        <v>37825</v>
      </c>
      <c r="B461" s="34"/>
      <c r="C461" s="34"/>
      <c r="D461" s="34"/>
      <c r="E461" s="34"/>
      <c r="F461" s="34"/>
      <c r="G461" s="34"/>
    </row>
    <row r="462" spans="1:7" hidden="1" x14ac:dyDescent="0.2">
      <c r="A462" s="18">
        <v>37888</v>
      </c>
      <c r="B462" s="34"/>
      <c r="C462" s="34"/>
      <c r="D462" s="34"/>
      <c r="E462" s="34"/>
      <c r="F462" s="34"/>
      <c r="G462" s="34"/>
    </row>
    <row r="463" spans="1:7" hidden="1" x14ac:dyDescent="0.2">
      <c r="A463" s="18">
        <v>37963</v>
      </c>
      <c r="B463" s="34"/>
      <c r="C463" s="34"/>
      <c r="D463" s="34"/>
      <c r="E463" s="34"/>
      <c r="F463" s="34"/>
      <c r="G463" s="34"/>
    </row>
    <row r="464" spans="1:7" hidden="1" x14ac:dyDescent="0.2">
      <c r="A464" s="18">
        <v>38012</v>
      </c>
      <c r="B464" s="34"/>
      <c r="C464" s="34"/>
      <c r="D464" s="34"/>
      <c r="E464" s="34"/>
      <c r="F464" s="34"/>
      <c r="G464" s="34"/>
    </row>
    <row r="465" spans="1:7" hidden="1" x14ac:dyDescent="0.2">
      <c r="A465" s="18">
        <v>38033</v>
      </c>
      <c r="B465" s="34"/>
      <c r="C465" s="34"/>
      <c r="D465" s="34"/>
      <c r="E465" s="34"/>
      <c r="F465" s="34"/>
      <c r="G465" s="34"/>
    </row>
    <row r="466" spans="1:7" hidden="1" x14ac:dyDescent="0.2">
      <c r="A466" s="18">
        <v>38271</v>
      </c>
      <c r="B466" s="34">
        <v>253.6</v>
      </c>
      <c r="C466" s="34">
        <v>222.6</v>
      </c>
      <c r="D466" s="34">
        <v>228.3</v>
      </c>
      <c r="E466" s="34">
        <v>1405</v>
      </c>
      <c r="F466" s="34"/>
      <c r="G466" s="34"/>
    </row>
    <row r="467" spans="1:7" hidden="1" x14ac:dyDescent="0.2">
      <c r="A467" s="18">
        <v>38474</v>
      </c>
      <c r="B467" s="34"/>
      <c r="C467" s="34"/>
      <c r="D467" s="34"/>
      <c r="E467" s="34"/>
      <c r="F467" s="34"/>
      <c r="G467" s="34"/>
    </row>
    <row r="468" spans="1:7" hidden="1" x14ac:dyDescent="0.2">
      <c r="A468" s="18">
        <v>38896</v>
      </c>
      <c r="B468" s="34">
        <v>207</v>
      </c>
      <c r="C468" s="34">
        <v>76.2</v>
      </c>
      <c r="D468" s="34">
        <v>30</v>
      </c>
      <c r="E468" s="34">
        <v>30</v>
      </c>
      <c r="F468" s="34"/>
      <c r="G468" s="34"/>
    </row>
    <row r="469" spans="1:7" hidden="1" x14ac:dyDescent="0.2">
      <c r="A469" s="18">
        <v>40625</v>
      </c>
      <c r="B469" s="34">
        <v>1965</v>
      </c>
      <c r="C469" s="34">
        <v>2533</v>
      </c>
      <c r="D469" s="34">
        <v>3932</v>
      </c>
      <c r="E469" s="34">
        <v>7656</v>
      </c>
      <c r="F469" s="34">
        <v>5269</v>
      </c>
      <c r="G469" s="34">
        <v>1186</v>
      </c>
    </row>
    <row r="470" spans="1:7" hidden="1" x14ac:dyDescent="0.2">
      <c r="A470" s="18">
        <v>40716</v>
      </c>
      <c r="B470" s="34"/>
      <c r="C470" s="34"/>
      <c r="D470" s="34"/>
      <c r="E470" s="34"/>
      <c r="F470" s="34"/>
      <c r="G470" s="34"/>
    </row>
    <row r="471" spans="1:7" hidden="1" x14ac:dyDescent="0.2">
      <c r="A471" s="18">
        <v>40821</v>
      </c>
      <c r="B471" s="34">
        <v>20140</v>
      </c>
      <c r="C471" s="34">
        <v>13960</v>
      </c>
      <c r="D471" s="34">
        <v>17020</v>
      </c>
      <c r="E471" s="34">
        <v>16970</v>
      </c>
      <c r="F471" s="34">
        <v>20810</v>
      </c>
      <c r="G471" s="34">
        <v>704.5</v>
      </c>
    </row>
    <row r="472" spans="1:7" hidden="1" x14ac:dyDescent="0.2">
      <c r="A472" s="18">
        <v>40897</v>
      </c>
      <c r="B472" s="34"/>
      <c r="C472" s="34"/>
      <c r="D472" s="34"/>
      <c r="E472" s="34"/>
      <c r="F472" s="34"/>
      <c r="G472" s="34"/>
    </row>
    <row r="473" spans="1:7" hidden="1" x14ac:dyDescent="0.2">
      <c r="A473" s="18">
        <v>41008</v>
      </c>
      <c r="B473" s="34">
        <v>1149</v>
      </c>
      <c r="C473" s="34">
        <v>3296</v>
      </c>
      <c r="D473" s="34">
        <v>64810</v>
      </c>
      <c r="E473" s="34">
        <v>8639</v>
      </c>
      <c r="F473" s="34">
        <v>3998</v>
      </c>
      <c r="G473" s="34">
        <v>144.1</v>
      </c>
    </row>
    <row r="474" spans="1:7" hidden="1" x14ac:dyDescent="0.2">
      <c r="A474" s="18">
        <v>41086</v>
      </c>
      <c r="B474" s="34"/>
      <c r="C474" s="34"/>
      <c r="D474" s="34"/>
      <c r="E474" s="34"/>
      <c r="F474" s="34"/>
      <c r="G474" s="34"/>
    </row>
    <row r="475" spans="1:7" hidden="1" x14ac:dyDescent="0.2">
      <c r="A475" s="18">
        <v>41179</v>
      </c>
      <c r="B475" s="34">
        <v>35.1</v>
      </c>
      <c r="C475" s="34">
        <v>46.9</v>
      </c>
      <c r="D475" s="34">
        <v>86.2</v>
      </c>
      <c r="E475" s="34">
        <v>58.1</v>
      </c>
      <c r="F475" s="34">
        <v>79</v>
      </c>
      <c r="G475" s="34">
        <v>351</v>
      </c>
    </row>
    <row r="476" spans="1:7" hidden="1" x14ac:dyDescent="0.2">
      <c r="A476" s="18">
        <v>41247</v>
      </c>
      <c r="B476" s="34"/>
      <c r="C476" s="34"/>
      <c r="D476" s="34"/>
      <c r="E476" s="34"/>
      <c r="F476" s="34"/>
      <c r="G476" s="34"/>
    </row>
    <row r="477" spans="1:7" hidden="1" x14ac:dyDescent="0.2">
      <c r="A477" s="18">
        <v>41352</v>
      </c>
      <c r="B477" s="34">
        <v>13354</v>
      </c>
      <c r="C477" s="34">
        <v>11264</v>
      </c>
      <c r="D477" s="34">
        <v>10413.700000000001</v>
      </c>
      <c r="E477" s="34">
        <v>12837</v>
      </c>
      <c r="F477" s="34">
        <v>12815</v>
      </c>
      <c r="G477" s="34">
        <v>170.2</v>
      </c>
    </row>
    <row r="478" spans="1:7" hidden="1" x14ac:dyDescent="0.2">
      <c r="A478" s="18">
        <v>41445</v>
      </c>
      <c r="B478" s="34"/>
      <c r="C478" s="34"/>
      <c r="D478" s="34"/>
      <c r="E478" s="34"/>
      <c r="F478" s="34"/>
      <c r="G478" s="34"/>
    </row>
    <row r="479" spans="1:7" hidden="1" x14ac:dyDescent="0.2">
      <c r="A479" s="18">
        <v>41528</v>
      </c>
      <c r="B479" s="34">
        <v>93.6</v>
      </c>
      <c r="C479" s="34">
        <v>98.7</v>
      </c>
      <c r="D479" s="34">
        <v>55.6</v>
      </c>
      <c r="E479" s="34">
        <v>102.3</v>
      </c>
      <c r="F479" s="34">
        <v>244.2</v>
      </c>
      <c r="G479" s="34">
        <v>58.1</v>
      </c>
    </row>
    <row r="480" spans="1:7" hidden="1" x14ac:dyDescent="0.2">
      <c r="A480" s="18">
        <v>41670</v>
      </c>
      <c r="B480" s="34"/>
      <c r="C480" s="34"/>
      <c r="D480" s="34"/>
      <c r="E480" s="34"/>
      <c r="F480" s="34"/>
      <c r="G480" s="34"/>
    </row>
    <row r="481" spans="1:7" hidden="1" x14ac:dyDescent="0.2">
      <c r="A481" s="18">
        <v>41758</v>
      </c>
      <c r="B481" s="34">
        <v>827</v>
      </c>
      <c r="C481" s="34">
        <v>805.9</v>
      </c>
      <c r="D481" s="34">
        <v>916.2</v>
      </c>
      <c r="E481" s="34">
        <v>2808.3</v>
      </c>
      <c r="F481" s="34">
        <v>1683</v>
      </c>
      <c r="G481" s="34">
        <v>1334.3</v>
      </c>
    </row>
    <row r="482" spans="1:7" hidden="1" x14ac:dyDescent="0.2">
      <c r="A482" s="18">
        <v>41835</v>
      </c>
      <c r="B482" s="34"/>
      <c r="C482" s="34"/>
      <c r="D482" s="34"/>
      <c r="E482" s="34"/>
      <c r="F482" s="34"/>
      <c r="G482" s="34"/>
    </row>
    <row r="483" spans="1:7" hidden="1" x14ac:dyDescent="0.2">
      <c r="A483" s="18">
        <v>42031</v>
      </c>
      <c r="B483" s="34"/>
      <c r="C483" s="34"/>
      <c r="D483" s="34"/>
      <c r="E483" s="34"/>
      <c r="F483" s="34"/>
      <c r="G483" s="34"/>
    </row>
    <row r="484" spans="1:7" hidden="1" x14ac:dyDescent="0.2">
      <c r="A484" s="18">
        <v>42094</v>
      </c>
      <c r="B484" s="34">
        <v>4583.7</v>
      </c>
      <c r="C484" s="34">
        <v>4760.8</v>
      </c>
      <c r="D484" s="34">
        <v>9566.7000000000007</v>
      </c>
      <c r="E484" s="34">
        <v>19096</v>
      </c>
      <c r="F484" s="34">
        <v>9013.4</v>
      </c>
      <c r="G484" s="34">
        <v>4251.5</v>
      </c>
    </row>
    <row r="485" spans="1:7" hidden="1" x14ac:dyDescent="0.2">
      <c r="A485" s="18">
        <v>42192</v>
      </c>
      <c r="B485" s="34"/>
      <c r="C485" s="34"/>
      <c r="D485" s="34"/>
      <c r="E485" s="34"/>
      <c r="F485" s="34"/>
      <c r="G485" s="34"/>
    </row>
    <row r="486" spans="1:7" hidden="1" x14ac:dyDescent="0.2">
      <c r="A486" s="18">
        <v>42290</v>
      </c>
      <c r="B486" s="34">
        <v>119.1</v>
      </c>
      <c r="C486" s="34">
        <v>235.1</v>
      </c>
      <c r="D486" s="34">
        <v>302.10000000000002</v>
      </c>
      <c r="E486" s="34">
        <v>200.5</v>
      </c>
      <c r="F486" s="34">
        <v>246.1</v>
      </c>
      <c r="G486" s="34"/>
    </row>
    <row r="487" spans="1:7" hidden="1" x14ac:dyDescent="0.2">
      <c r="A487" s="18">
        <v>42381</v>
      </c>
      <c r="B487" s="34"/>
      <c r="C487" s="34"/>
      <c r="D487" s="34"/>
      <c r="E487" s="34"/>
      <c r="F487" s="34"/>
      <c r="G487" s="34"/>
    </row>
    <row r="488" spans="1:7" hidden="1" x14ac:dyDescent="0.2">
      <c r="A488" s="18">
        <v>42479</v>
      </c>
      <c r="B488" s="34">
        <v>1250.7</v>
      </c>
      <c r="C488" s="34">
        <v>999.6</v>
      </c>
      <c r="D488" s="34">
        <v>1109.9000000000001</v>
      </c>
      <c r="E488" s="34">
        <v>1636.8</v>
      </c>
      <c r="F488" s="34">
        <v>1268.3</v>
      </c>
      <c r="G488" s="34">
        <v>183.6</v>
      </c>
    </row>
    <row r="489" spans="1:7" hidden="1" x14ac:dyDescent="0.2">
      <c r="A489" s="18">
        <v>42570</v>
      </c>
      <c r="B489" s="34"/>
      <c r="C489" s="34"/>
      <c r="D489" s="34"/>
      <c r="E489" s="34"/>
      <c r="F489" s="34"/>
      <c r="G489" s="34"/>
    </row>
    <row r="490" spans="1:7" hidden="1" x14ac:dyDescent="0.2">
      <c r="A490" s="18">
        <v>42654</v>
      </c>
      <c r="B490" s="34">
        <v>1634.6</v>
      </c>
      <c r="C490" s="34">
        <v>1217.7</v>
      </c>
      <c r="D490" s="34">
        <v>1195.7</v>
      </c>
      <c r="E490" s="34">
        <v>921.7</v>
      </c>
      <c r="F490" s="34">
        <v>1675.3</v>
      </c>
      <c r="G490" s="34">
        <v>377</v>
      </c>
    </row>
    <row r="491" spans="1:7" hidden="1" x14ac:dyDescent="0.2">
      <c r="A491" s="18">
        <v>42745</v>
      </c>
      <c r="B491" s="34">
        <v>6098.4</v>
      </c>
      <c r="C491" s="34">
        <v>7269.9</v>
      </c>
      <c r="D491" s="34">
        <v>9938.5</v>
      </c>
      <c r="E491" s="34">
        <v>9901.1</v>
      </c>
      <c r="F491" s="34">
        <v>7866.1</v>
      </c>
      <c r="G491" s="34">
        <v>322.60000000000002</v>
      </c>
    </row>
    <row r="492" spans="1:7" hidden="1" x14ac:dyDescent="0.2">
      <c r="A492" s="18">
        <v>42843</v>
      </c>
      <c r="B492" s="34">
        <v>1394.8</v>
      </c>
      <c r="C492" s="34">
        <v>1401.4</v>
      </c>
      <c r="D492" s="34">
        <v>1276</v>
      </c>
      <c r="E492" s="34">
        <v>2392.5</v>
      </c>
      <c r="F492" s="34">
        <v>2492.6</v>
      </c>
      <c r="G492" s="34">
        <v>700.7</v>
      </c>
    </row>
    <row r="493" spans="1:7" hidden="1" x14ac:dyDescent="0.2">
      <c r="A493" s="18">
        <v>42934</v>
      </c>
      <c r="B493" s="34"/>
      <c r="C493" s="34"/>
      <c r="D493" s="34"/>
      <c r="E493" s="34"/>
      <c r="F493" s="34"/>
      <c r="G493" s="34"/>
    </row>
    <row r="494" spans="1:7" hidden="1" x14ac:dyDescent="0.2">
      <c r="A494" s="18">
        <v>43025</v>
      </c>
      <c r="B494" s="34">
        <v>294.8</v>
      </c>
      <c r="C494" s="34">
        <v>212.6</v>
      </c>
      <c r="D494" s="34">
        <v>149.69999999999999</v>
      </c>
      <c r="E494" s="34">
        <v>260.2</v>
      </c>
      <c r="F494" s="34">
        <v>304</v>
      </c>
      <c r="G494" s="34">
        <v>202.4</v>
      </c>
    </row>
    <row r="495" spans="1:7" hidden="1" x14ac:dyDescent="0.2">
      <c r="A495" s="18">
        <v>43109</v>
      </c>
      <c r="B495" s="34">
        <v>1400.3</v>
      </c>
      <c r="C495" s="34">
        <v>1377.2</v>
      </c>
      <c r="D495" s="34">
        <v>1269.4000000000001</v>
      </c>
      <c r="E495" s="34">
        <v>1361.8</v>
      </c>
      <c r="F495" s="34">
        <v>1397</v>
      </c>
      <c r="G495" s="34">
        <v>352.9</v>
      </c>
    </row>
    <row r="496" spans="1:7" hidden="1" x14ac:dyDescent="0.2">
      <c r="A496" s="18">
        <v>43193</v>
      </c>
      <c r="B496" s="34">
        <v>8384.2000000000007</v>
      </c>
      <c r="C496" s="34">
        <v>7846.3</v>
      </c>
      <c r="D496" s="34">
        <v>7751.7</v>
      </c>
      <c r="E496" s="34">
        <v>10785.5</v>
      </c>
      <c r="F496" s="34">
        <v>8635</v>
      </c>
      <c r="G496" s="34">
        <v>747.8</v>
      </c>
    </row>
    <row r="497" spans="1:7" hidden="1" x14ac:dyDescent="0.2">
      <c r="A497" s="18">
        <v>43298</v>
      </c>
      <c r="B497" s="34"/>
      <c r="C497" s="34"/>
      <c r="D497" s="34"/>
      <c r="E497" s="34"/>
      <c r="F497" s="34"/>
      <c r="G497" s="34"/>
    </row>
    <row r="498" spans="1:7" hidden="1" x14ac:dyDescent="0.2">
      <c r="A498" s="18">
        <v>43403</v>
      </c>
      <c r="B498" s="34">
        <v>608.29999999999995</v>
      </c>
      <c r="C498" s="34">
        <v>815.5</v>
      </c>
      <c r="D498" s="34">
        <v>485.8</v>
      </c>
      <c r="E498" s="34">
        <v>648.20000000000005</v>
      </c>
      <c r="F498" s="34">
        <v>763.8</v>
      </c>
      <c r="G498" s="34">
        <v>43.5</v>
      </c>
    </row>
    <row r="499" spans="1:7" hidden="1" x14ac:dyDescent="0.2">
      <c r="A499" s="18">
        <v>43487</v>
      </c>
      <c r="B499" s="34"/>
      <c r="C499" s="34"/>
      <c r="D499" s="34"/>
      <c r="E499" s="34"/>
      <c r="F499" s="34"/>
      <c r="G499" s="34"/>
    </row>
    <row r="500" spans="1:7" hidden="1" x14ac:dyDescent="0.2">
      <c r="A500" s="18">
        <v>43578</v>
      </c>
      <c r="B500" s="34">
        <v>14157</v>
      </c>
      <c r="C500" s="34">
        <v>14520</v>
      </c>
      <c r="D500" s="34">
        <v>10436.799999999999</v>
      </c>
      <c r="E500" s="34">
        <v>11979</v>
      </c>
      <c r="F500" s="34">
        <v>154.44</v>
      </c>
      <c r="G500" s="34">
        <v>13772</v>
      </c>
    </row>
    <row r="501" spans="1:7" hidden="1" x14ac:dyDescent="0.2">
      <c r="A501" s="18">
        <v>43704</v>
      </c>
      <c r="B501" s="34"/>
      <c r="C501" s="34"/>
      <c r="D501" s="34"/>
      <c r="E501" s="34"/>
      <c r="F501" s="34"/>
      <c r="G501" s="34"/>
    </row>
    <row r="502" spans="1:7" hidden="1" x14ac:dyDescent="0.2">
      <c r="A502" s="18">
        <v>43760</v>
      </c>
      <c r="B502" s="34">
        <v>3008.5</v>
      </c>
      <c r="C502" s="34">
        <v>3021.7</v>
      </c>
      <c r="D502" s="34">
        <v>3173.5</v>
      </c>
      <c r="E502" s="34">
        <v>4551.8</v>
      </c>
      <c r="F502" s="34">
        <v>3054.7</v>
      </c>
      <c r="G502" s="34">
        <v>334.62</v>
      </c>
    </row>
    <row r="503" spans="1:7" hidden="1" x14ac:dyDescent="0.2">
      <c r="A503" s="18">
        <v>44021</v>
      </c>
      <c r="B503" s="34">
        <v>807.84</v>
      </c>
      <c r="C503" s="34">
        <v>930.05</v>
      </c>
      <c r="D503" s="34">
        <v>719.62</v>
      </c>
      <c r="E503" s="34">
        <v>1325.5</v>
      </c>
      <c r="F503" s="34">
        <v>841.61</v>
      </c>
      <c r="G503" s="34">
        <v>138.38</v>
      </c>
    </row>
    <row r="504" spans="1:7" hidden="1" x14ac:dyDescent="0.2"/>
    <row r="505" spans="1:7" hidden="1" x14ac:dyDescent="0.2"/>
    <row r="506" spans="1:7" hidden="1" x14ac:dyDescent="0.2">
      <c r="A506" s="34"/>
      <c r="B506" s="36" t="s">
        <v>79</v>
      </c>
    </row>
    <row r="507" spans="1:7" hidden="1" x14ac:dyDescent="0.2">
      <c r="A507" s="34"/>
      <c r="B507" s="29" t="s">
        <v>75</v>
      </c>
    </row>
    <row r="508" spans="1:7" hidden="1" x14ac:dyDescent="0.2">
      <c r="A508" s="12" t="s">
        <v>7</v>
      </c>
      <c r="B508" s="78" t="s">
        <v>9</v>
      </c>
      <c r="C508" s="77" t="s">
        <v>10</v>
      </c>
      <c r="D508" s="76" t="s">
        <v>11</v>
      </c>
      <c r="E508" s="75" t="s">
        <v>12</v>
      </c>
      <c r="F508" s="74" t="s">
        <v>13</v>
      </c>
      <c r="G508" s="27" t="s">
        <v>14</v>
      </c>
    </row>
    <row r="509" spans="1:7" hidden="1" x14ac:dyDescent="0.2">
      <c r="A509" s="18">
        <v>37046</v>
      </c>
      <c r="B509" s="34">
        <v>0.5</v>
      </c>
      <c r="C509" s="34">
        <v>0.5</v>
      </c>
      <c r="D509" s="34">
        <v>0.5</v>
      </c>
      <c r="E509" s="34">
        <v>0.5</v>
      </c>
      <c r="F509" s="34"/>
      <c r="G509" s="34"/>
    </row>
    <row r="510" spans="1:7" hidden="1" x14ac:dyDescent="0.2">
      <c r="A510" s="18">
        <v>37076</v>
      </c>
      <c r="B510" s="34">
        <v>0.5</v>
      </c>
      <c r="C510" s="34">
        <v>0.5</v>
      </c>
      <c r="D510" s="34">
        <v>0.5</v>
      </c>
      <c r="E510" s="34">
        <v>0.5</v>
      </c>
      <c r="F510" s="34"/>
      <c r="G510" s="34"/>
    </row>
    <row r="511" spans="1:7" hidden="1" x14ac:dyDescent="0.2">
      <c r="A511" s="18">
        <v>37335</v>
      </c>
      <c r="B511" s="34">
        <v>0.5</v>
      </c>
      <c r="C511" s="34">
        <v>0.5</v>
      </c>
      <c r="D511" s="34">
        <v>0.5</v>
      </c>
      <c r="E511" s="34">
        <v>0.5</v>
      </c>
      <c r="F511" s="34"/>
      <c r="G511" s="34"/>
    </row>
    <row r="512" spans="1:7" hidden="1" x14ac:dyDescent="0.2">
      <c r="A512" s="18">
        <v>37566</v>
      </c>
      <c r="B512" s="34"/>
      <c r="C512" s="34"/>
      <c r="D512" s="34"/>
      <c r="E512" s="34"/>
      <c r="F512" s="34"/>
      <c r="G512" s="34"/>
    </row>
    <row r="513" spans="1:7" hidden="1" x14ac:dyDescent="0.2">
      <c r="A513" s="18">
        <v>37594</v>
      </c>
      <c r="B513" s="34"/>
      <c r="C513" s="34"/>
      <c r="D513" s="34"/>
      <c r="E513" s="34"/>
      <c r="F513" s="34"/>
      <c r="G513" s="34"/>
    </row>
    <row r="514" spans="1:7" hidden="1" x14ac:dyDescent="0.2">
      <c r="A514" s="18">
        <v>37711</v>
      </c>
      <c r="B514" s="34"/>
      <c r="C514" s="34"/>
      <c r="D514" s="34"/>
      <c r="E514" s="34"/>
      <c r="F514" s="34"/>
      <c r="G514" s="34"/>
    </row>
    <row r="515" spans="1:7" hidden="1" x14ac:dyDescent="0.2">
      <c r="A515" s="18">
        <v>37739</v>
      </c>
      <c r="B515" s="34"/>
      <c r="C515" s="34"/>
      <c r="D515" s="34"/>
      <c r="E515" s="34"/>
      <c r="F515" s="34"/>
      <c r="G515" s="34"/>
    </row>
    <row r="516" spans="1:7" hidden="1" x14ac:dyDescent="0.2">
      <c r="A516" s="18">
        <v>37825</v>
      </c>
      <c r="B516" s="34"/>
      <c r="C516" s="34"/>
      <c r="D516" s="34"/>
      <c r="E516" s="34"/>
      <c r="F516" s="34"/>
      <c r="G516" s="34"/>
    </row>
    <row r="517" spans="1:7" hidden="1" x14ac:dyDescent="0.2">
      <c r="A517" s="18">
        <v>37888</v>
      </c>
      <c r="B517" s="34">
        <v>0.5</v>
      </c>
      <c r="C517" s="34">
        <v>0.5</v>
      </c>
      <c r="D517" s="34">
        <v>1.2</v>
      </c>
      <c r="E517" s="34">
        <v>0.5</v>
      </c>
      <c r="F517" s="34"/>
      <c r="G517" s="34"/>
    </row>
    <row r="518" spans="1:7" hidden="1" x14ac:dyDescent="0.2">
      <c r="A518" s="18">
        <v>37963</v>
      </c>
      <c r="B518" s="34">
        <v>0.5</v>
      </c>
      <c r="C518" s="34">
        <v>0.5</v>
      </c>
      <c r="D518" s="34">
        <v>0.5</v>
      </c>
      <c r="E518" s="34">
        <v>0.5</v>
      </c>
      <c r="F518" s="34"/>
      <c r="G518" s="34"/>
    </row>
    <row r="519" spans="1:7" hidden="1" x14ac:dyDescent="0.2">
      <c r="A519" s="18">
        <v>38012</v>
      </c>
      <c r="B519" s="34">
        <v>0.5</v>
      </c>
      <c r="C519" s="34">
        <v>0.5</v>
      </c>
      <c r="D519" s="34">
        <v>0.5</v>
      </c>
      <c r="E519" s="34">
        <v>0.5</v>
      </c>
      <c r="F519" s="34"/>
      <c r="G519" s="34"/>
    </row>
    <row r="520" spans="1:7" hidden="1" x14ac:dyDescent="0.2">
      <c r="A520" s="18">
        <v>38033</v>
      </c>
      <c r="B520" s="34">
        <v>0.5</v>
      </c>
      <c r="C520" s="34">
        <v>0.5</v>
      </c>
      <c r="D520" s="34">
        <v>0.94</v>
      </c>
      <c r="E520" s="34">
        <v>0.56000000000000005</v>
      </c>
      <c r="F520" s="34"/>
      <c r="G520" s="34"/>
    </row>
    <row r="521" spans="1:7" hidden="1" x14ac:dyDescent="0.2">
      <c r="A521" s="18">
        <v>38271</v>
      </c>
      <c r="B521" s="34">
        <v>3.2</v>
      </c>
      <c r="C521" s="34">
        <v>8.5</v>
      </c>
      <c r="D521" s="34">
        <v>6.3</v>
      </c>
      <c r="E521" s="34">
        <v>9.1</v>
      </c>
      <c r="F521" s="34"/>
      <c r="G521" s="34"/>
    </row>
    <row r="522" spans="1:7" hidden="1" x14ac:dyDescent="0.2">
      <c r="A522" s="18">
        <v>38474</v>
      </c>
      <c r="B522" s="34">
        <v>0.5</v>
      </c>
      <c r="C522" s="34">
        <v>0.5</v>
      </c>
      <c r="D522" s="34">
        <v>0.5</v>
      </c>
      <c r="E522" s="34">
        <v>1.2</v>
      </c>
      <c r="F522" s="34"/>
      <c r="G522" s="34"/>
    </row>
    <row r="523" spans="1:7" hidden="1" x14ac:dyDescent="0.2">
      <c r="A523" s="18">
        <v>38896</v>
      </c>
      <c r="B523" s="34">
        <v>0.5</v>
      </c>
      <c r="C523" s="34">
        <v>0.88</v>
      </c>
      <c r="D523" s="34">
        <v>0.61</v>
      </c>
      <c r="E523" s="34">
        <v>0.83</v>
      </c>
      <c r="F523" s="34"/>
      <c r="G523" s="34"/>
    </row>
    <row r="524" spans="1:7" hidden="1" x14ac:dyDescent="0.2">
      <c r="A524" s="18">
        <v>40625</v>
      </c>
      <c r="B524" s="34">
        <v>20</v>
      </c>
      <c r="C524" s="34">
        <v>20</v>
      </c>
      <c r="D524" s="34">
        <v>20</v>
      </c>
      <c r="E524" s="34">
        <v>20</v>
      </c>
      <c r="F524" s="34">
        <v>20</v>
      </c>
      <c r="G524" s="34">
        <v>20</v>
      </c>
    </row>
    <row r="525" spans="1:7" hidden="1" x14ac:dyDescent="0.2">
      <c r="A525" s="18">
        <v>40716</v>
      </c>
      <c r="B525" s="34">
        <v>20</v>
      </c>
      <c r="C525" s="34">
        <v>20</v>
      </c>
      <c r="D525" s="34">
        <v>20</v>
      </c>
      <c r="E525" s="34">
        <v>20</v>
      </c>
      <c r="F525" s="34">
        <v>20</v>
      </c>
      <c r="G525" s="34">
        <v>20</v>
      </c>
    </row>
    <row r="526" spans="1:7" hidden="1" x14ac:dyDescent="0.2">
      <c r="A526" s="18">
        <v>40821</v>
      </c>
      <c r="B526" s="34">
        <v>20</v>
      </c>
      <c r="C526" s="34">
        <v>20</v>
      </c>
      <c r="D526" s="34">
        <v>20</v>
      </c>
      <c r="E526" s="34">
        <v>20</v>
      </c>
      <c r="F526" s="34">
        <v>20</v>
      </c>
      <c r="G526" s="34">
        <v>20</v>
      </c>
    </row>
    <row r="527" spans="1:7" hidden="1" x14ac:dyDescent="0.2">
      <c r="A527" s="18">
        <v>40897</v>
      </c>
      <c r="B527" s="34">
        <v>20</v>
      </c>
      <c r="C527" s="34">
        <v>20</v>
      </c>
      <c r="D527" s="34">
        <v>20</v>
      </c>
      <c r="E527" s="34">
        <v>20</v>
      </c>
      <c r="F527" s="34">
        <v>20</v>
      </c>
      <c r="G527" s="34">
        <v>20</v>
      </c>
    </row>
    <row r="528" spans="1:7" hidden="1" x14ac:dyDescent="0.2">
      <c r="A528" s="18">
        <v>41008</v>
      </c>
      <c r="B528" s="34">
        <v>20</v>
      </c>
      <c r="C528" s="34">
        <v>20</v>
      </c>
      <c r="D528" s="34">
        <v>20</v>
      </c>
      <c r="E528" s="34">
        <v>20</v>
      </c>
      <c r="F528" s="34">
        <v>20</v>
      </c>
      <c r="G528" s="34">
        <v>20</v>
      </c>
    </row>
    <row r="529" spans="1:7" hidden="1" x14ac:dyDescent="0.2">
      <c r="A529" s="18">
        <v>41086</v>
      </c>
      <c r="B529" s="34">
        <v>20</v>
      </c>
      <c r="C529" s="34">
        <v>20</v>
      </c>
      <c r="D529" s="34">
        <v>20</v>
      </c>
      <c r="E529" s="34">
        <v>20</v>
      </c>
      <c r="F529" s="34">
        <v>20</v>
      </c>
      <c r="G529" s="34">
        <v>20</v>
      </c>
    </row>
    <row r="530" spans="1:7" hidden="1" x14ac:dyDescent="0.2">
      <c r="A530" s="18">
        <v>41179</v>
      </c>
      <c r="B530" s="34">
        <v>20</v>
      </c>
      <c r="C530" s="34">
        <v>20</v>
      </c>
      <c r="D530" s="34">
        <v>20</v>
      </c>
      <c r="E530" s="34">
        <v>20</v>
      </c>
      <c r="F530" s="34">
        <v>20</v>
      </c>
      <c r="G530" s="34">
        <v>20</v>
      </c>
    </row>
    <row r="531" spans="1:7" hidden="1" x14ac:dyDescent="0.2">
      <c r="A531" s="18">
        <v>41247</v>
      </c>
      <c r="B531" s="34">
        <v>20</v>
      </c>
      <c r="C531" s="34">
        <v>20</v>
      </c>
      <c r="D531" s="34">
        <v>20</v>
      </c>
      <c r="E531" s="34">
        <v>20</v>
      </c>
      <c r="F531" s="34">
        <v>20</v>
      </c>
      <c r="G531" s="34">
        <v>20</v>
      </c>
    </row>
    <row r="532" spans="1:7" hidden="1" x14ac:dyDescent="0.2">
      <c r="A532" s="18">
        <v>41352</v>
      </c>
      <c r="B532" s="34">
        <v>20</v>
      </c>
      <c r="C532" s="34">
        <v>20</v>
      </c>
      <c r="D532" s="34">
        <v>20</v>
      </c>
      <c r="E532" s="34">
        <v>20</v>
      </c>
      <c r="F532" s="34">
        <v>20</v>
      </c>
      <c r="G532" s="34">
        <v>20</v>
      </c>
    </row>
    <row r="533" spans="1:7" hidden="1" x14ac:dyDescent="0.2">
      <c r="A533" s="18">
        <v>41445</v>
      </c>
      <c r="B533" s="34">
        <v>10</v>
      </c>
      <c r="C533" s="34">
        <v>10</v>
      </c>
      <c r="D533" s="34">
        <v>10</v>
      </c>
      <c r="E533" s="34">
        <v>10</v>
      </c>
      <c r="F533" s="34">
        <v>10</v>
      </c>
      <c r="G533" s="34">
        <v>10</v>
      </c>
    </row>
    <row r="534" spans="1:7" hidden="1" x14ac:dyDescent="0.2">
      <c r="A534" s="18">
        <v>41528</v>
      </c>
      <c r="B534" s="34">
        <v>10</v>
      </c>
      <c r="C534" s="34">
        <v>10</v>
      </c>
      <c r="D534" s="34">
        <v>10</v>
      </c>
      <c r="E534" s="34">
        <v>10</v>
      </c>
      <c r="F534" s="34">
        <v>10</v>
      </c>
      <c r="G534" s="34">
        <v>10</v>
      </c>
    </row>
    <row r="535" spans="1:7" hidden="1" x14ac:dyDescent="0.2">
      <c r="A535" s="18">
        <v>41670</v>
      </c>
      <c r="B535" s="34">
        <v>10</v>
      </c>
      <c r="C535" s="34">
        <v>10</v>
      </c>
      <c r="D535" s="34">
        <v>10</v>
      </c>
      <c r="E535" s="34">
        <v>10</v>
      </c>
      <c r="F535" s="34">
        <v>10</v>
      </c>
      <c r="G535" s="34">
        <v>10</v>
      </c>
    </row>
    <row r="536" spans="1:7" hidden="1" x14ac:dyDescent="0.2">
      <c r="A536" s="18">
        <v>41758</v>
      </c>
      <c r="B536" s="34">
        <v>10</v>
      </c>
      <c r="C536" s="34">
        <v>10</v>
      </c>
      <c r="D536" s="34">
        <v>10</v>
      </c>
      <c r="E536" s="34">
        <v>10</v>
      </c>
      <c r="F536" s="34">
        <v>10</v>
      </c>
      <c r="G536" s="34">
        <v>10</v>
      </c>
    </row>
    <row r="537" spans="1:7" hidden="1" x14ac:dyDescent="0.2">
      <c r="A537" s="18">
        <v>41835</v>
      </c>
      <c r="B537" s="34">
        <v>10</v>
      </c>
      <c r="C537" s="34">
        <v>10</v>
      </c>
      <c r="D537" s="34">
        <v>10</v>
      </c>
      <c r="E537" s="34">
        <v>10</v>
      </c>
      <c r="F537" s="34">
        <v>10</v>
      </c>
      <c r="G537" s="34">
        <v>10</v>
      </c>
    </row>
    <row r="538" spans="1:7" hidden="1" x14ac:dyDescent="0.2">
      <c r="A538" s="18">
        <v>42031</v>
      </c>
      <c r="B538" s="34">
        <v>10</v>
      </c>
      <c r="C538" s="34">
        <v>10</v>
      </c>
      <c r="D538" s="34">
        <v>10</v>
      </c>
      <c r="E538" s="34">
        <v>10</v>
      </c>
      <c r="F538" s="34">
        <v>10</v>
      </c>
      <c r="G538" s="34">
        <v>10</v>
      </c>
    </row>
    <row r="539" spans="1:7" hidden="1" x14ac:dyDescent="0.2">
      <c r="A539" s="18">
        <v>42094</v>
      </c>
      <c r="B539" s="34">
        <v>10</v>
      </c>
      <c r="C539" s="34">
        <v>10</v>
      </c>
      <c r="D539" s="34">
        <v>10</v>
      </c>
      <c r="E539" s="34">
        <v>10</v>
      </c>
      <c r="F539" s="34">
        <v>10</v>
      </c>
      <c r="G539" s="34">
        <v>10</v>
      </c>
    </row>
    <row r="540" spans="1:7" hidden="1" x14ac:dyDescent="0.2">
      <c r="A540" s="18">
        <v>42192</v>
      </c>
      <c r="B540" s="34">
        <v>10</v>
      </c>
      <c r="C540" s="34">
        <v>10</v>
      </c>
      <c r="D540" s="34">
        <v>10</v>
      </c>
      <c r="E540" s="34">
        <v>10</v>
      </c>
      <c r="F540" s="34">
        <v>10</v>
      </c>
      <c r="G540" s="34">
        <v>10</v>
      </c>
    </row>
    <row r="541" spans="1:7" hidden="1" x14ac:dyDescent="0.2">
      <c r="A541" s="18">
        <v>42290</v>
      </c>
      <c r="B541" s="34">
        <v>10</v>
      </c>
      <c r="C541" s="34">
        <v>10</v>
      </c>
      <c r="D541" s="34">
        <v>10</v>
      </c>
      <c r="E541" s="34">
        <v>10</v>
      </c>
      <c r="F541" s="34">
        <v>10</v>
      </c>
      <c r="G541" s="34"/>
    </row>
    <row r="542" spans="1:7" hidden="1" x14ac:dyDescent="0.2">
      <c r="A542" s="18">
        <v>42381</v>
      </c>
      <c r="B542" s="34">
        <v>10</v>
      </c>
      <c r="C542" s="34">
        <v>10</v>
      </c>
      <c r="D542" s="34">
        <v>10</v>
      </c>
      <c r="E542" s="34">
        <v>10</v>
      </c>
      <c r="F542" s="34">
        <v>10</v>
      </c>
      <c r="G542" s="34"/>
    </row>
    <row r="543" spans="1:7" hidden="1" x14ac:dyDescent="0.2">
      <c r="A543" s="18">
        <v>42479</v>
      </c>
      <c r="B543" s="34">
        <v>10</v>
      </c>
      <c r="C543" s="34">
        <v>10</v>
      </c>
      <c r="D543" s="34">
        <v>10</v>
      </c>
      <c r="E543" s="34">
        <v>10</v>
      </c>
      <c r="F543" s="34">
        <v>10</v>
      </c>
      <c r="G543" s="34">
        <v>10</v>
      </c>
    </row>
    <row r="544" spans="1:7" hidden="1" x14ac:dyDescent="0.2">
      <c r="A544" s="18">
        <v>42570</v>
      </c>
      <c r="B544" s="34">
        <v>10</v>
      </c>
      <c r="C544" s="34">
        <v>10</v>
      </c>
      <c r="D544" s="34">
        <v>10</v>
      </c>
      <c r="E544" s="34">
        <v>10</v>
      </c>
      <c r="F544" s="34">
        <v>10</v>
      </c>
      <c r="G544" s="34">
        <v>10</v>
      </c>
    </row>
    <row r="545" spans="1:7" hidden="1" x14ac:dyDescent="0.2">
      <c r="A545" s="18">
        <v>42654</v>
      </c>
      <c r="B545" s="34">
        <v>10</v>
      </c>
      <c r="C545" s="34">
        <v>10</v>
      </c>
      <c r="D545" s="34">
        <v>10</v>
      </c>
      <c r="E545" s="34">
        <v>10</v>
      </c>
      <c r="F545" s="34">
        <v>10</v>
      </c>
      <c r="G545" s="34">
        <v>10</v>
      </c>
    </row>
    <row r="546" spans="1:7" hidden="1" x14ac:dyDescent="0.2">
      <c r="A546" s="18">
        <v>42745</v>
      </c>
      <c r="B546" s="34">
        <v>10</v>
      </c>
      <c r="C546" s="34">
        <v>10</v>
      </c>
      <c r="D546" s="34">
        <v>10</v>
      </c>
      <c r="E546" s="34">
        <v>10</v>
      </c>
      <c r="F546" s="34">
        <v>10</v>
      </c>
      <c r="G546" s="34">
        <v>10</v>
      </c>
    </row>
    <row r="547" spans="1:7" hidden="1" x14ac:dyDescent="0.2">
      <c r="A547" s="18">
        <v>42843</v>
      </c>
      <c r="B547" s="34">
        <v>10</v>
      </c>
      <c r="C547" s="34">
        <v>10</v>
      </c>
      <c r="D547" s="34">
        <v>10</v>
      </c>
      <c r="E547" s="34">
        <v>10</v>
      </c>
      <c r="F547" s="34">
        <v>10</v>
      </c>
      <c r="G547" s="34">
        <v>10</v>
      </c>
    </row>
    <row r="548" spans="1:7" hidden="1" x14ac:dyDescent="0.2">
      <c r="A548" s="18">
        <v>42934</v>
      </c>
      <c r="B548" s="34">
        <v>10</v>
      </c>
      <c r="C548" s="34">
        <v>10</v>
      </c>
      <c r="D548" s="34">
        <v>10</v>
      </c>
      <c r="E548" s="34">
        <v>10</v>
      </c>
      <c r="F548" s="34">
        <v>10</v>
      </c>
      <c r="G548" s="34">
        <v>10</v>
      </c>
    </row>
    <row r="549" spans="1:7" hidden="1" x14ac:dyDescent="0.2">
      <c r="A549" s="18">
        <v>43025</v>
      </c>
      <c r="B549" s="34">
        <v>10</v>
      </c>
      <c r="C549" s="34">
        <v>10</v>
      </c>
      <c r="D549" s="34">
        <v>10</v>
      </c>
      <c r="E549" s="34">
        <v>10</v>
      </c>
      <c r="F549" s="34">
        <v>10</v>
      </c>
      <c r="G549" s="34">
        <v>10</v>
      </c>
    </row>
    <row r="550" spans="1:7" hidden="1" x14ac:dyDescent="0.2">
      <c r="A550" s="18">
        <v>43109</v>
      </c>
      <c r="B550" s="34">
        <v>10</v>
      </c>
      <c r="C550" s="34">
        <v>10</v>
      </c>
      <c r="D550" s="34">
        <v>10</v>
      </c>
      <c r="E550" s="34">
        <v>10</v>
      </c>
      <c r="F550" s="34">
        <v>10</v>
      </c>
      <c r="G550" s="34">
        <v>10</v>
      </c>
    </row>
    <row r="551" spans="1:7" hidden="1" x14ac:dyDescent="0.2">
      <c r="A551" s="18">
        <v>43193</v>
      </c>
      <c r="B551" s="34">
        <v>10</v>
      </c>
      <c r="C551" s="34">
        <v>10</v>
      </c>
      <c r="D551" s="34">
        <v>10</v>
      </c>
      <c r="E551" s="34">
        <v>10</v>
      </c>
      <c r="F551" s="34">
        <v>10</v>
      </c>
      <c r="G551" s="34">
        <v>10</v>
      </c>
    </row>
    <row r="552" spans="1:7" hidden="1" x14ac:dyDescent="0.2">
      <c r="A552" s="18">
        <v>43298</v>
      </c>
      <c r="B552" s="34">
        <v>10</v>
      </c>
      <c r="C552" s="34">
        <v>10</v>
      </c>
      <c r="D552" s="34">
        <v>10</v>
      </c>
      <c r="E552" s="34">
        <v>10</v>
      </c>
      <c r="F552" s="34">
        <v>10</v>
      </c>
      <c r="G552" s="34">
        <v>10</v>
      </c>
    </row>
    <row r="553" spans="1:7" hidden="1" x14ac:dyDescent="0.2">
      <c r="A553" s="18">
        <v>43403</v>
      </c>
      <c r="B553" s="34">
        <v>10</v>
      </c>
      <c r="C553" s="34">
        <v>10</v>
      </c>
      <c r="D553" s="34">
        <v>10</v>
      </c>
      <c r="E553" s="34">
        <v>10</v>
      </c>
      <c r="F553" s="34">
        <v>10</v>
      </c>
      <c r="G553" s="34">
        <v>10</v>
      </c>
    </row>
    <row r="554" spans="1:7" hidden="1" x14ac:dyDescent="0.2">
      <c r="A554" s="18">
        <v>43487</v>
      </c>
      <c r="B554" s="34">
        <v>10</v>
      </c>
      <c r="C554" s="34">
        <v>10</v>
      </c>
      <c r="D554" s="34">
        <v>10</v>
      </c>
      <c r="E554" s="34"/>
      <c r="F554" s="34">
        <v>10</v>
      </c>
      <c r="G554" s="34">
        <v>10</v>
      </c>
    </row>
    <row r="555" spans="1:7" hidden="1" x14ac:dyDescent="0.2">
      <c r="A555" s="18">
        <v>43578</v>
      </c>
      <c r="B555" s="34">
        <v>10</v>
      </c>
      <c r="C555" s="34">
        <v>10</v>
      </c>
      <c r="D555" s="34">
        <v>10</v>
      </c>
      <c r="E555" s="34">
        <v>10</v>
      </c>
      <c r="F555" s="34">
        <v>10</v>
      </c>
      <c r="G555" s="34">
        <v>10</v>
      </c>
    </row>
    <row r="556" spans="1:7" hidden="1" x14ac:dyDescent="0.2">
      <c r="A556" s="18">
        <v>43704</v>
      </c>
      <c r="B556" s="34">
        <v>10</v>
      </c>
      <c r="C556" s="34">
        <v>10</v>
      </c>
      <c r="D556" s="34">
        <v>10</v>
      </c>
      <c r="E556" s="34">
        <v>10</v>
      </c>
      <c r="F556" s="34">
        <v>10</v>
      </c>
      <c r="G556" s="34">
        <v>10</v>
      </c>
    </row>
    <row r="557" spans="1:7" hidden="1" x14ac:dyDescent="0.2">
      <c r="A557" s="18">
        <v>43760</v>
      </c>
      <c r="B557" s="34">
        <v>10</v>
      </c>
      <c r="C557" s="34">
        <v>10</v>
      </c>
      <c r="D557" s="34">
        <v>10</v>
      </c>
      <c r="E557" s="34">
        <v>10</v>
      </c>
      <c r="F557" s="34">
        <v>10</v>
      </c>
      <c r="G557" s="34">
        <v>10</v>
      </c>
    </row>
    <row r="558" spans="1:7" hidden="1" x14ac:dyDescent="0.2">
      <c r="A558" s="18">
        <v>44021</v>
      </c>
      <c r="B558" s="34">
        <v>10</v>
      </c>
      <c r="C558" s="34">
        <v>10</v>
      </c>
      <c r="D558" s="34">
        <v>10</v>
      </c>
      <c r="E558" s="34">
        <v>10</v>
      </c>
      <c r="F558" s="34">
        <v>10</v>
      </c>
      <c r="G558" s="34">
        <v>10</v>
      </c>
    </row>
    <row r="559" spans="1:7" hidden="1" x14ac:dyDescent="0.2"/>
    <row r="561" spans="1:9" x14ac:dyDescent="0.2">
      <c r="A561" s="34"/>
      <c r="B561" s="36" t="s">
        <v>85</v>
      </c>
    </row>
    <row r="562" spans="1:9" x14ac:dyDescent="0.2">
      <c r="A562" s="34"/>
      <c r="B562" s="29" t="s">
        <v>75</v>
      </c>
    </row>
    <row r="563" spans="1:9" x14ac:dyDescent="0.2">
      <c r="A563" s="12" t="s">
        <v>7</v>
      </c>
      <c r="B563" s="78" t="s">
        <v>9</v>
      </c>
      <c r="C563" s="77" t="s">
        <v>10</v>
      </c>
      <c r="D563" s="76" t="s">
        <v>11</v>
      </c>
      <c r="E563" s="75" t="s">
        <v>12</v>
      </c>
      <c r="F563" s="74" t="s">
        <v>13</v>
      </c>
      <c r="G563" s="27" t="s">
        <v>14</v>
      </c>
      <c r="H563" s="45" t="s">
        <v>237</v>
      </c>
    </row>
    <row r="564" spans="1:9" x14ac:dyDescent="0.2">
      <c r="A564" s="18">
        <v>37046</v>
      </c>
      <c r="B564" s="163">
        <v>1</v>
      </c>
      <c r="C564" s="163">
        <v>1</v>
      </c>
      <c r="D564" s="163">
        <v>1</v>
      </c>
      <c r="E564" s="163">
        <v>1</v>
      </c>
      <c r="F564" s="163"/>
      <c r="G564" s="163"/>
      <c r="H564" s="163">
        <v>5</v>
      </c>
      <c r="I564" t="s">
        <v>235</v>
      </c>
    </row>
    <row r="565" spans="1:9" x14ac:dyDescent="0.2">
      <c r="A565" s="18">
        <v>37076</v>
      </c>
      <c r="B565" s="163">
        <v>2.89</v>
      </c>
      <c r="C565" s="170">
        <v>6.58</v>
      </c>
      <c r="D565" s="170">
        <v>6.85</v>
      </c>
      <c r="E565" s="170">
        <v>11.25</v>
      </c>
      <c r="F565" s="163"/>
      <c r="G565" s="163"/>
      <c r="H565" s="163">
        <v>5</v>
      </c>
      <c r="I565" t="s">
        <v>235</v>
      </c>
    </row>
    <row r="566" spans="1:9" x14ac:dyDescent="0.2">
      <c r="A566" s="18">
        <v>37335</v>
      </c>
      <c r="B566" s="163">
        <v>4.79</v>
      </c>
      <c r="C566" s="163">
        <v>1.77</v>
      </c>
      <c r="D566" s="163">
        <v>2.82</v>
      </c>
      <c r="E566" s="170">
        <v>5.14</v>
      </c>
      <c r="F566" s="163"/>
      <c r="G566" s="163"/>
      <c r="H566" s="163">
        <v>5</v>
      </c>
      <c r="I566" t="s">
        <v>235</v>
      </c>
    </row>
    <row r="567" spans="1:9" x14ac:dyDescent="0.2">
      <c r="A567" s="18">
        <v>37566</v>
      </c>
      <c r="B567" s="163"/>
      <c r="C567" s="163"/>
      <c r="D567" s="163"/>
      <c r="E567" s="163"/>
      <c r="F567" s="163"/>
      <c r="G567" s="163"/>
      <c r="H567" s="163">
        <v>5</v>
      </c>
      <c r="I567" t="s">
        <v>235</v>
      </c>
    </row>
    <row r="568" spans="1:9" x14ac:dyDescent="0.2">
      <c r="A568" s="18">
        <v>37594</v>
      </c>
      <c r="B568" s="163"/>
      <c r="C568" s="163"/>
      <c r="D568" s="163"/>
      <c r="E568" s="163"/>
      <c r="F568" s="163"/>
      <c r="G568" s="163"/>
      <c r="H568" s="163">
        <v>5</v>
      </c>
      <c r="I568" t="s">
        <v>235</v>
      </c>
    </row>
    <row r="569" spans="1:9" x14ac:dyDescent="0.2">
      <c r="A569" s="18">
        <v>37711</v>
      </c>
      <c r="B569" s="163"/>
      <c r="C569" s="163"/>
      <c r="D569" s="163"/>
      <c r="E569" s="163"/>
      <c r="F569" s="163"/>
      <c r="G569" s="163"/>
      <c r="H569" s="163">
        <v>5</v>
      </c>
      <c r="I569" t="s">
        <v>235</v>
      </c>
    </row>
    <row r="570" spans="1:9" x14ac:dyDescent="0.2">
      <c r="A570" s="18">
        <v>37739</v>
      </c>
      <c r="B570" s="163"/>
      <c r="C570" s="163"/>
      <c r="D570" s="163"/>
      <c r="E570" s="163"/>
      <c r="F570" s="163"/>
      <c r="G570" s="163"/>
      <c r="H570" s="163">
        <v>5</v>
      </c>
      <c r="I570" t="s">
        <v>235</v>
      </c>
    </row>
    <row r="571" spans="1:9" x14ac:dyDescent="0.2">
      <c r="A571" s="18">
        <v>37825</v>
      </c>
      <c r="B571" s="163"/>
      <c r="C571" s="163"/>
      <c r="D571" s="163"/>
      <c r="E571" s="163"/>
      <c r="F571" s="163"/>
      <c r="G571" s="163"/>
      <c r="H571" s="163">
        <v>5</v>
      </c>
      <c r="I571" t="s">
        <v>235</v>
      </c>
    </row>
    <row r="572" spans="1:9" x14ac:dyDescent="0.2">
      <c r="A572" s="18">
        <v>37888</v>
      </c>
      <c r="B572" s="163"/>
      <c r="C572" s="163"/>
      <c r="D572" s="163"/>
      <c r="E572" s="163"/>
      <c r="F572" s="163"/>
      <c r="G572" s="163"/>
      <c r="H572" s="163">
        <v>5</v>
      </c>
      <c r="I572" t="s">
        <v>235</v>
      </c>
    </row>
    <row r="573" spans="1:9" x14ac:dyDescent="0.2">
      <c r="A573" s="18">
        <v>37963</v>
      </c>
      <c r="B573" s="163"/>
      <c r="C573" s="163"/>
      <c r="D573" s="163"/>
      <c r="E573" s="163"/>
      <c r="F573" s="163"/>
      <c r="G573" s="163"/>
      <c r="H573" s="163">
        <v>5</v>
      </c>
      <c r="I573" t="s">
        <v>235</v>
      </c>
    </row>
    <row r="574" spans="1:9" x14ac:dyDescent="0.2">
      <c r="A574" s="18">
        <v>38012</v>
      </c>
      <c r="B574" s="163"/>
      <c r="C574" s="163"/>
      <c r="D574" s="163"/>
      <c r="E574" s="163"/>
      <c r="F574" s="163"/>
      <c r="G574" s="163"/>
      <c r="H574" s="163">
        <v>5</v>
      </c>
      <c r="I574" t="s">
        <v>235</v>
      </c>
    </row>
    <row r="575" spans="1:9" x14ac:dyDescent="0.2">
      <c r="A575" s="18">
        <v>38033</v>
      </c>
      <c r="B575" s="163"/>
      <c r="C575" s="163"/>
      <c r="D575" s="163"/>
      <c r="E575" s="163"/>
      <c r="F575" s="163"/>
      <c r="G575" s="163"/>
      <c r="H575" s="163">
        <v>5</v>
      </c>
      <c r="I575" t="s">
        <v>235</v>
      </c>
    </row>
    <row r="576" spans="1:9" x14ac:dyDescent="0.2">
      <c r="A576" s="18">
        <v>38271</v>
      </c>
      <c r="B576" s="170">
        <v>6.8</v>
      </c>
      <c r="C576" s="170">
        <v>7.7</v>
      </c>
      <c r="D576" s="170">
        <v>5.0999999999999996</v>
      </c>
      <c r="E576" s="170">
        <v>5.7</v>
      </c>
      <c r="F576" s="163"/>
      <c r="G576" s="163"/>
      <c r="H576" s="163">
        <v>5</v>
      </c>
      <c r="I576" t="s">
        <v>235</v>
      </c>
    </row>
    <row r="577" spans="1:9" x14ac:dyDescent="0.2">
      <c r="A577" s="18">
        <v>38474</v>
      </c>
      <c r="B577" s="163"/>
      <c r="C577" s="163"/>
      <c r="D577" s="163"/>
      <c r="E577" s="163"/>
      <c r="F577" s="163"/>
      <c r="G577" s="163"/>
      <c r="H577" s="163">
        <v>5</v>
      </c>
      <c r="I577" t="s">
        <v>235</v>
      </c>
    </row>
    <row r="578" spans="1:9" x14ac:dyDescent="0.2">
      <c r="A578" s="18">
        <v>38896</v>
      </c>
      <c r="B578" s="163">
        <v>1</v>
      </c>
      <c r="C578" s="163">
        <v>1</v>
      </c>
      <c r="D578" s="163">
        <v>1</v>
      </c>
      <c r="E578" s="163">
        <v>1</v>
      </c>
      <c r="F578" s="163"/>
      <c r="G578" s="163"/>
      <c r="H578" s="163">
        <v>5</v>
      </c>
      <c r="I578" t="s">
        <v>235</v>
      </c>
    </row>
    <row r="579" spans="1:9" x14ac:dyDescent="0.2">
      <c r="A579" s="18">
        <v>40625</v>
      </c>
      <c r="B579" s="170">
        <v>30.9</v>
      </c>
      <c r="C579" s="170">
        <v>20.7</v>
      </c>
      <c r="D579" s="170">
        <v>18.899999999999999</v>
      </c>
      <c r="E579" s="170">
        <v>28.2</v>
      </c>
      <c r="F579" s="170">
        <v>17.7</v>
      </c>
      <c r="G579" s="170">
        <v>13.4</v>
      </c>
      <c r="H579" s="163">
        <v>5</v>
      </c>
      <c r="I579" t="s">
        <v>235</v>
      </c>
    </row>
    <row r="580" spans="1:9" x14ac:dyDescent="0.2">
      <c r="A580" s="18">
        <v>40716</v>
      </c>
      <c r="B580" s="170">
        <v>6.3</v>
      </c>
      <c r="C580" s="170">
        <v>6.4</v>
      </c>
      <c r="D580" s="170">
        <v>5.9</v>
      </c>
      <c r="E580" s="170">
        <v>6.2</v>
      </c>
      <c r="F580" s="170">
        <v>5.7</v>
      </c>
      <c r="G580" s="163">
        <v>4.5</v>
      </c>
      <c r="H580" s="163">
        <v>5</v>
      </c>
      <c r="I580" t="s">
        <v>235</v>
      </c>
    </row>
    <row r="581" spans="1:9" x14ac:dyDescent="0.2">
      <c r="A581" s="18">
        <v>40821</v>
      </c>
      <c r="B581" s="170">
        <v>22</v>
      </c>
      <c r="C581" s="170">
        <v>24.4</v>
      </c>
      <c r="D581" s="170">
        <v>18.399999999999999</v>
      </c>
      <c r="E581" s="170">
        <v>22.5</v>
      </c>
      <c r="F581" s="170">
        <v>20.7</v>
      </c>
      <c r="G581" s="170">
        <v>20.2</v>
      </c>
      <c r="H581" s="163">
        <v>5</v>
      </c>
      <c r="I581" t="s">
        <v>235</v>
      </c>
    </row>
    <row r="582" spans="1:9" x14ac:dyDescent="0.2">
      <c r="A582" s="18">
        <v>40897</v>
      </c>
      <c r="B582" s="163">
        <v>4</v>
      </c>
      <c r="C582" s="163">
        <v>4</v>
      </c>
      <c r="D582" s="170">
        <v>6.1</v>
      </c>
      <c r="E582" s="170">
        <v>11.9</v>
      </c>
      <c r="F582" s="163">
        <v>4</v>
      </c>
      <c r="G582" s="170">
        <v>50</v>
      </c>
      <c r="H582" s="163">
        <v>5</v>
      </c>
      <c r="I582" t="s">
        <v>235</v>
      </c>
    </row>
    <row r="583" spans="1:9" x14ac:dyDescent="0.2">
      <c r="A583" s="18">
        <v>41008</v>
      </c>
      <c r="B583" s="170">
        <v>501.9</v>
      </c>
      <c r="C583" s="170">
        <v>12.5</v>
      </c>
      <c r="D583" s="170">
        <v>111.9</v>
      </c>
      <c r="E583" s="170">
        <v>160.69999999999999</v>
      </c>
      <c r="F583" s="170">
        <v>244.9</v>
      </c>
      <c r="G583" s="170">
        <v>13.6</v>
      </c>
      <c r="H583" s="163">
        <v>5</v>
      </c>
      <c r="I583" t="s">
        <v>235</v>
      </c>
    </row>
    <row r="584" spans="1:9" x14ac:dyDescent="0.2">
      <c r="A584" s="18">
        <v>41086</v>
      </c>
      <c r="B584" s="170">
        <v>12.4</v>
      </c>
      <c r="C584" s="170">
        <v>12.7</v>
      </c>
      <c r="D584" s="170">
        <v>13.3</v>
      </c>
      <c r="E584" s="170">
        <v>10.8</v>
      </c>
      <c r="F584" s="170">
        <v>15.2</v>
      </c>
      <c r="G584" s="163">
        <v>5</v>
      </c>
      <c r="H584" s="163">
        <v>5</v>
      </c>
      <c r="I584" t="s">
        <v>235</v>
      </c>
    </row>
    <row r="585" spans="1:9" x14ac:dyDescent="0.2">
      <c r="A585" s="18">
        <v>41179</v>
      </c>
      <c r="B585" s="170">
        <v>9.6</v>
      </c>
      <c r="C585" s="170">
        <v>8.5</v>
      </c>
      <c r="D585" s="170">
        <v>8.6</v>
      </c>
      <c r="E585" s="170">
        <v>49.9</v>
      </c>
      <c r="F585" s="170">
        <v>7.5</v>
      </c>
      <c r="G585" s="163">
        <v>4</v>
      </c>
      <c r="H585" s="163">
        <v>5</v>
      </c>
      <c r="I585" t="s">
        <v>235</v>
      </c>
    </row>
    <row r="586" spans="1:9" x14ac:dyDescent="0.2">
      <c r="A586" s="18">
        <v>41247</v>
      </c>
      <c r="B586" s="170">
        <v>7.4</v>
      </c>
      <c r="C586" s="170">
        <v>6.2</v>
      </c>
      <c r="D586" s="170">
        <v>5.6</v>
      </c>
      <c r="E586" s="170">
        <v>12.9</v>
      </c>
      <c r="F586" s="170">
        <v>5.3</v>
      </c>
      <c r="G586" s="163">
        <v>4</v>
      </c>
      <c r="H586" s="163">
        <v>5</v>
      </c>
      <c r="I586" t="s">
        <v>235</v>
      </c>
    </row>
    <row r="587" spans="1:9" x14ac:dyDescent="0.2">
      <c r="A587" s="18">
        <v>41352</v>
      </c>
      <c r="B587" s="170">
        <v>18.5</v>
      </c>
      <c r="C587" s="170">
        <v>16.8</v>
      </c>
      <c r="D587" s="170">
        <v>18.399999999999999</v>
      </c>
      <c r="E587" s="170">
        <v>20.9</v>
      </c>
      <c r="F587" s="170">
        <v>18.600000000000001</v>
      </c>
      <c r="G587" s="163">
        <v>4</v>
      </c>
      <c r="H587" s="163">
        <v>5</v>
      </c>
      <c r="I587" t="s">
        <v>235</v>
      </c>
    </row>
    <row r="588" spans="1:9" x14ac:dyDescent="0.2">
      <c r="A588" s="18">
        <v>41445</v>
      </c>
      <c r="B588" s="170">
        <v>37.5</v>
      </c>
      <c r="C588" s="170">
        <v>20.8</v>
      </c>
      <c r="D588" s="170">
        <v>21</v>
      </c>
      <c r="E588" s="170">
        <v>28</v>
      </c>
      <c r="F588" s="170">
        <v>22.1</v>
      </c>
      <c r="G588" s="170">
        <v>24.9</v>
      </c>
      <c r="H588" s="163">
        <v>5</v>
      </c>
      <c r="I588" t="s">
        <v>235</v>
      </c>
    </row>
    <row r="589" spans="1:9" x14ac:dyDescent="0.2">
      <c r="A589" s="18">
        <v>41528</v>
      </c>
      <c r="B589" s="163">
        <v>4</v>
      </c>
      <c r="C589" s="163">
        <v>4</v>
      </c>
      <c r="D589" s="163">
        <v>4</v>
      </c>
      <c r="E589" s="163">
        <v>4</v>
      </c>
      <c r="F589" s="163">
        <v>4</v>
      </c>
      <c r="G589" s="163">
        <v>4</v>
      </c>
      <c r="H589" s="163">
        <v>5</v>
      </c>
      <c r="I589" t="s">
        <v>235</v>
      </c>
    </row>
    <row r="590" spans="1:9" x14ac:dyDescent="0.2">
      <c r="A590" s="18">
        <v>41670</v>
      </c>
      <c r="B590" s="170">
        <v>45.5</v>
      </c>
      <c r="C590" s="170">
        <v>57.6</v>
      </c>
      <c r="D590" s="170">
        <v>51.6</v>
      </c>
      <c r="E590" s="170">
        <v>68.5</v>
      </c>
      <c r="F590" s="170">
        <v>60</v>
      </c>
      <c r="G590" s="170">
        <v>59.1</v>
      </c>
      <c r="H590" s="163">
        <v>5</v>
      </c>
      <c r="I590" t="s">
        <v>235</v>
      </c>
    </row>
    <row r="591" spans="1:9" x14ac:dyDescent="0.2">
      <c r="A591" s="18">
        <v>41758</v>
      </c>
      <c r="B591" s="170">
        <v>10</v>
      </c>
      <c r="C591" s="170">
        <v>10</v>
      </c>
      <c r="D591" s="170">
        <v>10</v>
      </c>
      <c r="E591" s="170">
        <v>24.2</v>
      </c>
      <c r="F591" s="170">
        <v>12.2</v>
      </c>
      <c r="G591" s="170">
        <v>15.5</v>
      </c>
      <c r="H591" s="163">
        <v>5</v>
      </c>
      <c r="I591" t="s">
        <v>235</v>
      </c>
    </row>
    <row r="592" spans="1:9" x14ac:dyDescent="0.2">
      <c r="A592" s="18">
        <v>41835</v>
      </c>
      <c r="B592" s="170">
        <v>10</v>
      </c>
      <c r="C592" s="170">
        <v>10</v>
      </c>
      <c r="D592" s="170">
        <v>10</v>
      </c>
      <c r="E592" s="170">
        <v>96.7</v>
      </c>
      <c r="F592" s="170">
        <v>10</v>
      </c>
      <c r="G592" s="170">
        <v>10</v>
      </c>
      <c r="H592" s="163">
        <v>5</v>
      </c>
      <c r="I592" t="s">
        <v>235</v>
      </c>
    </row>
    <row r="593" spans="1:9" x14ac:dyDescent="0.2">
      <c r="A593" s="18">
        <v>42031</v>
      </c>
      <c r="B593" s="170">
        <v>18.3</v>
      </c>
      <c r="C593" s="170">
        <v>10.3</v>
      </c>
      <c r="D593" s="170">
        <v>13.3</v>
      </c>
      <c r="E593" s="170">
        <v>77.099999999999994</v>
      </c>
      <c r="F593" s="170">
        <v>11.1</v>
      </c>
      <c r="G593" s="170">
        <v>63.5</v>
      </c>
      <c r="H593" s="163">
        <v>5</v>
      </c>
      <c r="I593" t="s">
        <v>235</v>
      </c>
    </row>
    <row r="594" spans="1:9" x14ac:dyDescent="0.2">
      <c r="A594" s="18">
        <v>42094</v>
      </c>
      <c r="B594" s="170">
        <v>13.4</v>
      </c>
      <c r="C594" s="170">
        <v>12.3</v>
      </c>
      <c r="D594" s="170">
        <v>36.700000000000003</v>
      </c>
      <c r="E594" s="170">
        <v>28.9</v>
      </c>
      <c r="F594" s="170">
        <v>13.5</v>
      </c>
      <c r="G594" s="170">
        <v>10</v>
      </c>
      <c r="H594" s="163">
        <v>5</v>
      </c>
      <c r="I594" t="s">
        <v>235</v>
      </c>
    </row>
    <row r="595" spans="1:9" x14ac:dyDescent="0.2">
      <c r="A595" s="18">
        <v>42192</v>
      </c>
      <c r="B595" s="170">
        <v>10</v>
      </c>
      <c r="C595" s="170">
        <v>10</v>
      </c>
      <c r="D595" s="170">
        <v>10</v>
      </c>
      <c r="E595" s="170">
        <v>10</v>
      </c>
      <c r="F595" s="170">
        <v>10</v>
      </c>
      <c r="G595" s="170">
        <v>47</v>
      </c>
      <c r="H595" s="163">
        <v>5</v>
      </c>
      <c r="I595" t="s">
        <v>235</v>
      </c>
    </row>
    <row r="596" spans="1:9" x14ac:dyDescent="0.2">
      <c r="A596" s="18">
        <v>42290</v>
      </c>
      <c r="B596" s="170">
        <v>10</v>
      </c>
      <c r="C596" s="170">
        <v>10</v>
      </c>
      <c r="D596" s="170">
        <v>10</v>
      </c>
      <c r="E596" s="170">
        <v>10</v>
      </c>
      <c r="F596" s="170">
        <v>10</v>
      </c>
      <c r="G596" s="170"/>
      <c r="H596" s="163">
        <v>5</v>
      </c>
      <c r="I596" t="s">
        <v>235</v>
      </c>
    </row>
    <row r="597" spans="1:9" x14ac:dyDescent="0.2">
      <c r="A597" s="18">
        <v>42381</v>
      </c>
      <c r="B597" s="170">
        <v>10</v>
      </c>
      <c r="C597" s="170">
        <v>10</v>
      </c>
      <c r="D597" s="170">
        <v>10</v>
      </c>
      <c r="E597" s="170">
        <v>10</v>
      </c>
      <c r="F597" s="170">
        <v>10</v>
      </c>
      <c r="G597" s="170"/>
      <c r="H597" s="163">
        <v>5</v>
      </c>
      <c r="I597" t="s">
        <v>235</v>
      </c>
    </row>
    <row r="598" spans="1:9" x14ac:dyDescent="0.2">
      <c r="A598" s="18">
        <v>42479</v>
      </c>
      <c r="B598" s="170">
        <v>10</v>
      </c>
      <c r="C598" s="170">
        <v>10</v>
      </c>
      <c r="D598" s="170">
        <v>10</v>
      </c>
      <c r="E598" s="170">
        <v>10</v>
      </c>
      <c r="F598" s="170">
        <v>10</v>
      </c>
      <c r="G598" s="170">
        <v>10</v>
      </c>
      <c r="H598" s="163">
        <v>5</v>
      </c>
      <c r="I598" t="s">
        <v>235</v>
      </c>
    </row>
    <row r="599" spans="1:9" x14ac:dyDescent="0.2">
      <c r="A599" s="18">
        <v>42570</v>
      </c>
      <c r="B599" s="170">
        <v>10</v>
      </c>
      <c r="C599" s="170">
        <v>10</v>
      </c>
      <c r="D599" s="170">
        <v>10</v>
      </c>
      <c r="E599" s="170">
        <v>10</v>
      </c>
      <c r="F599" s="170">
        <v>10</v>
      </c>
      <c r="G599" s="170">
        <v>10</v>
      </c>
      <c r="H599" s="163">
        <v>5</v>
      </c>
      <c r="I599" t="s">
        <v>235</v>
      </c>
    </row>
    <row r="600" spans="1:9" x14ac:dyDescent="0.2">
      <c r="A600" s="18">
        <v>42654</v>
      </c>
      <c r="B600" s="170">
        <v>12.3</v>
      </c>
      <c r="C600" s="170">
        <v>10.1</v>
      </c>
      <c r="D600" s="170">
        <v>10</v>
      </c>
      <c r="E600" s="170">
        <v>10</v>
      </c>
      <c r="F600" s="170">
        <v>10.4</v>
      </c>
      <c r="G600" s="170">
        <v>10</v>
      </c>
      <c r="H600" s="163">
        <v>5</v>
      </c>
      <c r="I600" t="s">
        <v>235</v>
      </c>
    </row>
    <row r="601" spans="1:9" x14ac:dyDescent="0.2">
      <c r="A601" s="18">
        <v>42745</v>
      </c>
      <c r="B601" s="170">
        <v>12.9</v>
      </c>
      <c r="C601" s="170">
        <v>13.2</v>
      </c>
      <c r="D601" s="170">
        <v>15.3</v>
      </c>
      <c r="E601" s="170">
        <v>17.2</v>
      </c>
      <c r="F601" s="170">
        <v>13.5</v>
      </c>
      <c r="G601" s="170">
        <v>10</v>
      </c>
      <c r="H601" s="163">
        <v>5</v>
      </c>
      <c r="I601" t="s">
        <v>235</v>
      </c>
    </row>
    <row r="602" spans="1:9" x14ac:dyDescent="0.2">
      <c r="A602" s="18">
        <v>42843</v>
      </c>
      <c r="B602" s="170">
        <v>10</v>
      </c>
      <c r="C602" s="170">
        <v>10</v>
      </c>
      <c r="D602" s="170">
        <v>10</v>
      </c>
      <c r="E602" s="170">
        <v>10</v>
      </c>
      <c r="F602" s="170">
        <v>10</v>
      </c>
      <c r="G602" s="170">
        <v>10</v>
      </c>
      <c r="H602" s="163">
        <v>5</v>
      </c>
      <c r="I602" t="s">
        <v>235</v>
      </c>
    </row>
    <row r="603" spans="1:9" x14ac:dyDescent="0.2">
      <c r="A603" s="18">
        <v>42934</v>
      </c>
      <c r="B603" s="170">
        <v>11.8</v>
      </c>
      <c r="C603" s="170">
        <v>10</v>
      </c>
      <c r="D603" s="170">
        <v>10</v>
      </c>
      <c r="E603" s="170">
        <v>10</v>
      </c>
      <c r="F603" s="170">
        <v>10</v>
      </c>
      <c r="G603" s="170">
        <v>10</v>
      </c>
      <c r="H603" s="163">
        <v>5</v>
      </c>
      <c r="I603" t="s">
        <v>235</v>
      </c>
    </row>
    <row r="604" spans="1:9" x14ac:dyDescent="0.2">
      <c r="A604" s="18">
        <v>43025</v>
      </c>
      <c r="B604" s="170">
        <v>10</v>
      </c>
      <c r="C604" s="170">
        <v>10</v>
      </c>
      <c r="D604" s="170">
        <v>10</v>
      </c>
      <c r="E604" s="170">
        <v>10</v>
      </c>
      <c r="F604" s="170">
        <v>10</v>
      </c>
      <c r="G604" s="170">
        <v>10</v>
      </c>
      <c r="H604" s="163">
        <v>5</v>
      </c>
      <c r="I604" t="s">
        <v>235</v>
      </c>
    </row>
    <row r="605" spans="1:9" x14ac:dyDescent="0.2">
      <c r="A605" s="18">
        <v>43109</v>
      </c>
      <c r="B605" s="170">
        <v>11.6</v>
      </c>
      <c r="C605" s="170">
        <v>10</v>
      </c>
      <c r="D605" s="170">
        <v>10</v>
      </c>
      <c r="E605" s="170">
        <v>14.4</v>
      </c>
      <c r="F605" s="170">
        <v>10</v>
      </c>
      <c r="G605" s="170">
        <v>10</v>
      </c>
      <c r="H605" s="163">
        <v>5</v>
      </c>
      <c r="I605" t="s">
        <v>235</v>
      </c>
    </row>
    <row r="606" spans="1:9" x14ac:dyDescent="0.2">
      <c r="A606" s="18">
        <v>43193</v>
      </c>
      <c r="B606" s="170">
        <v>19</v>
      </c>
      <c r="C606" s="170">
        <v>18.7</v>
      </c>
      <c r="D606" s="170">
        <v>14.3</v>
      </c>
      <c r="E606" s="170">
        <v>21.8</v>
      </c>
      <c r="F606" s="170">
        <v>14.5</v>
      </c>
      <c r="G606" s="170">
        <v>10</v>
      </c>
      <c r="H606" s="163">
        <v>5</v>
      </c>
      <c r="I606" t="s">
        <v>235</v>
      </c>
    </row>
    <row r="607" spans="1:9" x14ac:dyDescent="0.2">
      <c r="A607" s="18">
        <v>43298</v>
      </c>
      <c r="B607" s="170">
        <v>10</v>
      </c>
      <c r="C607" s="170">
        <v>10</v>
      </c>
      <c r="D607" s="170">
        <v>10</v>
      </c>
      <c r="E607" s="170">
        <v>10</v>
      </c>
      <c r="F607" s="170">
        <v>10</v>
      </c>
      <c r="G607" s="170">
        <v>10</v>
      </c>
      <c r="H607" s="163">
        <v>5</v>
      </c>
      <c r="I607" t="s">
        <v>235</v>
      </c>
    </row>
    <row r="608" spans="1:9" x14ac:dyDescent="0.2">
      <c r="A608" s="18">
        <v>43403</v>
      </c>
      <c r="B608" s="170">
        <v>10</v>
      </c>
      <c r="C608" s="170">
        <v>10</v>
      </c>
      <c r="D608" s="170">
        <v>20</v>
      </c>
      <c r="E608" s="170">
        <v>20</v>
      </c>
      <c r="F608" s="170">
        <v>20</v>
      </c>
      <c r="G608" s="170">
        <v>20</v>
      </c>
      <c r="H608" s="163">
        <v>5</v>
      </c>
      <c r="I608" t="s">
        <v>235</v>
      </c>
    </row>
    <row r="609" spans="1:10" x14ac:dyDescent="0.2">
      <c r="A609" s="18">
        <v>43487</v>
      </c>
      <c r="B609" s="170">
        <v>10</v>
      </c>
      <c r="C609" s="170">
        <v>10</v>
      </c>
      <c r="D609" s="170">
        <v>38.65</v>
      </c>
      <c r="E609" s="170"/>
      <c r="F609" s="170">
        <v>10</v>
      </c>
      <c r="G609" s="170">
        <v>10</v>
      </c>
      <c r="H609" s="163">
        <v>5</v>
      </c>
      <c r="I609" t="s">
        <v>235</v>
      </c>
    </row>
    <row r="610" spans="1:10" x14ac:dyDescent="0.2">
      <c r="A610" s="18">
        <v>43578</v>
      </c>
      <c r="B610" s="170">
        <v>23.837</v>
      </c>
      <c r="C610" s="170">
        <v>34.496000000000002</v>
      </c>
      <c r="D610" s="170">
        <v>73.667000000000002</v>
      </c>
      <c r="E610" s="170">
        <v>32.395000000000003</v>
      </c>
      <c r="F610" s="170">
        <v>10</v>
      </c>
      <c r="G610" s="170">
        <v>28.776</v>
      </c>
      <c r="H610" s="163">
        <v>5</v>
      </c>
      <c r="I610" t="s">
        <v>235</v>
      </c>
    </row>
    <row r="611" spans="1:10" x14ac:dyDescent="0.2">
      <c r="A611" s="18">
        <v>43704</v>
      </c>
      <c r="B611" s="170">
        <v>14.343999999999999</v>
      </c>
      <c r="C611" s="170">
        <v>14.244999999999999</v>
      </c>
      <c r="D611" s="170">
        <v>11.032999999999999</v>
      </c>
      <c r="E611" s="170">
        <v>10</v>
      </c>
      <c r="F611" s="170">
        <v>10</v>
      </c>
      <c r="G611" s="170">
        <v>10</v>
      </c>
      <c r="H611" s="163">
        <v>5</v>
      </c>
      <c r="I611" t="s">
        <v>235</v>
      </c>
    </row>
    <row r="612" spans="1:10" x14ac:dyDescent="0.2">
      <c r="A612" s="18">
        <v>43760</v>
      </c>
      <c r="B612" s="170">
        <v>10</v>
      </c>
      <c r="C612" s="170">
        <v>10</v>
      </c>
      <c r="D612" s="170">
        <v>10</v>
      </c>
      <c r="E612" s="170">
        <v>10</v>
      </c>
      <c r="F612" s="170">
        <v>10</v>
      </c>
      <c r="G612" s="170">
        <v>10</v>
      </c>
      <c r="H612" s="163">
        <v>5</v>
      </c>
      <c r="I612" t="s">
        <v>235</v>
      </c>
    </row>
    <row r="613" spans="1:10" x14ac:dyDescent="0.2">
      <c r="A613" s="18">
        <v>44021</v>
      </c>
      <c r="B613" s="170">
        <v>10</v>
      </c>
      <c r="C613" s="170">
        <v>10</v>
      </c>
      <c r="D613" s="170">
        <v>10</v>
      </c>
      <c r="E613" s="170">
        <v>10</v>
      </c>
      <c r="F613" s="170">
        <v>10</v>
      </c>
      <c r="G613" s="170">
        <v>10</v>
      </c>
      <c r="H613" s="163">
        <v>5</v>
      </c>
      <c r="I613" t="s">
        <v>235</v>
      </c>
    </row>
    <row r="614" spans="1:10" x14ac:dyDescent="0.2">
      <c r="A614" s="18">
        <v>44111</v>
      </c>
      <c r="B614" s="170">
        <v>10</v>
      </c>
      <c r="C614" s="170">
        <v>10</v>
      </c>
      <c r="D614" s="170">
        <v>10</v>
      </c>
      <c r="E614" s="170">
        <v>10</v>
      </c>
      <c r="F614" s="170">
        <v>10</v>
      </c>
      <c r="G614" s="170">
        <v>10</v>
      </c>
      <c r="H614" s="163">
        <v>5</v>
      </c>
      <c r="I614" t="s">
        <v>235</v>
      </c>
      <c r="J614" s="164"/>
    </row>
    <row r="615" spans="1:10" x14ac:dyDescent="0.2">
      <c r="A615" s="18">
        <v>44119</v>
      </c>
      <c r="B615" s="170">
        <v>28.995999999999999</v>
      </c>
      <c r="C615" s="170">
        <v>17.390999999999998</v>
      </c>
      <c r="D615" s="170"/>
      <c r="E615" s="170"/>
      <c r="F615" s="170"/>
      <c r="G615" s="170"/>
      <c r="H615" s="163">
        <v>5</v>
      </c>
      <c r="I615" t="s">
        <v>235</v>
      </c>
    </row>
    <row r="616" spans="1:10" x14ac:dyDescent="0.2">
      <c r="A616" s="18">
        <v>44120</v>
      </c>
      <c r="B616" s="170">
        <v>19.701000000000001</v>
      </c>
      <c r="C616" s="170">
        <v>16.577000000000002</v>
      </c>
      <c r="D616" s="170"/>
      <c r="E616" s="170"/>
      <c r="F616" s="170"/>
      <c r="G616" s="170"/>
      <c r="H616" s="163">
        <v>5</v>
      </c>
      <c r="I616" t="s">
        <v>235</v>
      </c>
    </row>
    <row r="617" spans="1:10" x14ac:dyDescent="0.2">
      <c r="A617" s="18">
        <v>44146</v>
      </c>
      <c r="B617" s="170">
        <v>10</v>
      </c>
      <c r="C617" s="170">
        <v>10</v>
      </c>
      <c r="D617" s="170">
        <v>10</v>
      </c>
      <c r="E617" s="170">
        <v>10</v>
      </c>
      <c r="F617" s="170">
        <v>10</v>
      </c>
      <c r="G617" s="170">
        <v>10</v>
      </c>
      <c r="H617" s="163">
        <v>5</v>
      </c>
      <c r="I617" s="3" t="s">
        <v>238</v>
      </c>
    </row>
    <row r="618" spans="1:10" x14ac:dyDescent="0.2">
      <c r="A618" s="18">
        <v>44146</v>
      </c>
      <c r="B618" s="163">
        <v>5</v>
      </c>
      <c r="C618" s="170">
        <v>26</v>
      </c>
      <c r="D618" s="163">
        <v>5</v>
      </c>
      <c r="E618" s="170">
        <v>14</v>
      </c>
      <c r="F618" s="170">
        <v>7</v>
      </c>
      <c r="G618" s="170">
        <v>15</v>
      </c>
      <c r="H618" s="163">
        <v>5</v>
      </c>
      <c r="I618" s="3" t="s">
        <v>236</v>
      </c>
    </row>
    <row r="619" spans="1:10" x14ac:dyDescent="0.2">
      <c r="A619" s="18">
        <v>44184</v>
      </c>
      <c r="B619" s="170">
        <v>6</v>
      </c>
      <c r="C619" s="170">
        <v>10</v>
      </c>
      <c r="D619" s="184">
        <v>5</v>
      </c>
      <c r="E619" s="184">
        <v>5</v>
      </c>
      <c r="F619" s="184">
        <v>5</v>
      </c>
      <c r="G619" s="184">
        <v>5</v>
      </c>
      <c r="H619" s="163">
        <v>5</v>
      </c>
      <c r="I619" s="3" t="s">
        <v>236</v>
      </c>
    </row>
    <row r="621" spans="1:10" hidden="1" x14ac:dyDescent="0.2">
      <c r="A621" s="34"/>
      <c r="B621" s="36" t="s">
        <v>87</v>
      </c>
    </row>
    <row r="622" spans="1:10" hidden="1" x14ac:dyDescent="0.2">
      <c r="A622" s="34"/>
      <c r="B622" s="29" t="s">
        <v>75</v>
      </c>
    </row>
    <row r="623" spans="1:10" hidden="1" x14ac:dyDescent="0.2">
      <c r="A623" s="12" t="s">
        <v>7</v>
      </c>
      <c r="B623" s="78" t="s">
        <v>9</v>
      </c>
      <c r="C623" s="77" t="s">
        <v>10</v>
      </c>
      <c r="D623" s="76" t="s">
        <v>11</v>
      </c>
      <c r="E623" s="75" t="s">
        <v>12</v>
      </c>
      <c r="F623" s="74" t="s">
        <v>13</v>
      </c>
      <c r="G623" s="27" t="s">
        <v>14</v>
      </c>
    </row>
    <row r="624" spans="1:10" hidden="1" x14ac:dyDescent="0.2">
      <c r="A624" s="18">
        <v>37046</v>
      </c>
      <c r="B624" s="34">
        <v>2</v>
      </c>
      <c r="C624" s="34">
        <v>2</v>
      </c>
      <c r="D624" s="34">
        <v>2</v>
      </c>
      <c r="E624" s="34">
        <v>2</v>
      </c>
      <c r="F624" s="34"/>
      <c r="G624" s="34"/>
    </row>
    <row r="625" spans="1:7" hidden="1" x14ac:dyDescent="0.2">
      <c r="A625" s="18">
        <v>37076</v>
      </c>
      <c r="B625" s="34">
        <v>2</v>
      </c>
      <c r="C625" s="34">
        <v>4.01</v>
      </c>
      <c r="D625" s="34">
        <v>6.33</v>
      </c>
      <c r="E625" s="34">
        <v>2</v>
      </c>
      <c r="F625" s="34"/>
      <c r="G625" s="34"/>
    </row>
    <row r="626" spans="1:7" hidden="1" x14ac:dyDescent="0.2">
      <c r="A626" s="18">
        <v>37335</v>
      </c>
      <c r="B626" s="34">
        <v>2</v>
      </c>
      <c r="C626" s="34">
        <v>2</v>
      </c>
      <c r="D626" s="34">
        <v>2</v>
      </c>
      <c r="E626" s="34">
        <v>2</v>
      </c>
      <c r="F626" s="34"/>
      <c r="G626" s="34"/>
    </row>
    <row r="627" spans="1:7" hidden="1" x14ac:dyDescent="0.2">
      <c r="A627" s="18">
        <v>37566</v>
      </c>
      <c r="B627" s="34"/>
      <c r="C627" s="34"/>
      <c r="D627" s="34"/>
      <c r="E627" s="34"/>
      <c r="F627" s="34"/>
      <c r="G627" s="34"/>
    </row>
    <row r="628" spans="1:7" hidden="1" x14ac:dyDescent="0.2">
      <c r="A628" s="18">
        <v>37594</v>
      </c>
      <c r="B628" s="34"/>
      <c r="C628" s="34"/>
      <c r="D628" s="34"/>
      <c r="E628" s="34"/>
      <c r="F628" s="34"/>
      <c r="G628" s="34"/>
    </row>
    <row r="629" spans="1:7" hidden="1" x14ac:dyDescent="0.2">
      <c r="A629" s="18">
        <v>37711</v>
      </c>
      <c r="B629" s="34"/>
      <c r="C629" s="34"/>
      <c r="D629" s="34"/>
      <c r="E629" s="34"/>
      <c r="F629" s="34"/>
      <c r="G629" s="34"/>
    </row>
    <row r="630" spans="1:7" hidden="1" x14ac:dyDescent="0.2">
      <c r="A630" s="18">
        <v>37739</v>
      </c>
      <c r="B630" s="34"/>
      <c r="C630" s="34"/>
      <c r="D630" s="34"/>
      <c r="E630" s="34"/>
      <c r="F630" s="34"/>
      <c r="G630" s="34"/>
    </row>
    <row r="631" spans="1:7" hidden="1" x14ac:dyDescent="0.2">
      <c r="A631" s="18">
        <v>37825</v>
      </c>
      <c r="B631" s="34"/>
      <c r="C631" s="34"/>
      <c r="D631" s="34"/>
      <c r="E631" s="34"/>
      <c r="F631" s="34"/>
      <c r="G631" s="34"/>
    </row>
    <row r="632" spans="1:7" hidden="1" x14ac:dyDescent="0.2">
      <c r="A632" s="18">
        <v>37888</v>
      </c>
      <c r="B632" s="34">
        <v>2</v>
      </c>
      <c r="C632" s="34">
        <v>2.5</v>
      </c>
      <c r="D632" s="34">
        <v>6.1</v>
      </c>
      <c r="E632" s="34">
        <v>8.6</v>
      </c>
      <c r="F632" s="34"/>
      <c r="G632" s="34"/>
    </row>
    <row r="633" spans="1:7" hidden="1" x14ac:dyDescent="0.2">
      <c r="A633" s="18">
        <v>37963</v>
      </c>
      <c r="B633" s="34">
        <v>5.7</v>
      </c>
      <c r="C633" s="34">
        <v>11</v>
      </c>
      <c r="D633" s="34">
        <v>13.6</v>
      </c>
      <c r="E633" s="34">
        <v>19.7</v>
      </c>
      <c r="F633" s="34"/>
      <c r="G633" s="34"/>
    </row>
    <row r="634" spans="1:7" hidden="1" x14ac:dyDescent="0.2">
      <c r="A634" s="18">
        <v>38012</v>
      </c>
      <c r="B634" s="34">
        <v>2</v>
      </c>
      <c r="C634" s="34">
        <v>2</v>
      </c>
      <c r="D634" s="34">
        <v>2</v>
      </c>
      <c r="E634" s="34">
        <v>2</v>
      </c>
      <c r="F634" s="34"/>
      <c r="G634" s="34"/>
    </row>
    <row r="635" spans="1:7" hidden="1" x14ac:dyDescent="0.2">
      <c r="A635" s="18">
        <v>38033</v>
      </c>
      <c r="B635" s="34">
        <v>2</v>
      </c>
      <c r="C635" s="34">
        <v>2</v>
      </c>
      <c r="D635" s="34">
        <v>3.5</v>
      </c>
      <c r="E635" s="34">
        <v>5.0999999999999996</v>
      </c>
      <c r="F635" s="34"/>
      <c r="G635" s="34"/>
    </row>
    <row r="636" spans="1:7" hidden="1" x14ac:dyDescent="0.2">
      <c r="A636" s="18">
        <v>38271</v>
      </c>
      <c r="B636" s="34">
        <v>2</v>
      </c>
      <c r="C636" s="34">
        <v>2</v>
      </c>
      <c r="D636" s="34">
        <v>2</v>
      </c>
      <c r="E636" s="34">
        <v>2</v>
      </c>
      <c r="F636" s="34"/>
      <c r="G636" s="34"/>
    </row>
    <row r="637" spans="1:7" hidden="1" x14ac:dyDescent="0.2">
      <c r="A637" s="18">
        <v>38474</v>
      </c>
      <c r="B637" s="34">
        <v>41.3</v>
      </c>
      <c r="C637" s="34">
        <v>27.3</v>
      </c>
      <c r="D637" s="34">
        <v>14.8</v>
      </c>
      <c r="E637" s="34">
        <v>17.3</v>
      </c>
      <c r="F637" s="34"/>
      <c r="G637" s="34"/>
    </row>
    <row r="638" spans="1:7" hidden="1" x14ac:dyDescent="0.2">
      <c r="A638" s="18">
        <v>38896</v>
      </c>
      <c r="B638" s="34">
        <v>3</v>
      </c>
      <c r="C638" s="34">
        <v>3</v>
      </c>
      <c r="D638" s="34">
        <v>3</v>
      </c>
      <c r="E638" s="34">
        <v>3</v>
      </c>
      <c r="F638" s="34"/>
      <c r="G638" s="34"/>
    </row>
    <row r="639" spans="1:7" hidden="1" x14ac:dyDescent="0.2">
      <c r="A639" s="18">
        <v>40625</v>
      </c>
      <c r="B639" s="34">
        <v>50</v>
      </c>
      <c r="C639" s="34">
        <v>50</v>
      </c>
      <c r="D639" s="34">
        <v>50</v>
      </c>
      <c r="E639" s="34">
        <v>50</v>
      </c>
      <c r="F639" s="34">
        <v>50</v>
      </c>
      <c r="G639" s="34">
        <v>50</v>
      </c>
    </row>
    <row r="640" spans="1:7" hidden="1" x14ac:dyDescent="0.2">
      <c r="A640" s="18">
        <v>40716</v>
      </c>
      <c r="B640" s="34">
        <v>6</v>
      </c>
      <c r="C640" s="34">
        <v>6</v>
      </c>
      <c r="D640" s="34">
        <v>6</v>
      </c>
      <c r="E640" s="34">
        <v>6</v>
      </c>
      <c r="F640" s="34">
        <v>6</v>
      </c>
      <c r="G640" s="34">
        <v>6</v>
      </c>
    </row>
    <row r="641" spans="1:7" hidden="1" x14ac:dyDescent="0.2">
      <c r="A641" s="18">
        <v>40821</v>
      </c>
      <c r="B641" s="34">
        <v>20</v>
      </c>
      <c r="C641" s="34">
        <v>20</v>
      </c>
      <c r="D641" s="34">
        <v>20</v>
      </c>
      <c r="E641" s="34">
        <v>20</v>
      </c>
      <c r="F641" s="34">
        <v>20</v>
      </c>
      <c r="G641" s="34">
        <v>20</v>
      </c>
    </row>
    <row r="642" spans="1:7" hidden="1" x14ac:dyDescent="0.2">
      <c r="A642" s="18">
        <v>40897</v>
      </c>
      <c r="B642" s="34">
        <v>20</v>
      </c>
      <c r="C642" s="34">
        <v>20</v>
      </c>
      <c r="D642" s="34">
        <v>20</v>
      </c>
      <c r="E642" s="34">
        <v>25.3</v>
      </c>
      <c r="F642" s="34">
        <v>20</v>
      </c>
      <c r="G642" s="34">
        <v>23.3</v>
      </c>
    </row>
    <row r="643" spans="1:7" hidden="1" x14ac:dyDescent="0.2">
      <c r="A643" s="18">
        <v>41008</v>
      </c>
      <c r="B643" s="34">
        <v>20</v>
      </c>
      <c r="C643" s="34">
        <v>20</v>
      </c>
      <c r="D643" s="34">
        <v>67.599999999999994</v>
      </c>
      <c r="E643" s="34">
        <v>20</v>
      </c>
      <c r="F643" s="34">
        <v>20</v>
      </c>
      <c r="G643" s="34">
        <v>20</v>
      </c>
    </row>
    <row r="644" spans="1:7" hidden="1" x14ac:dyDescent="0.2">
      <c r="A644" s="18">
        <v>41086</v>
      </c>
      <c r="B644" s="34">
        <v>20</v>
      </c>
      <c r="C644" s="34">
        <v>20</v>
      </c>
      <c r="D644" s="34">
        <v>20</v>
      </c>
      <c r="E644" s="34">
        <v>20</v>
      </c>
      <c r="F644" s="34">
        <v>20</v>
      </c>
      <c r="G644" s="34">
        <v>20</v>
      </c>
    </row>
    <row r="645" spans="1:7" hidden="1" x14ac:dyDescent="0.2">
      <c r="A645" s="18">
        <v>41179</v>
      </c>
      <c r="B645" s="34">
        <v>20</v>
      </c>
      <c r="C645" s="34">
        <v>20</v>
      </c>
      <c r="D645" s="34">
        <v>20</v>
      </c>
      <c r="E645" s="34">
        <v>20</v>
      </c>
      <c r="F645" s="34">
        <v>20</v>
      </c>
      <c r="G645" s="34">
        <v>20</v>
      </c>
    </row>
    <row r="646" spans="1:7" hidden="1" x14ac:dyDescent="0.2">
      <c r="A646" s="18">
        <v>41247</v>
      </c>
      <c r="B646" s="34">
        <v>20</v>
      </c>
      <c r="C646" s="34">
        <v>20</v>
      </c>
      <c r="D646" s="34">
        <v>20</v>
      </c>
      <c r="E646" s="34">
        <v>20</v>
      </c>
      <c r="F646" s="34">
        <v>20</v>
      </c>
      <c r="G646" s="34">
        <v>20</v>
      </c>
    </row>
    <row r="647" spans="1:7" hidden="1" x14ac:dyDescent="0.2">
      <c r="A647" s="18">
        <v>41352</v>
      </c>
      <c r="B647" s="34">
        <v>20</v>
      </c>
      <c r="C647" s="34">
        <v>20</v>
      </c>
      <c r="D647" s="34">
        <v>20</v>
      </c>
      <c r="E647" s="34">
        <v>20</v>
      </c>
      <c r="F647" s="34">
        <v>20</v>
      </c>
      <c r="G647" s="34">
        <v>20</v>
      </c>
    </row>
    <row r="648" spans="1:7" hidden="1" x14ac:dyDescent="0.2">
      <c r="A648" s="18">
        <v>41445</v>
      </c>
      <c r="B648" s="34">
        <v>20</v>
      </c>
      <c r="C648" s="34">
        <v>20</v>
      </c>
      <c r="D648" s="34">
        <v>20</v>
      </c>
      <c r="E648" s="34">
        <v>20</v>
      </c>
      <c r="F648" s="34">
        <v>20</v>
      </c>
      <c r="G648" s="34">
        <v>20</v>
      </c>
    </row>
    <row r="649" spans="1:7" hidden="1" x14ac:dyDescent="0.2">
      <c r="A649" s="18">
        <v>41528</v>
      </c>
      <c r="B649" s="34">
        <v>20</v>
      </c>
      <c r="C649" s="34">
        <v>20</v>
      </c>
      <c r="D649" s="34">
        <v>20</v>
      </c>
      <c r="E649" s="34">
        <v>20</v>
      </c>
      <c r="F649" s="34">
        <v>20</v>
      </c>
      <c r="G649" s="34">
        <v>20</v>
      </c>
    </row>
    <row r="650" spans="1:7" hidden="1" x14ac:dyDescent="0.2">
      <c r="A650" s="18">
        <v>41670</v>
      </c>
      <c r="B650" s="34">
        <v>46.4</v>
      </c>
      <c r="C650" s="34">
        <v>65.7</v>
      </c>
      <c r="D650" s="34">
        <v>59.1</v>
      </c>
      <c r="E650" s="34">
        <v>91.7</v>
      </c>
      <c r="F650" s="34">
        <v>81.599999999999994</v>
      </c>
      <c r="G650" s="34">
        <v>96.5</v>
      </c>
    </row>
    <row r="651" spans="1:7" hidden="1" x14ac:dyDescent="0.2">
      <c r="A651" s="18">
        <v>41758</v>
      </c>
      <c r="B651" s="34">
        <v>20</v>
      </c>
      <c r="C651" s="34">
        <v>20</v>
      </c>
      <c r="D651" s="34">
        <v>20</v>
      </c>
      <c r="E651" s="34">
        <v>20</v>
      </c>
      <c r="F651" s="34">
        <v>20</v>
      </c>
      <c r="G651" s="34">
        <v>20</v>
      </c>
    </row>
    <row r="652" spans="1:7" hidden="1" x14ac:dyDescent="0.2">
      <c r="A652" s="18">
        <v>41835</v>
      </c>
      <c r="B652" s="34">
        <v>20</v>
      </c>
      <c r="C652" s="34">
        <v>20</v>
      </c>
      <c r="D652" s="34">
        <v>20</v>
      </c>
      <c r="E652" s="34">
        <v>20</v>
      </c>
      <c r="F652" s="34">
        <v>20</v>
      </c>
      <c r="G652" s="34">
        <v>20</v>
      </c>
    </row>
    <row r="653" spans="1:7" hidden="1" x14ac:dyDescent="0.2">
      <c r="A653" s="18">
        <v>42031</v>
      </c>
      <c r="B653" s="34">
        <v>20</v>
      </c>
      <c r="C653" s="34">
        <v>20</v>
      </c>
      <c r="D653" s="34">
        <v>20</v>
      </c>
      <c r="E653" s="34">
        <v>68.400000000000006</v>
      </c>
      <c r="F653" s="34">
        <v>20</v>
      </c>
      <c r="G653" s="34">
        <v>85.9</v>
      </c>
    </row>
    <row r="654" spans="1:7" hidden="1" x14ac:dyDescent="0.2">
      <c r="A654" s="18">
        <v>42094</v>
      </c>
      <c r="B654" s="34">
        <v>20</v>
      </c>
      <c r="C654" s="34">
        <v>20</v>
      </c>
      <c r="D654" s="34">
        <v>20</v>
      </c>
      <c r="E654" s="34">
        <v>28.8</v>
      </c>
      <c r="F654" s="34">
        <v>20</v>
      </c>
      <c r="G654" s="34">
        <v>20</v>
      </c>
    </row>
    <row r="655" spans="1:7" hidden="1" x14ac:dyDescent="0.2">
      <c r="A655" s="18">
        <v>42192</v>
      </c>
      <c r="B655" s="34">
        <v>20</v>
      </c>
      <c r="C655" s="34">
        <v>20</v>
      </c>
      <c r="D655" s="34">
        <v>20</v>
      </c>
      <c r="E655" s="34">
        <v>20</v>
      </c>
      <c r="F655" s="34">
        <v>20</v>
      </c>
      <c r="G655" s="34">
        <v>20</v>
      </c>
    </row>
    <row r="656" spans="1:7" hidden="1" x14ac:dyDescent="0.2">
      <c r="A656" s="18">
        <v>42290</v>
      </c>
      <c r="B656" s="34">
        <v>20</v>
      </c>
      <c r="C656" s="34">
        <v>20</v>
      </c>
      <c r="D656" s="34">
        <v>20</v>
      </c>
      <c r="E656" s="34">
        <v>20</v>
      </c>
      <c r="F656" s="34">
        <v>20</v>
      </c>
      <c r="G656" s="34"/>
    </row>
    <row r="657" spans="1:7" hidden="1" x14ac:dyDescent="0.2">
      <c r="A657" s="18">
        <v>42381</v>
      </c>
      <c r="B657" s="34">
        <v>20</v>
      </c>
      <c r="C657" s="34">
        <v>20</v>
      </c>
      <c r="D657" s="34">
        <v>21.6</v>
      </c>
      <c r="E657" s="34">
        <v>20</v>
      </c>
      <c r="F657" s="34">
        <v>20</v>
      </c>
      <c r="G657" s="34"/>
    </row>
    <row r="658" spans="1:7" hidden="1" x14ac:dyDescent="0.2">
      <c r="A658" s="18">
        <v>42479</v>
      </c>
      <c r="B658" s="34">
        <v>20</v>
      </c>
      <c r="C658" s="34">
        <v>20</v>
      </c>
      <c r="D658" s="34">
        <v>20</v>
      </c>
      <c r="E658" s="34">
        <v>20</v>
      </c>
      <c r="F658" s="34">
        <v>20</v>
      </c>
      <c r="G658" s="34">
        <v>20</v>
      </c>
    </row>
    <row r="659" spans="1:7" hidden="1" x14ac:dyDescent="0.2">
      <c r="A659" s="18">
        <v>42570</v>
      </c>
      <c r="B659" s="34">
        <v>20</v>
      </c>
      <c r="C659" s="34">
        <v>20</v>
      </c>
      <c r="D659" s="34">
        <v>20</v>
      </c>
      <c r="E659" s="34">
        <v>20</v>
      </c>
      <c r="F659" s="34">
        <v>20</v>
      </c>
      <c r="G659" s="34">
        <v>20</v>
      </c>
    </row>
    <row r="660" spans="1:7" hidden="1" x14ac:dyDescent="0.2">
      <c r="A660" s="18">
        <v>42654</v>
      </c>
      <c r="B660" s="34">
        <v>20</v>
      </c>
      <c r="C660" s="34">
        <v>20</v>
      </c>
      <c r="D660" s="34">
        <v>20</v>
      </c>
      <c r="E660" s="34">
        <v>20</v>
      </c>
      <c r="F660" s="34">
        <v>20</v>
      </c>
      <c r="G660" s="34">
        <v>20</v>
      </c>
    </row>
    <row r="661" spans="1:7" hidden="1" x14ac:dyDescent="0.2">
      <c r="A661" s="18">
        <v>42745</v>
      </c>
      <c r="B661" s="34">
        <v>20</v>
      </c>
      <c r="C661" s="34">
        <v>20</v>
      </c>
      <c r="D661" s="34">
        <v>20</v>
      </c>
      <c r="E661" s="34">
        <v>20</v>
      </c>
      <c r="F661" s="34">
        <v>20</v>
      </c>
      <c r="G661" s="34">
        <v>20</v>
      </c>
    </row>
    <row r="662" spans="1:7" hidden="1" x14ac:dyDescent="0.2">
      <c r="A662" s="18">
        <v>42843</v>
      </c>
      <c r="B662" s="34">
        <v>20</v>
      </c>
      <c r="C662" s="34">
        <v>20</v>
      </c>
      <c r="D662" s="34">
        <v>20</v>
      </c>
      <c r="E662" s="34">
        <v>20</v>
      </c>
      <c r="F662" s="34">
        <v>20</v>
      </c>
      <c r="G662" s="34">
        <v>20</v>
      </c>
    </row>
    <row r="663" spans="1:7" hidden="1" x14ac:dyDescent="0.2">
      <c r="A663" s="18">
        <v>42934</v>
      </c>
      <c r="B663" s="34">
        <v>20</v>
      </c>
      <c r="C663" s="34">
        <v>20</v>
      </c>
      <c r="D663" s="34">
        <v>20</v>
      </c>
      <c r="E663" s="34">
        <v>20</v>
      </c>
      <c r="F663" s="34">
        <v>20</v>
      </c>
      <c r="G663" s="34">
        <v>20</v>
      </c>
    </row>
    <row r="664" spans="1:7" hidden="1" x14ac:dyDescent="0.2">
      <c r="A664" s="18">
        <v>43025</v>
      </c>
      <c r="B664" s="34">
        <v>20</v>
      </c>
      <c r="C664" s="34">
        <v>20</v>
      </c>
      <c r="D664" s="34">
        <v>20</v>
      </c>
      <c r="E664" s="34">
        <v>20</v>
      </c>
      <c r="F664" s="34">
        <v>20</v>
      </c>
      <c r="G664" s="34">
        <v>20</v>
      </c>
    </row>
    <row r="665" spans="1:7" hidden="1" x14ac:dyDescent="0.2">
      <c r="A665" s="18">
        <v>43109</v>
      </c>
      <c r="B665" s="34">
        <v>20</v>
      </c>
      <c r="C665" s="34">
        <v>20</v>
      </c>
      <c r="D665" s="34">
        <v>20</v>
      </c>
      <c r="E665" s="34">
        <v>20</v>
      </c>
      <c r="F665" s="34">
        <v>20</v>
      </c>
      <c r="G665" s="34">
        <v>20</v>
      </c>
    </row>
    <row r="666" spans="1:7" hidden="1" x14ac:dyDescent="0.2">
      <c r="A666" s="18">
        <v>43193</v>
      </c>
      <c r="B666" s="34">
        <v>20</v>
      </c>
      <c r="C666" s="34">
        <v>20</v>
      </c>
      <c r="D666" s="34">
        <v>20.5</v>
      </c>
      <c r="E666" s="34">
        <v>20</v>
      </c>
      <c r="F666" s="34">
        <v>20</v>
      </c>
      <c r="G666" s="34">
        <v>20</v>
      </c>
    </row>
    <row r="667" spans="1:7" hidden="1" x14ac:dyDescent="0.2">
      <c r="A667" s="18">
        <v>43298</v>
      </c>
      <c r="B667" s="34">
        <v>20</v>
      </c>
      <c r="C667" s="34">
        <v>20</v>
      </c>
      <c r="D667" s="34">
        <v>20</v>
      </c>
      <c r="E667" s="34">
        <v>20</v>
      </c>
      <c r="F667" s="34">
        <v>20</v>
      </c>
      <c r="G667" s="34">
        <v>20</v>
      </c>
    </row>
    <row r="668" spans="1:7" hidden="1" x14ac:dyDescent="0.2">
      <c r="A668" s="18">
        <v>43403</v>
      </c>
      <c r="B668" s="34">
        <v>20</v>
      </c>
      <c r="C668" s="34">
        <v>20</v>
      </c>
      <c r="D668" s="34">
        <v>10</v>
      </c>
      <c r="E668" s="34">
        <v>10</v>
      </c>
      <c r="F668" s="34">
        <v>10</v>
      </c>
      <c r="G668" s="34">
        <v>10</v>
      </c>
    </row>
    <row r="669" spans="1:7" hidden="1" x14ac:dyDescent="0.2">
      <c r="A669" s="18">
        <v>43487</v>
      </c>
      <c r="B669" s="34">
        <v>20</v>
      </c>
      <c r="C669" s="34">
        <v>20</v>
      </c>
      <c r="D669" s="34">
        <v>21.91</v>
      </c>
      <c r="E669" s="34"/>
      <c r="F669" s="34">
        <v>20</v>
      </c>
      <c r="G669" s="34">
        <v>20</v>
      </c>
    </row>
    <row r="670" spans="1:7" hidden="1" x14ac:dyDescent="0.2">
      <c r="A670" s="18">
        <v>43578</v>
      </c>
      <c r="B670" s="34">
        <v>20</v>
      </c>
      <c r="C670" s="34">
        <v>20</v>
      </c>
      <c r="D670" s="34">
        <v>20</v>
      </c>
      <c r="E670" s="34">
        <v>21.472000000000001</v>
      </c>
      <c r="F670" s="34">
        <v>20</v>
      </c>
      <c r="G670" s="34">
        <v>20</v>
      </c>
    </row>
    <row r="671" spans="1:7" hidden="1" x14ac:dyDescent="0.2">
      <c r="A671" s="18">
        <v>43704</v>
      </c>
      <c r="B671" s="34">
        <v>20</v>
      </c>
      <c r="C671" s="34">
        <v>20</v>
      </c>
      <c r="D671" s="34">
        <v>20</v>
      </c>
      <c r="E671" s="34">
        <v>20</v>
      </c>
      <c r="F671" s="34">
        <v>20</v>
      </c>
      <c r="G671" s="34">
        <v>20</v>
      </c>
    </row>
    <row r="672" spans="1:7" hidden="1" x14ac:dyDescent="0.2">
      <c r="A672" s="18">
        <v>43760</v>
      </c>
      <c r="B672" s="34">
        <v>20</v>
      </c>
      <c r="C672" s="34">
        <v>20</v>
      </c>
      <c r="D672" s="34">
        <v>20</v>
      </c>
      <c r="E672" s="34">
        <v>20</v>
      </c>
      <c r="F672" s="34">
        <v>20</v>
      </c>
      <c r="G672" s="34">
        <v>20</v>
      </c>
    </row>
    <row r="673" spans="1:9" hidden="1" x14ac:dyDescent="0.2">
      <c r="A673" s="18">
        <v>44021</v>
      </c>
      <c r="B673" s="34">
        <v>20</v>
      </c>
      <c r="C673" s="34">
        <v>20</v>
      </c>
      <c r="D673" s="34">
        <v>20</v>
      </c>
      <c r="E673" s="34">
        <v>20</v>
      </c>
      <c r="F673" s="34">
        <v>20</v>
      </c>
      <c r="G673" s="34">
        <v>20</v>
      </c>
    </row>
    <row r="674" spans="1:9" hidden="1" x14ac:dyDescent="0.2"/>
    <row r="676" spans="1:9" x14ac:dyDescent="0.2">
      <c r="A676" s="34"/>
      <c r="B676" s="59" t="s">
        <v>90</v>
      </c>
    </row>
    <row r="677" spans="1:9" x14ac:dyDescent="0.2">
      <c r="A677" s="34"/>
      <c r="B677" s="60" t="s">
        <v>22</v>
      </c>
    </row>
    <row r="678" spans="1:9" x14ac:dyDescent="0.2">
      <c r="A678" s="12" t="s">
        <v>7</v>
      </c>
      <c r="B678" s="78" t="s">
        <v>9</v>
      </c>
      <c r="C678" s="77" t="s">
        <v>10</v>
      </c>
      <c r="D678" s="76" t="s">
        <v>11</v>
      </c>
      <c r="E678" s="75" t="s">
        <v>12</v>
      </c>
      <c r="F678" s="74" t="s">
        <v>13</v>
      </c>
      <c r="G678" s="27" t="s">
        <v>14</v>
      </c>
      <c r="H678" s="34" t="s">
        <v>237</v>
      </c>
    </row>
    <row r="679" spans="1:9" x14ac:dyDescent="0.2">
      <c r="A679" s="18">
        <v>37046</v>
      </c>
      <c r="B679" s="170">
        <v>1.883</v>
      </c>
      <c r="C679" s="170">
        <v>5.1790000000000003</v>
      </c>
      <c r="D679" s="170">
        <v>6.0430000000000001</v>
      </c>
      <c r="E679" s="170">
        <v>3.1589999999999998</v>
      </c>
      <c r="F679" s="163"/>
      <c r="G679" s="163"/>
      <c r="H679" s="163">
        <v>0.3</v>
      </c>
      <c r="I679" t="s">
        <v>235</v>
      </c>
    </row>
    <row r="680" spans="1:9" x14ac:dyDescent="0.2">
      <c r="A680" s="18">
        <v>37076</v>
      </c>
      <c r="B680" s="170">
        <v>1.093</v>
      </c>
      <c r="C680" s="170">
        <v>1.258</v>
      </c>
      <c r="D680" s="170">
        <v>1.1060000000000001</v>
      </c>
      <c r="E680" s="170">
        <v>1.581</v>
      </c>
      <c r="F680" s="163"/>
      <c r="G680" s="163"/>
      <c r="H680" s="163">
        <v>0.3</v>
      </c>
      <c r="I680" t="s">
        <v>235</v>
      </c>
    </row>
    <row r="681" spans="1:9" x14ac:dyDescent="0.2">
      <c r="A681" s="18">
        <v>37335</v>
      </c>
      <c r="B681" s="170">
        <v>0.61399999999999999</v>
      </c>
      <c r="C681" s="163">
        <v>3.0000000000000001E-3</v>
      </c>
      <c r="D681" s="170">
        <v>1.0680000000000001</v>
      </c>
      <c r="E681" s="170">
        <v>5.1029999999999998</v>
      </c>
      <c r="F681" s="163"/>
      <c r="G681" s="163"/>
      <c r="H681" s="163">
        <v>0.3</v>
      </c>
      <c r="I681" t="s">
        <v>235</v>
      </c>
    </row>
    <row r="682" spans="1:9" x14ac:dyDescent="0.2">
      <c r="A682" s="18">
        <v>37566</v>
      </c>
      <c r="B682" s="163"/>
      <c r="C682" s="163"/>
      <c r="D682" s="163"/>
      <c r="E682" s="163"/>
      <c r="F682" s="163"/>
      <c r="G682" s="163"/>
      <c r="H682" s="163">
        <v>0.3</v>
      </c>
      <c r="I682" t="s">
        <v>235</v>
      </c>
    </row>
    <row r="683" spans="1:9" x14ac:dyDescent="0.2">
      <c r="A683" s="18">
        <v>37594</v>
      </c>
      <c r="B683" s="163"/>
      <c r="C683" s="163"/>
      <c r="D683" s="163"/>
      <c r="E683" s="163"/>
      <c r="F683" s="163"/>
      <c r="G683" s="163"/>
      <c r="H683" s="163">
        <v>0.3</v>
      </c>
      <c r="I683" t="s">
        <v>235</v>
      </c>
    </row>
    <row r="684" spans="1:9" x14ac:dyDescent="0.2">
      <c r="A684" s="18">
        <v>37711</v>
      </c>
      <c r="B684" s="163"/>
      <c r="C684" s="163"/>
      <c r="D684" s="163"/>
      <c r="E684" s="163"/>
      <c r="F684" s="163"/>
      <c r="G684" s="163"/>
      <c r="H684" s="163">
        <v>0.3</v>
      </c>
      <c r="I684" t="s">
        <v>235</v>
      </c>
    </row>
    <row r="685" spans="1:9" x14ac:dyDescent="0.2">
      <c r="A685" s="18">
        <v>37739</v>
      </c>
      <c r="B685" s="163"/>
      <c r="C685" s="163"/>
      <c r="D685" s="163"/>
      <c r="E685" s="163"/>
      <c r="F685" s="163"/>
      <c r="G685" s="163"/>
      <c r="H685" s="163">
        <v>0.3</v>
      </c>
      <c r="I685" t="s">
        <v>235</v>
      </c>
    </row>
    <row r="686" spans="1:9" x14ac:dyDescent="0.2">
      <c r="A686" s="18">
        <v>37825</v>
      </c>
      <c r="B686" s="163"/>
      <c r="C686" s="163"/>
      <c r="D686" s="163"/>
      <c r="E686" s="163"/>
      <c r="F686" s="163"/>
      <c r="G686" s="163"/>
      <c r="H686" s="163">
        <v>0.3</v>
      </c>
      <c r="I686" t="s">
        <v>235</v>
      </c>
    </row>
    <row r="687" spans="1:9" x14ac:dyDescent="0.2">
      <c r="A687" s="18">
        <v>37888</v>
      </c>
      <c r="B687" s="163"/>
      <c r="C687" s="163"/>
      <c r="D687" s="163"/>
      <c r="E687" s="163"/>
      <c r="F687" s="163"/>
      <c r="G687" s="163"/>
      <c r="H687" s="163">
        <v>0.3</v>
      </c>
      <c r="I687" t="s">
        <v>235</v>
      </c>
    </row>
    <row r="688" spans="1:9" x14ac:dyDescent="0.2">
      <c r="A688" s="18">
        <v>37963</v>
      </c>
      <c r="B688" s="163"/>
      <c r="C688" s="163"/>
      <c r="D688" s="163"/>
      <c r="E688" s="163"/>
      <c r="F688" s="163"/>
      <c r="G688" s="163"/>
      <c r="H688" s="163">
        <v>0.3</v>
      </c>
      <c r="I688" t="s">
        <v>235</v>
      </c>
    </row>
    <row r="689" spans="1:9" x14ac:dyDescent="0.2">
      <c r="A689" s="18">
        <v>38012</v>
      </c>
      <c r="B689" s="163"/>
      <c r="C689" s="163"/>
      <c r="D689" s="163"/>
      <c r="E689" s="163"/>
      <c r="F689" s="163"/>
      <c r="G689" s="163"/>
      <c r="H689" s="163">
        <v>0.3</v>
      </c>
      <c r="I689" t="s">
        <v>235</v>
      </c>
    </row>
    <row r="690" spans="1:9" x14ac:dyDescent="0.2">
      <c r="A690" s="18">
        <v>38033</v>
      </c>
      <c r="B690" s="163"/>
      <c r="C690" s="163"/>
      <c r="D690" s="163"/>
      <c r="E690" s="163"/>
      <c r="F690" s="163"/>
      <c r="G690" s="163"/>
      <c r="H690" s="163">
        <v>0.3</v>
      </c>
      <c r="I690" t="s">
        <v>235</v>
      </c>
    </row>
    <row r="691" spans="1:9" x14ac:dyDescent="0.2">
      <c r="A691" s="18">
        <v>38271</v>
      </c>
      <c r="B691" s="163">
        <v>0.2389</v>
      </c>
      <c r="C691" s="163">
        <v>0.2984</v>
      </c>
      <c r="D691" s="170">
        <v>0.45439999999999997</v>
      </c>
      <c r="E691" s="170">
        <v>1.552</v>
      </c>
      <c r="F691" s="163"/>
      <c r="G691" s="163"/>
      <c r="H691" s="163">
        <v>0.3</v>
      </c>
      <c r="I691" t="s">
        <v>235</v>
      </c>
    </row>
    <row r="692" spans="1:9" x14ac:dyDescent="0.2">
      <c r="A692" s="18">
        <v>38474</v>
      </c>
      <c r="B692" s="163"/>
      <c r="C692" s="163"/>
      <c r="D692" s="163"/>
      <c r="E692" s="163"/>
      <c r="F692" s="163"/>
      <c r="G692" s="163"/>
      <c r="H692" s="163">
        <v>0.3</v>
      </c>
      <c r="I692" t="s">
        <v>235</v>
      </c>
    </row>
    <row r="693" spans="1:9" x14ac:dyDescent="0.2">
      <c r="A693" s="18">
        <v>38896</v>
      </c>
      <c r="B693" s="163">
        <v>5.5299999999999995E-2</v>
      </c>
      <c r="C693" s="163">
        <v>4.1599999999999998E-2</v>
      </c>
      <c r="D693" s="163">
        <v>2.2499999999999999E-2</v>
      </c>
      <c r="E693" s="163">
        <v>1.49E-2</v>
      </c>
      <c r="F693" s="163"/>
      <c r="G693" s="163"/>
      <c r="H693" s="163">
        <v>0.3</v>
      </c>
      <c r="I693" t="s">
        <v>235</v>
      </c>
    </row>
    <row r="694" spans="1:9" x14ac:dyDescent="0.2">
      <c r="A694" s="18">
        <v>40625</v>
      </c>
      <c r="B694" s="170">
        <v>3.4319999999999999</v>
      </c>
      <c r="C694" s="170">
        <v>3.1</v>
      </c>
      <c r="D694" s="170">
        <v>4.1950000000000003</v>
      </c>
      <c r="E694" s="170">
        <v>9.8030000000000008</v>
      </c>
      <c r="F694" s="170">
        <v>5.0019999999999998</v>
      </c>
      <c r="G694" s="170">
        <v>2.1059999999999999</v>
      </c>
      <c r="H694" s="163">
        <v>0.3</v>
      </c>
      <c r="I694" t="s">
        <v>235</v>
      </c>
    </row>
    <row r="695" spans="1:9" x14ac:dyDescent="0.2">
      <c r="A695" s="18">
        <v>40716</v>
      </c>
      <c r="B695" s="163">
        <v>0.28589999999999999</v>
      </c>
      <c r="C695" s="170">
        <v>0.30560000000000004</v>
      </c>
      <c r="D695" s="170">
        <v>0.307</v>
      </c>
      <c r="E695" s="163">
        <v>0.2601</v>
      </c>
      <c r="F695" s="163">
        <v>0.28799999999999998</v>
      </c>
      <c r="G695" s="163">
        <v>7.7799999999999994E-2</v>
      </c>
      <c r="H695" s="163">
        <v>0.3</v>
      </c>
      <c r="I695" t="s">
        <v>235</v>
      </c>
    </row>
    <row r="696" spans="1:9" x14ac:dyDescent="0.2">
      <c r="A696" s="18">
        <v>40821</v>
      </c>
      <c r="B696" s="170">
        <v>12.89</v>
      </c>
      <c r="C696" s="170">
        <v>9.9220000000000006</v>
      </c>
      <c r="D696" s="170">
        <v>11.72</v>
      </c>
      <c r="E696" s="170">
        <v>13.19</v>
      </c>
      <c r="F696" s="170">
        <v>13.5</v>
      </c>
      <c r="G696" s="170">
        <v>0.72650000000000003</v>
      </c>
      <c r="H696" s="163">
        <v>0.3</v>
      </c>
      <c r="I696" t="s">
        <v>235</v>
      </c>
    </row>
    <row r="697" spans="1:9" x14ac:dyDescent="0.2">
      <c r="A697" s="18">
        <v>40897</v>
      </c>
      <c r="B697" s="170">
        <v>5.9269999999999996</v>
      </c>
      <c r="C697" s="170">
        <v>8.3249999999999993</v>
      </c>
      <c r="D697" s="170">
        <v>14.58</v>
      </c>
      <c r="E697" s="170">
        <v>20.03</v>
      </c>
      <c r="F697" s="170">
        <v>8.9920000000000009</v>
      </c>
      <c r="G697" s="170">
        <v>13.21</v>
      </c>
      <c r="H697" s="163">
        <v>0.3</v>
      </c>
      <c r="I697" t="s">
        <v>235</v>
      </c>
    </row>
    <row r="698" spans="1:9" x14ac:dyDescent="0.2">
      <c r="A698" s="18">
        <v>41008</v>
      </c>
      <c r="B698" s="170">
        <v>1.9339999999999999</v>
      </c>
      <c r="C698" s="170">
        <v>3.6179999999999999</v>
      </c>
      <c r="D698" s="170">
        <v>78.62</v>
      </c>
      <c r="E698" s="170">
        <v>8.0470000000000006</v>
      </c>
      <c r="F698" s="170">
        <v>4.5759999999999996</v>
      </c>
      <c r="G698" s="163">
        <v>0.1618</v>
      </c>
      <c r="H698" s="163">
        <v>0.3</v>
      </c>
      <c r="I698" t="s">
        <v>235</v>
      </c>
    </row>
    <row r="699" spans="1:9" x14ac:dyDescent="0.2">
      <c r="A699" s="18">
        <v>41086</v>
      </c>
      <c r="B699" s="170">
        <v>6.2557</v>
      </c>
      <c r="C699" s="170">
        <v>5.8311000000000002</v>
      </c>
      <c r="D699" s="170">
        <v>7.3677999999999999</v>
      </c>
      <c r="E699" s="170">
        <v>5.0853000000000002</v>
      </c>
      <c r="F699" s="170">
        <v>5.9565000000000001</v>
      </c>
      <c r="G699" s="163">
        <v>0.26</v>
      </c>
      <c r="H699" s="163">
        <v>0.3</v>
      </c>
      <c r="I699" t="s">
        <v>235</v>
      </c>
    </row>
    <row r="700" spans="1:9" x14ac:dyDescent="0.2">
      <c r="A700" s="18">
        <v>41179</v>
      </c>
      <c r="B700" s="163">
        <v>6.6599999999999993E-2</v>
      </c>
      <c r="C700" s="163">
        <v>7.4799999999999991E-2</v>
      </c>
      <c r="D700" s="163">
        <v>0.10540000000000001</v>
      </c>
      <c r="E700" s="163">
        <v>5.4799999999999995E-2</v>
      </c>
      <c r="F700" s="163">
        <v>0.1004</v>
      </c>
      <c r="G700" s="170">
        <v>0.32219999999999999</v>
      </c>
      <c r="H700" s="163">
        <v>0.3</v>
      </c>
      <c r="I700" t="s">
        <v>235</v>
      </c>
    </row>
    <row r="701" spans="1:9" x14ac:dyDescent="0.2">
      <c r="A701" s="18">
        <v>41247</v>
      </c>
      <c r="B701" s="170">
        <v>0.40600000000000003</v>
      </c>
      <c r="C701" s="170">
        <v>0.33739999999999998</v>
      </c>
      <c r="D701" s="170">
        <v>0.36889999999999995</v>
      </c>
      <c r="E701" s="170">
        <v>0.60829999999999995</v>
      </c>
      <c r="F701" s="170">
        <v>0.41339999999999999</v>
      </c>
      <c r="G701" s="163">
        <v>0.19800000000000001</v>
      </c>
      <c r="H701" s="163">
        <v>0.3</v>
      </c>
      <c r="I701" t="s">
        <v>235</v>
      </c>
    </row>
    <row r="702" spans="1:9" x14ac:dyDescent="0.2">
      <c r="A702" s="18">
        <v>41352</v>
      </c>
      <c r="B702" s="170">
        <v>10.321299999999999</v>
      </c>
      <c r="C702" s="170">
        <v>9.4622000000000011</v>
      </c>
      <c r="D702" s="170">
        <v>8.8902000000000001</v>
      </c>
      <c r="E702" s="170">
        <v>11.957000000000001</v>
      </c>
      <c r="F702" s="170">
        <v>10.5336</v>
      </c>
      <c r="G702" s="163">
        <v>0.159</v>
      </c>
      <c r="H702" s="163">
        <v>0.3</v>
      </c>
      <c r="I702" t="s">
        <v>235</v>
      </c>
    </row>
    <row r="703" spans="1:9" x14ac:dyDescent="0.2">
      <c r="A703" s="18">
        <v>41445</v>
      </c>
      <c r="B703" s="163">
        <v>0.21480000000000002</v>
      </c>
      <c r="C703" s="163">
        <v>0.2137</v>
      </c>
      <c r="D703" s="163">
        <v>0.27489999999999998</v>
      </c>
      <c r="E703" s="170">
        <v>2.3727</v>
      </c>
      <c r="F703" s="163">
        <v>0.22950000000000001</v>
      </c>
      <c r="G703" s="163">
        <v>0.1009</v>
      </c>
      <c r="H703" s="163">
        <v>0.3</v>
      </c>
      <c r="I703" t="s">
        <v>235</v>
      </c>
    </row>
    <row r="704" spans="1:9" x14ac:dyDescent="0.2">
      <c r="A704" s="18">
        <v>41528</v>
      </c>
      <c r="B704" s="163">
        <v>0.129</v>
      </c>
      <c r="C704" s="163">
        <v>1.23E-2</v>
      </c>
      <c r="D704" s="163">
        <v>6.9000000000000006E-2</v>
      </c>
      <c r="E704" s="163">
        <v>9.01E-2</v>
      </c>
      <c r="F704" s="163">
        <v>0.2427</v>
      </c>
      <c r="G704" s="163">
        <v>2.6199999999999998E-2</v>
      </c>
      <c r="H704" s="163">
        <v>0.3</v>
      </c>
      <c r="I704" t="s">
        <v>235</v>
      </c>
    </row>
    <row r="705" spans="1:9" x14ac:dyDescent="0.2">
      <c r="A705" s="18">
        <v>41670</v>
      </c>
      <c r="B705" s="170">
        <v>2.8281000000000001</v>
      </c>
      <c r="C705" s="170">
        <v>42.691000000000003</v>
      </c>
      <c r="D705" s="170">
        <v>35.576000000000001</v>
      </c>
      <c r="E705" s="170">
        <v>56.341999999999999</v>
      </c>
      <c r="F705" s="170">
        <v>50.170999999999999</v>
      </c>
      <c r="G705" s="170">
        <v>47.750999999999998</v>
      </c>
      <c r="H705" s="163">
        <v>0.3</v>
      </c>
      <c r="I705" t="s">
        <v>235</v>
      </c>
    </row>
    <row r="706" spans="1:9" x14ac:dyDescent="0.2">
      <c r="A706" s="18">
        <v>41758</v>
      </c>
      <c r="B706" s="170">
        <v>1.3640000000000001</v>
      </c>
      <c r="C706" s="170">
        <v>1.2925</v>
      </c>
      <c r="D706" s="170">
        <v>1.43</v>
      </c>
      <c r="E706" s="170">
        <v>4.1063000000000001</v>
      </c>
      <c r="F706" s="170">
        <v>2.2363000000000004</v>
      </c>
      <c r="G706" s="170">
        <v>1.8942000000000001</v>
      </c>
      <c r="H706" s="163">
        <v>0.3</v>
      </c>
      <c r="I706" t="s">
        <v>235</v>
      </c>
    </row>
    <row r="707" spans="1:9" x14ac:dyDescent="0.2">
      <c r="A707" s="18">
        <v>41835</v>
      </c>
      <c r="B707" s="163">
        <v>0.216</v>
      </c>
      <c r="C707" s="163">
        <v>0.2064</v>
      </c>
      <c r="D707" s="163">
        <v>0.18630000000000002</v>
      </c>
      <c r="E707" s="170">
        <v>0.3054</v>
      </c>
      <c r="F707" s="170">
        <v>0.69729999999999992</v>
      </c>
      <c r="G707" s="163">
        <v>0.13090000000000002</v>
      </c>
      <c r="H707" s="163">
        <v>0.3</v>
      </c>
      <c r="I707" t="s">
        <v>235</v>
      </c>
    </row>
    <row r="708" spans="1:9" x14ac:dyDescent="0.2">
      <c r="A708" s="18">
        <v>42031</v>
      </c>
      <c r="B708" s="170">
        <v>2.6983000000000001</v>
      </c>
      <c r="C708" s="170">
        <v>2.6532</v>
      </c>
      <c r="D708" s="170">
        <v>3.4980000000000002</v>
      </c>
      <c r="E708" s="170">
        <v>51.557000000000002</v>
      </c>
      <c r="F708" s="170">
        <v>5.1281999999999996</v>
      </c>
      <c r="G708" s="170">
        <v>44.55</v>
      </c>
      <c r="H708" s="163">
        <v>0.3</v>
      </c>
      <c r="I708" t="s">
        <v>235</v>
      </c>
    </row>
    <row r="709" spans="1:9" x14ac:dyDescent="0.2">
      <c r="A709" s="18">
        <v>42094</v>
      </c>
      <c r="B709" s="170">
        <v>4.6486000000000001</v>
      </c>
      <c r="C709" s="170">
        <v>4.7421000000000006</v>
      </c>
      <c r="D709" s="170">
        <v>9.9099000000000004</v>
      </c>
      <c r="E709" s="170">
        <v>21.042999999999999</v>
      </c>
      <c r="F709" s="170">
        <v>7.7593999999999994</v>
      </c>
      <c r="G709" s="170">
        <v>5.0886000000000005</v>
      </c>
      <c r="H709" s="163">
        <v>0.3</v>
      </c>
      <c r="I709" t="s">
        <v>235</v>
      </c>
    </row>
    <row r="710" spans="1:9" x14ac:dyDescent="0.2">
      <c r="A710" s="18">
        <v>42192</v>
      </c>
      <c r="B710" s="170">
        <v>1.7852999999999999</v>
      </c>
      <c r="C710" s="170">
        <v>1.9734</v>
      </c>
      <c r="D710" s="170">
        <v>1.903</v>
      </c>
      <c r="E710" s="170">
        <v>1.3112000000000001</v>
      </c>
      <c r="F710" s="170">
        <v>2.0394000000000001</v>
      </c>
      <c r="G710" s="170">
        <v>0.84899999999999998</v>
      </c>
      <c r="H710" s="163">
        <v>0.3</v>
      </c>
      <c r="I710" t="s">
        <v>235</v>
      </c>
    </row>
    <row r="711" spans="1:9" x14ac:dyDescent="0.2">
      <c r="A711" s="18">
        <v>42290</v>
      </c>
      <c r="B711" s="163">
        <v>0.11309999999999999</v>
      </c>
      <c r="C711" s="163">
        <v>0.2243</v>
      </c>
      <c r="D711" s="163">
        <v>0.24309999999999998</v>
      </c>
      <c r="E711" s="163">
        <v>0.19750000000000001</v>
      </c>
      <c r="F711" s="163">
        <v>0.21959999999999999</v>
      </c>
      <c r="G711" s="163"/>
      <c r="H711" s="163">
        <v>0.3</v>
      </c>
      <c r="I711" t="s">
        <v>235</v>
      </c>
    </row>
    <row r="712" spans="1:9" x14ac:dyDescent="0.2">
      <c r="A712" s="18">
        <v>42381</v>
      </c>
      <c r="B712" s="170">
        <v>2.4255</v>
      </c>
      <c r="C712" s="170">
        <v>2.3319999999999999</v>
      </c>
      <c r="D712" s="170">
        <v>2.4497</v>
      </c>
      <c r="E712" s="170">
        <v>2.4893000000000001</v>
      </c>
      <c r="F712" s="170">
        <v>2.3683000000000001</v>
      </c>
      <c r="G712" s="163"/>
      <c r="H712" s="163">
        <v>0.3</v>
      </c>
      <c r="I712" t="s">
        <v>235</v>
      </c>
    </row>
    <row r="713" spans="1:9" x14ac:dyDescent="0.2">
      <c r="A713" s="18">
        <v>42479</v>
      </c>
      <c r="B713" s="170">
        <v>1.6247</v>
      </c>
      <c r="C713" s="170">
        <v>1.5267999999999999</v>
      </c>
      <c r="D713" s="170">
        <v>1.4883</v>
      </c>
      <c r="E713" s="170">
        <v>2.3353000000000002</v>
      </c>
      <c r="F713" s="170">
        <v>1.6235999999999999</v>
      </c>
      <c r="G713" s="163">
        <v>0.21130000000000002</v>
      </c>
      <c r="H713" s="163">
        <v>0.3</v>
      </c>
      <c r="I713" t="s">
        <v>235</v>
      </c>
    </row>
    <row r="714" spans="1:9" x14ac:dyDescent="0.2">
      <c r="A714" s="18">
        <v>42570</v>
      </c>
      <c r="B714" s="170">
        <v>0.4017</v>
      </c>
      <c r="C714" s="170">
        <v>0.3372</v>
      </c>
      <c r="D714" s="170">
        <v>0.31869999999999998</v>
      </c>
      <c r="E714" s="170">
        <v>0.40720000000000001</v>
      </c>
      <c r="F714" s="170">
        <v>0.40379999999999999</v>
      </c>
      <c r="G714" s="163">
        <v>8.0099999999999991E-2</v>
      </c>
      <c r="H714" s="163">
        <v>0.3</v>
      </c>
      <c r="I714" t="s">
        <v>235</v>
      </c>
    </row>
    <row r="715" spans="1:9" x14ac:dyDescent="0.2">
      <c r="A715" s="18">
        <v>42654</v>
      </c>
      <c r="B715" s="170">
        <v>1.5862000000000001</v>
      </c>
      <c r="C715" s="170">
        <v>1.2847999999999999</v>
      </c>
      <c r="D715" s="170">
        <v>1.1814</v>
      </c>
      <c r="E715" s="170">
        <v>0.88009999999999999</v>
      </c>
      <c r="F715" s="170">
        <v>1.4718</v>
      </c>
      <c r="G715" s="170">
        <v>0.39339999999999997</v>
      </c>
      <c r="H715" s="163">
        <v>0.3</v>
      </c>
      <c r="I715" t="s">
        <v>235</v>
      </c>
    </row>
    <row r="716" spans="1:9" x14ac:dyDescent="0.2">
      <c r="A716" s="18">
        <v>42745</v>
      </c>
      <c r="B716" s="170">
        <v>6.6769999999999996</v>
      </c>
      <c r="C716" s="170">
        <v>8.1234999999999999</v>
      </c>
      <c r="D716" s="170">
        <v>10.813000000000001</v>
      </c>
      <c r="E716" s="170">
        <v>11.308</v>
      </c>
      <c r="F716" s="170">
        <v>8.6757000000000009</v>
      </c>
      <c r="G716" s="170">
        <v>0.40329999999999999</v>
      </c>
      <c r="H716" s="163">
        <v>0.3</v>
      </c>
      <c r="I716" t="s">
        <v>235</v>
      </c>
    </row>
    <row r="717" spans="1:9" x14ac:dyDescent="0.2">
      <c r="A717" s="18">
        <v>42843</v>
      </c>
      <c r="B717" s="170">
        <v>1.8622999999999998</v>
      </c>
      <c r="C717" s="170">
        <v>1.9129</v>
      </c>
      <c r="D717" s="170">
        <v>1.6687000000000001</v>
      </c>
      <c r="E717" s="170">
        <v>2.5278</v>
      </c>
      <c r="F717" s="163">
        <v>0.25380000000000003</v>
      </c>
      <c r="G717" s="170">
        <v>0.61150000000000004</v>
      </c>
      <c r="H717" s="163">
        <v>0.3</v>
      </c>
      <c r="I717" t="s">
        <v>235</v>
      </c>
    </row>
    <row r="718" spans="1:9" x14ac:dyDescent="0.2">
      <c r="A718" s="18">
        <v>42934</v>
      </c>
      <c r="B718" s="170">
        <v>0.34620000000000001</v>
      </c>
      <c r="C718" s="170">
        <v>0.32780000000000004</v>
      </c>
      <c r="D718" s="163">
        <v>0.28039999999999998</v>
      </c>
      <c r="E718" s="163">
        <v>0.19069999999999998</v>
      </c>
      <c r="F718" s="163">
        <v>0.1628</v>
      </c>
      <c r="G718" s="170">
        <v>0.33260000000000001</v>
      </c>
      <c r="H718" s="163">
        <v>0.3</v>
      </c>
      <c r="I718" t="s">
        <v>235</v>
      </c>
    </row>
    <row r="719" spans="1:9" x14ac:dyDescent="0.2">
      <c r="A719" s="18">
        <v>43025</v>
      </c>
      <c r="B719" s="170">
        <v>0.30510000000000004</v>
      </c>
      <c r="C719" s="163">
        <v>0.1845</v>
      </c>
      <c r="D719" s="163">
        <v>0.17580000000000001</v>
      </c>
      <c r="E719" s="170">
        <v>0.30610000000000004</v>
      </c>
      <c r="F719" s="163">
        <v>0.26519999999999999</v>
      </c>
      <c r="G719" s="163">
        <v>0.1918</v>
      </c>
      <c r="H719" s="163">
        <v>0.3</v>
      </c>
      <c r="I719" t="s">
        <v>235</v>
      </c>
    </row>
    <row r="720" spans="1:9" x14ac:dyDescent="0.2">
      <c r="A720" s="18">
        <v>43109</v>
      </c>
      <c r="B720" s="170">
        <v>1.4377</v>
      </c>
      <c r="C720" s="170">
        <v>1.2892000000000001</v>
      </c>
      <c r="D720" s="170">
        <v>1.4399000000000002</v>
      </c>
      <c r="E720" s="170">
        <v>1.5554000000000001</v>
      </c>
      <c r="F720" s="170">
        <v>1.4365999999999999</v>
      </c>
      <c r="G720" s="170">
        <v>0.48260000000000003</v>
      </c>
      <c r="H720" s="163">
        <v>0.3</v>
      </c>
      <c r="I720" t="s">
        <v>235</v>
      </c>
    </row>
    <row r="721" spans="1:9" x14ac:dyDescent="0.2">
      <c r="A721" s="18">
        <v>43193</v>
      </c>
      <c r="B721" s="170">
        <v>8.657</v>
      </c>
      <c r="C721" s="170">
        <v>8.3666</v>
      </c>
      <c r="D721" s="170">
        <v>8.3963000000000001</v>
      </c>
      <c r="E721" s="170">
        <v>13.079000000000001</v>
      </c>
      <c r="F721" s="170">
        <v>9.0100999999999996</v>
      </c>
      <c r="G721" s="170">
        <v>1.155</v>
      </c>
      <c r="H721" s="163">
        <v>0.3</v>
      </c>
      <c r="I721" t="s">
        <v>235</v>
      </c>
    </row>
    <row r="722" spans="1:9" x14ac:dyDescent="0.2">
      <c r="A722" s="18">
        <v>43298</v>
      </c>
      <c r="B722" s="170">
        <v>0.3417</v>
      </c>
      <c r="C722" s="163">
        <v>0.29599999999999999</v>
      </c>
      <c r="D722" s="163">
        <v>7.0599999999999996E-2</v>
      </c>
      <c r="E722" s="163">
        <v>8.14E-2</v>
      </c>
      <c r="F722" s="163">
        <v>9.3400000000000011E-2</v>
      </c>
      <c r="G722" s="163">
        <v>0.10100000000000001</v>
      </c>
      <c r="H722" s="163">
        <v>0.3</v>
      </c>
      <c r="I722" t="s">
        <v>235</v>
      </c>
    </row>
    <row r="723" spans="1:9" x14ac:dyDescent="0.2">
      <c r="A723" s="18">
        <v>43403</v>
      </c>
      <c r="B723" s="170">
        <v>0.5968</v>
      </c>
      <c r="C723" s="170">
        <v>0.8478</v>
      </c>
      <c r="D723" s="170">
        <v>0.51019999999999999</v>
      </c>
      <c r="E723" s="170">
        <v>0.72170000000000001</v>
      </c>
      <c r="F723" s="170">
        <v>0.7611</v>
      </c>
      <c r="G723" s="163">
        <v>6.6299999999999998E-2</v>
      </c>
      <c r="H723" s="163">
        <v>0.3</v>
      </c>
      <c r="I723" t="s">
        <v>235</v>
      </c>
    </row>
    <row r="724" spans="1:9" x14ac:dyDescent="0.2">
      <c r="A724" s="18">
        <v>43487</v>
      </c>
      <c r="B724" s="163">
        <v>0.27599000000000001</v>
      </c>
      <c r="C724" s="170">
        <v>0.32119999999999999</v>
      </c>
      <c r="D724" s="170">
        <v>0.84248999999999996</v>
      </c>
      <c r="E724" s="163"/>
      <c r="F724" s="163">
        <v>0.1991</v>
      </c>
      <c r="G724" s="163">
        <v>0.12265000000000001</v>
      </c>
      <c r="H724" s="163">
        <v>0.3</v>
      </c>
      <c r="I724" t="s">
        <v>235</v>
      </c>
    </row>
    <row r="725" spans="1:9" x14ac:dyDescent="0.2">
      <c r="A725" s="18">
        <v>43578</v>
      </c>
      <c r="B725" s="170">
        <v>13.7775</v>
      </c>
      <c r="C725" s="170">
        <v>14.2835</v>
      </c>
      <c r="D725" s="170">
        <v>12.881</v>
      </c>
      <c r="E725" s="170">
        <v>13.893000000000001</v>
      </c>
      <c r="F725" s="163">
        <v>0.20482</v>
      </c>
      <c r="G725" s="170">
        <v>14.470499999999999</v>
      </c>
      <c r="H725" s="163">
        <v>0.3</v>
      </c>
      <c r="I725" t="s">
        <v>235</v>
      </c>
    </row>
    <row r="726" spans="1:9" x14ac:dyDescent="0.2">
      <c r="A726" s="18">
        <v>43704</v>
      </c>
      <c r="B726" s="163">
        <v>0.23155000000000001</v>
      </c>
      <c r="C726" s="163">
        <v>0.23683000000000001</v>
      </c>
      <c r="D726" s="170">
        <v>0.32544000000000001</v>
      </c>
      <c r="E726" s="163">
        <v>0.13365000000000002</v>
      </c>
      <c r="F726" s="163">
        <v>0.18480000000000002</v>
      </c>
      <c r="G726" s="170">
        <v>1.6180999999999999</v>
      </c>
      <c r="H726" s="163">
        <v>0.3</v>
      </c>
      <c r="I726" t="s">
        <v>235</v>
      </c>
    </row>
    <row r="727" spans="1:9" x14ac:dyDescent="0.2">
      <c r="A727" s="18">
        <v>43760</v>
      </c>
      <c r="B727" s="170">
        <v>2.4771999999999998</v>
      </c>
      <c r="C727" s="170">
        <v>2.5684999999999998</v>
      </c>
      <c r="D727" s="170">
        <v>2.6619999999999999</v>
      </c>
      <c r="E727" s="170">
        <v>4.0216000000000003</v>
      </c>
      <c r="F727" s="170">
        <v>2.5871999999999997</v>
      </c>
      <c r="G727" s="170">
        <v>0.35188999999999998</v>
      </c>
      <c r="H727" s="163">
        <v>0.3</v>
      </c>
      <c r="I727" t="s">
        <v>235</v>
      </c>
    </row>
    <row r="728" spans="1:9" x14ac:dyDescent="0.2">
      <c r="A728" s="18">
        <v>44021</v>
      </c>
      <c r="B728" s="170">
        <v>0.91464999999999996</v>
      </c>
      <c r="C728" s="170">
        <v>1.012</v>
      </c>
      <c r="D728" s="170">
        <v>0.85117999999999994</v>
      </c>
      <c r="E728" s="170">
        <v>1.4212</v>
      </c>
      <c r="F728" s="170">
        <v>0.92257</v>
      </c>
      <c r="G728" s="163">
        <v>0.15411000000000002</v>
      </c>
      <c r="H728" s="163">
        <v>0.3</v>
      </c>
      <c r="I728" t="s">
        <v>235</v>
      </c>
    </row>
    <row r="729" spans="1:9" x14ac:dyDescent="0.2">
      <c r="A729" s="18">
        <v>44111</v>
      </c>
      <c r="B729" s="163">
        <v>0.22352</v>
      </c>
      <c r="C729" s="163">
        <v>0.24793999999999999</v>
      </c>
      <c r="D729" s="163">
        <v>0.18809999999999999</v>
      </c>
      <c r="E729" s="163">
        <v>0.29743999999999998</v>
      </c>
      <c r="F729" s="163">
        <v>0.23441000000000001</v>
      </c>
      <c r="G729" s="170">
        <v>0.99285999999999996</v>
      </c>
      <c r="H729" s="163">
        <v>0.3</v>
      </c>
      <c r="I729" t="s">
        <v>235</v>
      </c>
    </row>
    <row r="730" spans="1:9" x14ac:dyDescent="0.2">
      <c r="A730" s="18">
        <v>44119</v>
      </c>
      <c r="B730" s="163">
        <v>0.1452</v>
      </c>
      <c r="C730" s="163">
        <v>0.11517000000000001</v>
      </c>
      <c r="D730" s="163"/>
      <c r="E730" s="163"/>
      <c r="F730" s="163"/>
      <c r="G730" s="163"/>
      <c r="H730" s="163">
        <v>0.3</v>
      </c>
      <c r="I730" t="s">
        <v>235</v>
      </c>
    </row>
    <row r="731" spans="1:9" x14ac:dyDescent="0.2">
      <c r="A731" s="18">
        <v>44120</v>
      </c>
      <c r="B731" s="163">
        <v>9.7185000000000007E-2</v>
      </c>
      <c r="C731" s="163">
        <v>0.10959300000000001</v>
      </c>
      <c r="D731" s="163"/>
      <c r="E731" s="163"/>
      <c r="F731" s="163"/>
      <c r="G731" s="163"/>
      <c r="H731" s="163">
        <v>0.3</v>
      </c>
      <c r="I731" t="s">
        <v>235</v>
      </c>
    </row>
    <row r="732" spans="1:9" x14ac:dyDescent="0.2">
      <c r="A732" s="18">
        <v>44146</v>
      </c>
      <c r="B732" s="163">
        <v>0.12748999999999999</v>
      </c>
      <c r="C732" s="163">
        <v>0.23605999999999999</v>
      </c>
      <c r="D732" s="163">
        <v>0.15059</v>
      </c>
      <c r="E732" s="170">
        <v>0.51655999999999991</v>
      </c>
      <c r="F732" s="170">
        <v>0.42998999999999998</v>
      </c>
      <c r="G732" s="170">
        <v>1.1495</v>
      </c>
      <c r="H732" s="163">
        <v>0.3</v>
      </c>
      <c r="I732" t="s">
        <v>238</v>
      </c>
    </row>
    <row r="733" spans="1:9" x14ac:dyDescent="0.2">
      <c r="A733" s="18">
        <v>44146</v>
      </c>
      <c r="B733" s="163">
        <v>0.02</v>
      </c>
      <c r="C733" s="163">
        <v>0.02</v>
      </c>
      <c r="D733" s="163">
        <v>0.02</v>
      </c>
      <c r="E733" s="163">
        <v>0.11</v>
      </c>
      <c r="F733" s="163">
        <v>0.02</v>
      </c>
      <c r="G733" s="163">
        <v>0.02</v>
      </c>
      <c r="H733" s="163">
        <v>0.3</v>
      </c>
      <c r="I733" t="s">
        <v>236</v>
      </c>
    </row>
    <row r="734" spans="1:9" x14ac:dyDescent="0.2">
      <c r="A734" s="18">
        <v>44184</v>
      </c>
      <c r="B734" s="170">
        <v>2.2999999999999998</v>
      </c>
      <c r="C734" s="170">
        <v>1.6</v>
      </c>
      <c r="D734" s="170">
        <v>1.3</v>
      </c>
      <c r="E734" s="170">
        <v>3.1</v>
      </c>
      <c r="F734" s="170">
        <v>1.4</v>
      </c>
      <c r="G734" s="163">
        <v>0.06</v>
      </c>
      <c r="H734" s="163">
        <v>0.3</v>
      </c>
      <c r="I734" t="s">
        <v>236</v>
      </c>
    </row>
    <row r="736" spans="1:9" x14ac:dyDescent="0.2">
      <c r="A736" s="34"/>
      <c r="B736" s="59" t="s">
        <v>91</v>
      </c>
    </row>
    <row r="737" spans="1:9" x14ac:dyDescent="0.2">
      <c r="A737" s="34"/>
      <c r="B737" s="60" t="s">
        <v>22</v>
      </c>
    </row>
    <row r="738" spans="1:9" x14ac:dyDescent="0.2">
      <c r="A738" s="12" t="s">
        <v>7</v>
      </c>
      <c r="B738" s="78" t="s">
        <v>9</v>
      </c>
      <c r="C738" s="77" t="s">
        <v>10</v>
      </c>
      <c r="D738" s="76" t="s">
        <v>11</v>
      </c>
      <c r="E738" s="75" t="s">
        <v>12</v>
      </c>
      <c r="F738" s="74" t="s">
        <v>13</v>
      </c>
      <c r="G738" s="27" t="s">
        <v>14</v>
      </c>
      <c r="H738" s="167" t="s">
        <v>237</v>
      </c>
    </row>
    <row r="739" spans="1:9" x14ac:dyDescent="0.2">
      <c r="A739" s="18">
        <v>37046</v>
      </c>
      <c r="B739" s="168">
        <v>5.2850000000000001E-2</v>
      </c>
      <c r="C739" s="169">
        <v>0.1641</v>
      </c>
      <c r="D739" s="168">
        <v>0.20469999999999999</v>
      </c>
      <c r="E739" s="168">
        <v>9.7610000000000002E-2</v>
      </c>
      <c r="F739" s="168"/>
      <c r="G739" s="168"/>
      <c r="H739" s="167">
        <v>0.1</v>
      </c>
      <c r="I739" t="s">
        <v>235</v>
      </c>
    </row>
    <row r="740" spans="1:9" x14ac:dyDescent="0.2">
      <c r="A740" s="18">
        <v>37076</v>
      </c>
      <c r="B740" s="168">
        <v>3.6749999999999998E-2</v>
      </c>
      <c r="C740" s="168">
        <v>7.7010000000000009E-2</v>
      </c>
      <c r="D740" s="168">
        <v>6.3619999999999996E-2</v>
      </c>
      <c r="E740" s="168">
        <v>3.9409999999999994E-2</v>
      </c>
      <c r="F740" s="168"/>
      <c r="G740" s="168"/>
      <c r="H740" s="167">
        <v>0.1</v>
      </c>
      <c r="I740" t="s">
        <v>235</v>
      </c>
    </row>
    <row r="741" spans="1:9" x14ac:dyDescent="0.2">
      <c r="A741" s="18">
        <v>37335</v>
      </c>
      <c r="B741" s="168">
        <v>4.7469999999999998E-2</v>
      </c>
      <c r="C741" s="168">
        <v>1E-3</v>
      </c>
      <c r="D741" s="168">
        <v>8.7249999999999994E-2</v>
      </c>
      <c r="E741" s="169">
        <v>0.1195</v>
      </c>
      <c r="F741" s="168"/>
      <c r="G741" s="168"/>
      <c r="H741" s="167">
        <v>0.1</v>
      </c>
      <c r="I741" t="s">
        <v>235</v>
      </c>
    </row>
    <row r="742" spans="1:9" x14ac:dyDescent="0.2">
      <c r="A742" s="18">
        <v>37566</v>
      </c>
      <c r="B742" s="168"/>
      <c r="C742" s="168"/>
      <c r="D742" s="168"/>
      <c r="E742" s="168"/>
      <c r="F742" s="168"/>
      <c r="G742" s="168"/>
      <c r="H742" s="167">
        <v>0.1</v>
      </c>
      <c r="I742" t="s">
        <v>235</v>
      </c>
    </row>
    <row r="743" spans="1:9" x14ac:dyDescent="0.2">
      <c r="A743" s="18">
        <v>37594</v>
      </c>
      <c r="B743" s="168"/>
      <c r="C743" s="168"/>
      <c r="D743" s="168"/>
      <c r="E743" s="168"/>
      <c r="F743" s="168"/>
      <c r="G743" s="168"/>
      <c r="H743" s="167">
        <v>0.1</v>
      </c>
      <c r="I743" t="s">
        <v>235</v>
      </c>
    </row>
    <row r="744" spans="1:9" x14ac:dyDescent="0.2">
      <c r="A744" s="18">
        <v>37711</v>
      </c>
      <c r="B744" s="168"/>
      <c r="C744" s="168"/>
      <c r="D744" s="168"/>
      <c r="E744" s="168"/>
      <c r="F744" s="168"/>
      <c r="G744" s="168"/>
      <c r="H744" s="167">
        <v>0.1</v>
      </c>
      <c r="I744" t="s">
        <v>235</v>
      </c>
    </row>
    <row r="745" spans="1:9" x14ac:dyDescent="0.2">
      <c r="A745" s="18">
        <v>37739</v>
      </c>
      <c r="B745" s="168"/>
      <c r="C745" s="168"/>
      <c r="D745" s="168"/>
      <c r="E745" s="168"/>
      <c r="F745" s="168"/>
      <c r="G745" s="168"/>
      <c r="H745" s="167">
        <v>0.1</v>
      </c>
      <c r="I745" t="s">
        <v>235</v>
      </c>
    </row>
    <row r="746" spans="1:9" x14ac:dyDescent="0.2">
      <c r="A746" s="18">
        <v>37825</v>
      </c>
      <c r="B746" s="168"/>
      <c r="C746" s="168"/>
      <c r="D746" s="168"/>
      <c r="E746" s="168"/>
      <c r="F746" s="168"/>
      <c r="G746" s="168"/>
      <c r="H746" s="167">
        <v>0.1</v>
      </c>
      <c r="I746" t="s">
        <v>235</v>
      </c>
    </row>
    <row r="747" spans="1:9" x14ac:dyDescent="0.2">
      <c r="A747" s="18">
        <v>37888</v>
      </c>
      <c r="B747" s="168">
        <v>6.9000000000000008E-3</v>
      </c>
      <c r="C747" s="169">
        <v>0.37360000000000004</v>
      </c>
      <c r="D747" s="168">
        <v>1.6899999999999998E-2</v>
      </c>
      <c r="E747" s="168">
        <v>1.35E-2</v>
      </c>
      <c r="F747" s="168"/>
      <c r="G747" s="168"/>
      <c r="H747" s="167">
        <v>0.1</v>
      </c>
      <c r="I747" t="s">
        <v>235</v>
      </c>
    </row>
    <row r="748" spans="1:9" x14ac:dyDescent="0.2">
      <c r="A748" s="18">
        <v>37963</v>
      </c>
      <c r="B748" s="168">
        <v>7.1499999999999994E-2</v>
      </c>
      <c r="C748" s="169">
        <v>0.1154</v>
      </c>
      <c r="D748" s="168">
        <v>9.1700000000000004E-2</v>
      </c>
      <c r="E748" s="168">
        <v>7.0599999999999996E-2</v>
      </c>
      <c r="F748" s="168"/>
      <c r="G748" s="168"/>
      <c r="H748" s="167">
        <v>0.1</v>
      </c>
      <c r="I748" t="s">
        <v>235</v>
      </c>
    </row>
    <row r="749" spans="1:9" x14ac:dyDescent="0.2">
      <c r="A749" s="18">
        <v>38012</v>
      </c>
      <c r="B749" s="168">
        <v>5.9700000000000003E-2</v>
      </c>
      <c r="C749" s="169">
        <v>0.15890000000000001</v>
      </c>
      <c r="D749" s="168">
        <v>8.1299999999999997E-2</v>
      </c>
      <c r="E749" s="168">
        <v>4.1399999999999999E-2</v>
      </c>
      <c r="F749" s="168"/>
      <c r="G749" s="168"/>
      <c r="H749" s="167">
        <v>0.1</v>
      </c>
      <c r="I749" t="s">
        <v>235</v>
      </c>
    </row>
    <row r="750" spans="1:9" x14ac:dyDescent="0.2">
      <c r="A750" s="18">
        <v>38033</v>
      </c>
      <c r="B750" s="168">
        <v>3.44E-2</v>
      </c>
      <c r="C750" s="169">
        <v>0.2044</v>
      </c>
      <c r="D750" s="168">
        <v>5.9400000000000001E-2</v>
      </c>
      <c r="E750" s="168">
        <v>2.12E-2</v>
      </c>
      <c r="F750" s="168"/>
      <c r="G750" s="168"/>
      <c r="H750" s="167">
        <v>0.1</v>
      </c>
      <c r="I750" t="s">
        <v>235</v>
      </c>
    </row>
    <row r="751" spans="1:9" x14ac:dyDescent="0.2">
      <c r="A751" s="18">
        <v>38271</v>
      </c>
      <c r="B751" s="168">
        <v>3.7899999999999996E-2</v>
      </c>
      <c r="C751" s="168">
        <v>5.5899999999999998E-2</v>
      </c>
      <c r="D751" s="168">
        <v>5.3800000000000001E-2</v>
      </c>
      <c r="E751" s="168">
        <v>5.8200000000000002E-2</v>
      </c>
      <c r="F751" s="168"/>
      <c r="G751" s="168"/>
      <c r="H751" s="167">
        <v>0.1</v>
      </c>
      <c r="I751" t="s">
        <v>235</v>
      </c>
    </row>
    <row r="752" spans="1:9" x14ac:dyDescent="0.2">
      <c r="A752" s="18">
        <v>38474</v>
      </c>
      <c r="B752" s="169">
        <v>0.17530000000000001</v>
      </c>
      <c r="C752" s="169">
        <v>0.17880000000000001</v>
      </c>
      <c r="D752" s="169">
        <v>0.2</v>
      </c>
      <c r="E752" s="169">
        <v>0.20660000000000001</v>
      </c>
      <c r="F752" s="168"/>
      <c r="G752" s="168"/>
      <c r="H752" s="167">
        <v>0.1</v>
      </c>
      <c r="I752" t="s">
        <v>235</v>
      </c>
    </row>
    <row r="753" spans="1:9" x14ac:dyDescent="0.2">
      <c r="A753" s="18">
        <v>38896</v>
      </c>
      <c r="B753" s="168">
        <v>1.5300000000000001E-2</v>
      </c>
      <c r="C753" s="168">
        <v>3.0000000000000001E-3</v>
      </c>
      <c r="D753" s="168">
        <v>4.0000000000000001E-3</v>
      </c>
      <c r="E753" s="168">
        <v>1.1000000000000001E-3</v>
      </c>
      <c r="F753" s="168"/>
      <c r="G753" s="168"/>
      <c r="H753" s="167">
        <v>0.1</v>
      </c>
      <c r="I753" t="s">
        <v>235</v>
      </c>
    </row>
    <row r="754" spans="1:9" x14ac:dyDescent="0.2">
      <c r="A754" s="18">
        <v>40625</v>
      </c>
      <c r="B754" s="168">
        <v>6.0100000000000001E-2</v>
      </c>
      <c r="C754" s="168">
        <v>6.5599999999999992E-2</v>
      </c>
      <c r="D754" s="168">
        <v>6.9800000000000001E-2</v>
      </c>
      <c r="E754" s="169">
        <v>0.16619999999999999</v>
      </c>
      <c r="F754" s="168">
        <v>6.6500000000000004E-2</v>
      </c>
      <c r="G754" s="168">
        <v>3.5000000000000003E-2</v>
      </c>
      <c r="H754" s="167">
        <v>0.1</v>
      </c>
      <c r="I754" t="s">
        <v>235</v>
      </c>
    </row>
    <row r="755" spans="1:9" x14ac:dyDescent="0.2">
      <c r="A755" s="18">
        <v>40716</v>
      </c>
      <c r="B755" s="168">
        <v>2.0899999999999998E-2</v>
      </c>
      <c r="C755" s="168">
        <v>5.1999999999999998E-2</v>
      </c>
      <c r="D755" s="168">
        <v>4.4600000000000001E-2</v>
      </c>
      <c r="E755" s="168">
        <v>3.4500000000000003E-2</v>
      </c>
      <c r="F755" s="168">
        <v>4.6399999999999997E-2</v>
      </c>
      <c r="G755" s="168">
        <v>9.6999999999999986E-3</v>
      </c>
      <c r="H755" s="167">
        <v>0.1</v>
      </c>
      <c r="I755" t="s">
        <v>235</v>
      </c>
    </row>
    <row r="756" spans="1:9" x14ac:dyDescent="0.2">
      <c r="A756" s="18">
        <v>40821</v>
      </c>
      <c r="B756" s="169">
        <v>0.1217</v>
      </c>
      <c r="C756" s="169">
        <v>0.1133</v>
      </c>
      <c r="D756" s="169">
        <v>0.1166</v>
      </c>
      <c r="E756" s="169">
        <v>0.15569999999999998</v>
      </c>
      <c r="F756" s="169">
        <v>0.14649999999999999</v>
      </c>
      <c r="G756" s="168">
        <v>1.32E-2</v>
      </c>
      <c r="H756" s="167">
        <v>0.1</v>
      </c>
      <c r="I756" t="s">
        <v>235</v>
      </c>
    </row>
    <row r="757" spans="1:9" x14ac:dyDescent="0.2">
      <c r="A757" s="18">
        <v>40897</v>
      </c>
      <c r="B757" s="168"/>
      <c r="C757" s="168"/>
      <c r="D757" s="168"/>
      <c r="E757" s="168"/>
      <c r="F757" s="168"/>
      <c r="G757" s="168"/>
      <c r="H757" s="167">
        <v>0.1</v>
      </c>
      <c r="I757" t="s">
        <v>235</v>
      </c>
    </row>
    <row r="758" spans="1:9" x14ac:dyDescent="0.2">
      <c r="A758" s="18">
        <v>41008</v>
      </c>
      <c r="B758" s="168">
        <v>3.1399999999999997E-2</v>
      </c>
      <c r="C758" s="169">
        <v>0.114</v>
      </c>
      <c r="D758" s="169"/>
      <c r="E758" s="169">
        <v>0.15919999999999998</v>
      </c>
      <c r="F758" s="169">
        <v>0.1323</v>
      </c>
      <c r="G758" s="168">
        <v>9.4999999999999998E-3</v>
      </c>
      <c r="H758" s="167">
        <v>0.1</v>
      </c>
      <c r="I758" t="s">
        <v>235</v>
      </c>
    </row>
    <row r="759" spans="1:9" x14ac:dyDescent="0.2">
      <c r="A759" s="18">
        <v>41086</v>
      </c>
      <c r="B759" s="168"/>
      <c r="C759" s="168"/>
      <c r="D759" s="168"/>
      <c r="E759" s="168"/>
      <c r="F759" s="168"/>
      <c r="G759" s="168"/>
      <c r="H759" s="167">
        <v>0.1</v>
      </c>
      <c r="I759" t="s">
        <v>235</v>
      </c>
    </row>
    <row r="760" spans="1:9" x14ac:dyDescent="0.2">
      <c r="A760" s="18">
        <v>41179</v>
      </c>
      <c r="B760" s="168">
        <v>3.7100000000000001E-2</v>
      </c>
      <c r="C760" s="168">
        <v>8.3400000000000002E-2</v>
      </c>
      <c r="D760" s="168">
        <v>3.3000000000000002E-2</v>
      </c>
      <c r="E760" s="168">
        <v>7.4999999999999997E-3</v>
      </c>
      <c r="F760" s="168">
        <v>8.0500000000000002E-2</v>
      </c>
      <c r="G760" s="168">
        <v>3.9899999999999998E-2</v>
      </c>
      <c r="H760" s="167">
        <v>0.1</v>
      </c>
      <c r="I760" t="s">
        <v>235</v>
      </c>
    </row>
    <row r="761" spans="1:9" x14ac:dyDescent="0.2">
      <c r="A761" s="18">
        <v>41247</v>
      </c>
      <c r="B761" s="168"/>
      <c r="C761" s="168"/>
      <c r="D761" s="168"/>
      <c r="E761" s="168"/>
      <c r="F761" s="168"/>
      <c r="G761" s="168"/>
      <c r="H761" s="167">
        <v>0.1</v>
      </c>
      <c r="I761" t="s">
        <v>235</v>
      </c>
    </row>
    <row r="762" spans="1:9" x14ac:dyDescent="0.2">
      <c r="A762" s="18">
        <v>41352</v>
      </c>
      <c r="B762" s="169">
        <v>0.20480000000000001</v>
      </c>
      <c r="C762" s="169">
        <v>0.2001</v>
      </c>
      <c r="D762" s="169">
        <v>0.1835</v>
      </c>
      <c r="E762" s="169">
        <v>0.2044</v>
      </c>
      <c r="F762" s="169">
        <v>0.21490000000000001</v>
      </c>
      <c r="G762" s="168">
        <v>1.21E-2</v>
      </c>
      <c r="H762" s="167">
        <v>0.1</v>
      </c>
      <c r="I762" t="s">
        <v>235</v>
      </c>
    </row>
    <row r="763" spans="1:9" x14ac:dyDescent="0.2">
      <c r="A763" s="18">
        <v>41445</v>
      </c>
      <c r="B763" s="168"/>
      <c r="C763" s="168"/>
      <c r="D763" s="168"/>
      <c r="E763" s="168"/>
      <c r="F763" s="168"/>
      <c r="G763" s="168"/>
      <c r="H763" s="167">
        <v>0.1</v>
      </c>
      <c r="I763" t="s">
        <v>235</v>
      </c>
    </row>
    <row r="764" spans="1:9" x14ac:dyDescent="0.2">
      <c r="A764" s="18">
        <v>41528</v>
      </c>
      <c r="B764" s="168">
        <v>2.7100000000000003E-2</v>
      </c>
      <c r="C764" s="168">
        <v>5.6000000000000001E-2</v>
      </c>
      <c r="D764" s="168">
        <v>1.03E-2</v>
      </c>
      <c r="E764" s="168">
        <v>8.3000000000000001E-3</v>
      </c>
      <c r="F764" s="168">
        <v>8.72E-2</v>
      </c>
      <c r="G764" s="168">
        <v>2.5100000000000001E-2</v>
      </c>
      <c r="H764" s="167">
        <v>0.1</v>
      </c>
      <c r="I764" t="s">
        <v>235</v>
      </c>
    </row>
    <row r="765" spans="1:9" x14ac:dyDescent="0.2">
      <c r="A765" s="18">
        <v>41670</v>
      </c>
      <c r="B765" s="168"/>
      <c r="C765" s="168"/>
      <c r="D765" s="168"/>
      <c r="E765" s="168"/>
      <c r="F765" s="168"/>
      <c r="G765" s="168"/>
      <c r="H765" s="167">
        <v>0.1</v>
      </c>
      <c r="I765" t="s">
        <v>235</v>
      </c>
    </row>
    <row r="766" spans="1:9" x14ac:dyDescent="0.2">
      <c r="A766" s="18">
        <v>41758</v>
      </c>
      <c r="B766" s="168">
        <v>4.7100000000000003E-2</v>
      </c>
      <c r="C766" s="168">
        <v>7.3599999999999999E-2</v>
      </c>
      <c r="D766" s="168">
        <v>5.8400000000000001E-2</v>
      </c>
      <c r="E766" s="169">
        <v>0.1565</v>
      </c>
      <c r="F766" s="168">
        <v>7.8299999999999995E-2</v>
      </c>
      <c r="G766" s="168">
        <v>2.8799999999999999E-2</v>
      </c>
      <c r="H766" s="167">
        <v>0.1</v>
      </c>
      <c r="I766" t="s">
        <v>235</v>
      </c>
    </row>
    <row r="767" spans="1:9" x14ac:dyDescent="0.2">
      <c r="A767" s="18">
        <v>41835</v>
      </c>
      <c r="B767" s="168"/>
      <c r="C767" s="168"/>
      <c r="D767" s="168"/>
      <c r="E767" s="168"/>
      <c r="F767" s="168"/>
      <c r="G767" s="168"/>
      <c r="H767" s="167">
        <v>0.1</v>
      </c>
      <c r="I767" t="s">
        <v>235</v>
      </c>
    </row>
    <row r="768" spans="1:9" x14ac:dyDescent="0.2">
      <c r="A768" s="18">
        <v>42031</v>
      </c>
      <c r="B768" s="168"/>
      <c r="C768" s="168"/>
      <c r="D768" s="168"/>
      <c r="E768" s="168"/>
      <c r="F768" s="168"/>
      <c r="G768" s="168"/>
      <c r="H768" s="167">
        <v>0.1</v>
      </c>
      <c r="I768" t="s">
        <v>235</v>
      </c>
    </row>
    <row r="769" spans="1:9" x14ac:dyDescent="0.2">
      <c r="A769" s="18">
        <v>42094</v>
      </c>
      <c r="B769" s="168">
        <v>8.3799999999999999E-2</v>
      </c>
      <c r="C769" s="168">
        <v>9.1400000000000009E-2</v>
      </c>
      <c r="D769" s="169">
        <v>0.1527</v>
      </c>
      <c r="E769" s="169">
        <v>0.30530000000000002</v>
      </c>
      <c r="F769" s="169">
        <v>0.1021</v>
      </c>
      <c r="G769" s="168">
        <v>5.5200000000000006E-2</v>
      </c>
      <c r="H769" s="167">
        <v>0.1</v>
      </c>
      <c r="I769" t="s">
        <v>235</v>
      </c>
    </row>
    <row r="770" spans="1:9" x14ac:dyDescent="0.2">
      <c r="A770" s="18">
        <v>42192</v>
      </c>
      <c r="B770" s="168"/>
      <c r="C770" s="168"/>
      <c r="D770" s="168"/>
      <c r="E770" s="168"/>
      <c r="F770" s="168"/>
      <c r="G770" s="168"/>
      <c r="H770" s="167">
        <v>0.1</v>
      </c>
      <c r="I770" t="s">
        <v>235</v>
      </c>
    </row>
    <row r="771" spans="1:9" x14ac:dyDescent="0.2">
      <c r="A771" s="18">
        <v>42290</v>
      </c>
      <c r="B771" s="168">
        <v>2.8799999999999999E-2</v>
      </c>
      <c r="C771" s="168">
        <v>7.3499999999999996E-2</v>
      </c>
      <c r="D771" s="168">
        <v>4.99E-2</v>
      </c>
      <c r="E771" s="168">
        <v>4.41E-2</v>
      </c>
      <c r="F771" s="168">
        <v>8.4699999999999998E-2</v>
      </c>
      <c r="G771" s="168"/>
      <c r="H771" s="167">
        <v>0.1</v>
      </c>
      <c r="I771" t="s">
        <v>235</v>
      </c>
    </row>
    <row r="772" spans="1:9" x14ac:dyDescent="0.2">
      <c r="A772" s="18">
        <v>42381</v>
      </c>
      <c r="B772" s="168"/>
      <c r="C772" s="168"/>
      <c r="D772" s="168"/>
      <c r="E772" s="168"/>
      <c r="F772" s="168"/>
      <c r="G772" s="168"/>
      <c r="H772" s="167">
        <v>0.1</v>
      </c>
      <c r="I772" t="s">
        <v>235</v>
      </c>
    </row>
    <row r="773" spans="1:9" x14ac:dyDescent="0.2">
      <c r="A773" s="18">
        <v>42479</v>
      </c>
      <c r="B773" s="168">
        <v>5.1200000000000002E-2</v>
      </c>
      <c r="C773" s="168">
        <v>5.28E-2</v>
      </c>
      <c r="D773" s="168">
        <v>4.4400000000000002E-2</v>
      </c>
      <c r="E773" s="168">
        <v>7.4999999999999997E-2</v>
      </c>
      <c r="F773" s="168">
        <v>4.9799999999999997E-2</v>
      </c>
      <c r="G773" s="168">
        <v>1.0500000000000001E-2</v>
      </c>
      <c r="H773" s="167">
        <v>0.1</v>
      </c>
      <c r="I773" t="s">
        <v>235</v>
      </c>
    </row>
    <row r="774" spans="1:9" x14ac:dyDescent="0.2">
      <c r="A774" s="18">
        <v>42570</v>
      </c>
      <c r="B774" s="168">
        <v>2.1600000000000001E-2</v>
      </c>
      <c r="C774" s="168">
        <v>2.9899999999999999E-2</v>
      </c>
      <c r="D774" s="168">
        <v>2.2699999999999998E-2</v>
      </c>
      <c r="E774" s="168">
        <v>3.2100000000000004E-2</v>
      </c>
      <c r="F774" s="168">
        <v>3.5099999999999999E-2</v>
      </c>
      <c r="G774" s="168">
        <v>2.7899999999999998E-2</v>
      </c>
      <c r="H774" s="167">
        <v>0.1</v>
      </c>
      <c r="I774" t="s">
        <v>235</v>
      </c>
    </row>
    <row r="775" spans="1:9" x14ac:dyDescent="0.2">
      <c r="A775" s="18">
        <v>42654</v>
      </c>
      <c r="B775" s="168">
        <v>5.3200000000000004E-2</v>
      </c>
      <c r="C775" s="168">
        <v>9.2599999999999988E-2</v>
      </c>
      <c r="D775" s="168">
        <v>7.2999999999999995E-2</v>
      </c>
      <c r="E775" s="168">
        <v>5.4450000000000005E-2</v>
      </c>
      <c r="F775" s="168">
        <v>9.2599999999999988E-2</v>
      </c>
      <c r="G775" s="168">
        <v>5.3700000000000005E-2</v>
      </c>
      <c r="H775" s="167">
        <v>0.1</v>
      </c>
      <c r="I775" t="s">
        <v>235</v>
      </c>
    </row>
    <row r="776" spans="1:9" x14ac:dyDescent="0.2">
      <c r="A776" s="18">
        <v>42745</v>
      </c>
      <c r="B776" s="169">
        <v>0.3533</v>
      </c>
      <c r="C776" s="169">
        <v>0.34229999999999999</v>
      </c>
      <c r="D776" s="169">
        <v>0.35270000000000001</v>
      </c>
      <c r="E776" s="169">
        <v>0.4365</v>
      </c>
      <c r="F776" s="169">
        <v>0.34210000000000002</v>
      </c>
      <c r="G776" s="168">
        <v>7.4000000000000003E-3</v>
      </c>
      <c r="H776" s="167">
        <v>0.1</v>
      </c>
      <c r="I776" t="s">
        <v>235</v>
      </c>
    </row>
    <row r="777" spans="1:9" x14ac:dyDescent="0.2">
      <c r="A777" s="18">
        <v>42843</v>
      </c>
      <c r="B777" s="168">
        <v>8.2000000000000003E-2</v>
      </c>
      <c r="C777" s="169">
        <v>0.10590000000000001</v>
      </c>
      <c r="D777" s="168">
        <v>9.4900000000000012E-2</v>
      </c>
      <c r="E777" s="169">
        <v>0.1052</v>
      </c>
      <c r="F777" s="169">
        <v>0.10829999999999999</v>
      </c>
      <c r="G777" s="168">
        <v>4.3299999999999998E-2</v>
      </c>
      <c r="H777" s="167">
        <v>0.1</v>
      </c>
      <c r="I777" t="s">
        <v>235</v>
      </c>
    </row>
    <row r="778" spans="1:9" x14ac:dyDescent="0.2">
      <c r="A778" s="18">
        <v>42934</v>
      </c>
      <c r="B778" s="168">
        <v>2.6199999999999998E-2</v>
      </c>
      <c r="C778" s="168">
        <v>4.6600000000000003E-2</v>
      </c>
      <c r="D778" s="168">
        <v>3.5799999999999998E-2</v>
      </c>
      <c r="E778" s="168">
        <v>5.3899999999999997E-2</v>
      </c>
      <c r="F778" s="168">
        <v>1.2E-2</v>
      </c>
      <c r="G778" s="168">
        <v>4.5499999999999999E-2</v>
      </c>
      <c r="H778" s="167">
        <v>0.1</v>
      </c>
      <c r="I778" t="s">
        <v>235</v>
      </c>
    </row>
    <row r="779" spans="1:9" x14ac:dyDescent="0.2">
      <c r="A779" s="18">
        <v>43025</v>
      </c>
      <c r="B779" s="168">
        <v>3.2799999999999996E-2</v>
      </c>
      <c r="C779" s="169">
        <v>0.1009</v>
      </c>
      <c r="D779" s="168">
        <v>3.85E-2</v>
      </c>
      <c r="E779" s="168">
        <v>2.4E-2</v>
      </c>
      <c r="F779" s="168">
        <v>8.6400000000000005E-2</v>
      </c>
      <c r="G779" s="168">
        <v>6.720000000000001E-2</v>
      </c>
      <c r="H779" s="167">
        <v>0.1</v>
      </c>
      <c r="I779" t="s">
        <v>235</v>
      </c>
    </row>
    <row r="780" spans="1:9" x14ac:dyDescent="0.2">
      <c r="A780" s="18">
        <v>43109</v>
      </c>
      <c r="B780" s="168">
        <v>7.8799999999999995E-2</v>
      </c>
      <c r="C780" s="169">
        <v>0.1144</v>
      </c>
      <c r="D780" s="169">
        <v>0.1462</v>
      </c>
      <c r="E780" s="168">
        <v>8.1599999999999992E-2</v>
      </c>
      <c r="F780" s="168">
        <v>9.8799999999999999E-2</v>
      </c>
      <c r="G780" s="168">
        <v>1.9699999999999999E-2</v>
      </c>
      <c r="H780" s="167">
        <v>0.1</v>
      </c>
      <c r="I780" t="s">
        <v>235</v>
      </c>
    </row>
    <row r="781" spans="1:9" x14ac:dyDescent="0.2">
      <c r="A781" s="18">
        <v>43193</v>
      </c>
      <c r="B781" s="169">
        <v>0.25869999999999999</v>
      </c>
      <c r="C781" s="169">
        <v>0.26319999999999999</v>
      </c>
      <c r="D781" s="169">
        <v>0.2442</v>
      </c>
      <c r="E781" s="169">
        <v>0.30660000000000004</v>
      </c>
      <c r="F781" s="169">
        <v>0.2462</v>
      </c>
      <c r="G781" s="168">
        <v>1.6300000000000002E-2</v>
      </c>
      <c r="H781" s="167">
        <v>0.1</v>
      </c>
      <c r="I781" t="s">
        <v>235</v>
      </c>
    </row>
    <row r="782" spans="1:9" x14ac:dyDescent="0.2">
      <c r="A782" s="18">
        <v>43298</v>
      </c>
      <c r="B782" s="168">
        <v>3.78E-2</v>
      </c>
      <c r="C782" s="168">
        <v>3.6600000000000001E-2</v>
      </c>
      <c r="D782" s="168">
        <v>2.1600000000000001E-2</v>
      </c>
      <c r="E782" s="168">
        <v>2.53E-2</v>
      </c>
      <c r="F782" s="168">
        <v>3.2000000000000001E-2</v>
      </c>
      <c r="G782" s="168">
        <v>1.77E-2</v>
      </c>
      <c r="H782" s="167">
        <v>0.1</v>
      </c>
      <c r="I782" t="s">
        <v>235</v>
      </c>
    </row>
    <row r="783" spans="1:9" x14ac:dyDescent="0.2">
      <c r="A783" s="18">
        <v>43403</v>
      </c>
      <c r="B783" s="168">
        <v>9.3799999999999994E-2</v>
      </c>
      <c r="C783" s="169">
        <v>0.2344</v>
      </c>
      <c r="D783" s="168">
        <v>8.6699999999999999E-2</v>
      </c>
      <c r="E783" s="168">
        <v>8.9700000000000002E-2</v>
      </c>
      <c r="F783" s="169">
        <v>0.17560000000000001</v>
      </c>
      <c r="G783" s="169">
        <v>0.73799999999999999</v>
      </c>
      <c r="H783" s="167">
        <v>0.1</v>
      </c>
      <c r="I783" t="s">
        <v>235</v>
      </c>
    </row>
    <row r="784" spans="1:9" x14ac:dyDescent="0.2">
      <c r="A784" s="18">
        <v>43487</v>
      </c>
      <c r="B784" s="168">
        <v>6.787E-2</v>
      </c>
      <c r="C784" s="169">
        <v>0.10969</v>
      </c>
      <c r="D784" s="168">
        <v>6.2329999999999997E-2</v>
      </c>
      <c r="E784" s="168"/>
      <c r="F784" s="168">
        <v>6.2939999999999996E-2</v>
      </c>
      <c r="G784" s="168">
        <v>2.0500000000000001E-2</v>
      </c>
      <c r="H784" s="167">
        <v>0.1</v>
      </c>
      <c r="I784" t="s">
        <v>235</v>
      </c>
    </row>
    <row r="785" spans="1:9" x14ac:dyDescent="0.2">
      <c r="A785" s="18">
        <v>43578</v>
      </c>
      <c r="B785" s="169">
        <v>0.22516999999999998</v>
      </c>
      <c r="C785" s="169">
        <v>0.26069999999999999</v>
      </c>
      <c r="D785" s="169">
        <v>0.22253000000000001</v>
      </c>
      <c r="E785" s="169">
        <v>0.25662999999999997</v>
      </c>
      <c r="F785" s="169">
        <v>0.20899999999999999</v>
      </c>
      <c r="G785" s="169">
        <v>0.26300999999999997</v>
      </c>
      <c r="H785" s="167">
        <v>0.1</v>
      </c>
      <c r="I785" t="s">
        <v>235</v>
      </c>
    </row>
    <row r="786" spans="1:9" x14ac:dyDescent="0.2">
      <c r="A786" s="18">
        <v>43704</v>
      </c>
      <c r="B786" s="168">
        <v>1.8106000000000001E-2</v>
      </c>
      <c r="C786" s="168">
        <v>3.1229E-2</v>
      </c>
      <c r="D786" s="168">
        <v>4.3064999999999999E-2</v>
      </c>
      <c r="E786" s="168">
        <v>2.1109000000000003E-2</v>
      </c>
      <c r="F786" s="168">
        <v>1.6280000000000003E-2</v>
      </c>
      <c r="G786" s="168">
        <v>4.7201E-2</v>
      </c>
      <c r="H786" s="167">
        <v>0.1</v>
      </c>
      <c r="I786" t="s">
        <v>235</v>
      </c>
    </row>
    <row r="787" spans="1:9" x14ac:dyDescent="0.2">
      <c r="A787" s="18">
        <v>43760</v>
      </c>
      <c r="B787" s="168">
        <v>5.1864E-2</v>
      </c>
      <c r="C787" s="168">
        <v>7.3436000000000001E-2</v>
      </c>
      <c r="D787" s="168">
        <v>7.1400999999999992E-2</v>
      </c>
      <c r="E787" s="169">
        <v>0.12165999999999999</v>
      </c>
      <c r="F787" s="168">
        <v>7.2973999999999997E-2</v>
      </c>
      <c r="G787" s="168">
        <v>9.9939999999999994E-3</v>
      </c>
      <c r="H787" s="167">
        <v>0.1</v>
      </c>
      <c r="I787" t="s">
        <v>235</v>
      </c>
    </row>
    <row r="788" spans="1:9" x14ac:dyDescent="0.2">
      <c r="A788" s="18">
        <v>44021</v>
      </c>
      <c r="B788" s="168">
        <v>5.0798000000000003E-2</v>
      </c>
      <c r="C788" s="168">
        <v>7.5801000000000007E-2</v>
      </c>
      <c r="D788" s="168">
        <v>5.9950000000000003E-2</v>
      </c>
      <c r="E788" s="168">
        <v>7.0543000000000008E-2</v>
      </c>
      <c r="F788" s="168">
        <v>7.1543999999999996E-2</v>
      </c>
      <c r="G788" s="168">
        <v>1.0039999999999999E-2</v>
      </c>
      <c r="H788" s="167">
        <v>0.1</v>
      </c>
      <c r="I788" t="s">
        <v>235</v>
      </c>
    </row>
    <row r="789" spans="1:9" x14ac:dyDescent="0.2">
      <c r="A789" s="18">
        <v>44111</v>
      </c>
      <c r="B789" s="168">
        <v>3.2149999999999998E-2</v>
      </c>
      <c r="C789" s="168">
        <v>6.2590000000000007E-2</v>
      </c>
      <c r="D789" s="168">
        <v>2.4930000000000001E-2</v>
      </c>
      <c r="E789" s="168">
        <v>5.1130000000000002E-2</v>
      </c>
      <c r="F789" s="168">
        <v>6.0590000000000005E-2</v>
      </c>
      <c r="G789" s="168">
        <v>5.518E-2</v>
      </c>
      <c r="H789" s="167">
        <v>0.1</v>
      </c>
      <c r="I789" t="s">
        <v>235</v>
      </c>
    </row>
    <row r="790" spans="1:9" x14ac:dyDescent="0.2">
      <c r="A790" s="18">
        <v>44119</v>
      </c>
      <c r="B790" s="168">
        <v>2.4958999999999999E-2</v>
      </c>
      <c r="C790" s="168">
        <v>5.3613999999999995E-2</v>
      </c>
      <c r="D790" s="168"/>
      <c r="E790" s="168"/>
      <c r="F790" s="168"/>
      <c r="G790" s="168"/>
      <c r="H790" s="167">
        <v>0.1</v>
      </c>
      <c r="I790" t="s">
        <v>235</v>
      </c>
    </row>
    <row r="791" spans="1:9" x14ac:dyDescent="0.2">
      <c r="A791" s="18">
        <v>44120</v>
      </c>
      <c r="B791" s="168">
        <v>2.7511000000000001E-2</v>
      </c>
      <c r="C791" s="168">
        <v>7.1499999999999994E-2</v>
      </c>
      <c r="D791" s="168"/>
      <c r="E791" s="168"/>
      <c r="F791" s="168"/>
      <c r="G791" s="168"/>
      <c r="H791" s="167">
        <v>0.1</v>
      </c>
      <c r="I791" t="s">
        <v>235</v>
      </c>
    </row>
    <row r="792" spans="1:9" x14ac:dyDescent="0.2">
      <c r="A792" s="18">
        <v>44146</v>
      </c>
      <c r="B792" s="168">
        <f>38.42/1000</f>
        <v>3.8420000000000003E-2</v>
      </c>
      <c r="C792" s="169">
        <f>159.72/1000</f>
        <v>0.15972</v>
      </c>
      <c r="D792" s="168">
        <f>20.13/1000</f>
        <v>2.0129999999999999E-2</v>
      </c>
      <c r="E792" s="168">
        <f>54.97/1000</f>
        <v>5.4969999999999998E-2</v>
      </c>
      <c r="F792" s="169">
        <f>162.47/1000</f>
        <v>0.16247</v>
      </c>
      <c r="G792" s="168">
        <f>95.96/1000</f>
        <v>9.595999999999999E-2</v>
      </c>
      <c r="H792" s="167">
        <v>0.1</v>
      </c>
      <c r="I792" t="s">
        <v>235</v>
      </c>
    </row>
    <row r="793" spans="1:9" x14ac:dyDescent="0.2">
      <c r="A793" s="17">
        <v>44146</v>
      </c>
      <c r="B793" s="168">
        <v>6.7000000000000004E-2</v>
      </c>
      <c r="C793" s="169">
        <v>0.18</v>
      </c>
      <c r="D793" s="168">
        <v>3.3000000000000002E-2</v>
      </c>
      <c r="E793" s="168">
        <v>7.1999999999999995E-2</v>
      </c>
      <c r="F793" s="169">
        <v>0.19</v>
      </c>
      <c r="G793" s="168">
        <v>9.4E-2</v>
      </c>
      <c r="H793" s="167">
        <v>0.1</v>
      </c>
      <c r="I793" t="s">
        <v>236</v>
      </c>
    </row>
    <row r="794" spans="1:9" x14ac:dyDescent="0.2">
      <c r="A794" s="17">
        <v>44184</v>
      </c>
      <c r="B794" s="168">
        <v>8.4000000000000005E-2</v>
      </c>
      <c r="C794" s="188">
        <v>0.08</v>
      </c>
      <c r="D794" s="168">
        <v>8.1000000000000003E-2</v>
      </c>
      <c r="E794" s="168">
        <v>0.1</v>
      </c>
      <c r="F794" s="188">
        <v>7.9000000000000001E-2</v>
      </c>
      <c r="G794" s="168">
        <v>1.0999999999999999E-2</v>
      </c>
      <c r="H794" s="167">
        <v>0.1</v>
      </c>
      <c r="I794" t="s">
        <v>236</v>
      </c>
    </row>
    <row r="796" spans="1:9" hidden="1" x14ac:dyDescent="0.2">
      <c r="A796" s="34"/>
      <c r="B796" s="36" t="s">
        <v>93</v>
      </c>
    </row>
    <row r="797" spans="1:9" hidden="1" x14ac:dyDescent="0.2">
      <c r="A797" s="34"/>
      <c r="B797" s="29" t="s">
        <v>75</v>
      </c>
    </row>
    <row r="798" spans="1:9" hidden="1" x14ac:dyDescent="0.2">
      <c r="A798" s="12" t="s">
        <v>7</v>
      </c>
      <c r="B798" s="78" t="s">
        <v>9</v>
      </c>
      <c r="C798" s="77" t="s">
        <v>10</v>
      </c>
      <c r="D798" s="76" t="s">
        <v>11</v>
      </c>
      <c r="E798" s="75" t="s">
        <v>12</v>
      </c>
      <c r="F798" s="74" t="s">
        <v>13</v>
      </c>
      <c r="G798" s="27" t="s">
        <v>14</v>
      </c>
    </row>
    <row r="799" spans="1:9" hidden="1" x14ac:dyDescent="0.2">
      <c r="A799" s="18">
        <v>37046</v>
      </c>
      <c r="B799" s="34">
        <v>4</v>
      </c>
      <c r="C799" s="34">
        <v>4</v>
      </c>
      <c r="D799" s="34">
        <v>4</v>
      </c>
      <c r="E799" s="34">
        <v>4</v>
      </c>
      <c r="F799" s="34"/>
      <c r="G799" s="34"/>
    </row>
    <row r="800" spans="1:9" hidden="1" x14ac:dyDescent="0.2">
      <c r="A800" s="18">
        <v>37076</v>
      </c>
      <c r="B800" s="34">
        <v>5.2</v>
      </c>
      <c r="C800" s="34">
        <v>15.34</v>
      </c>
      <c r="D800" s="34">
        <v>29.4</v>
      </c>
      <c r="E800" s="34">
        <v>26.95</v>
      </c>
      <c r="F800" s="34"/>
      <c r="G800" s="34"/>
    </row>
    <row r="801" spans="1:7" hidden="1" x14ac:dyDescent="0.2">
      <c r="A801" s="18">
        <v>37335</v>
      </c>
      <c r="B801" s="34">
        <v>27.4</v>
      </c>
      <c r="C801" s="34">
        <v>9.01</v>
      </c>
      <c r="D801" s="34">
        <v>19.28</v>
      </c>
      <c r="E801" s="34">
        <v>27.21</v>
      </c>
      <c r="F801" s="34"/>
      <c r="G801" s="34"/>
    </row>
    <row r="802" spans="1:7" hidden="1" x14ac:dyDescent="0.2">
      <c r="A802" s="18">
        <v>37566</v>
      </c>
      <c r="B802" s="34"/>
      <c r="C802" s="34"/>
      <c r="D802" s="34"/>
      <c r="E802" s="34"/>
      <c r="F802" s="34"/>
      <c r="G802" s="34"/>
    </row>
    <row r="803" spans="1:7" hidden="1" x14ac:dyDescent="0.2">
      <c r="A803" s="18">
        <v>37594</v>
      </c>
      <c r="B803" s="34"/>
      <c r="C803" s="34"/>
      <c r="D803" s="34"/>
      <c r="E803" s="34"/>
      <c r="F803" s="34"/>
      <c r="G803" s="34"/>
    </row>
    <row r="804" spans="1:7" hidden="1" x14ac:dyDescent="0.2">
      <c r="A804" s="18">
        <v>37711</v>
      </c>
      <c r="B804" s="34"/>
      <c r="C804" s="34"/>
      <c r="D804" s="34"/>
      <c r="E804" s="34"/>
      <c r="F804" s="34"/>
      <c r="G804" s="34"/>
    </row>
    <row r="805" spans="1:7" hidden="1" x14ac:dyDescent="0.2">
      <c r="A805" s="18">
        <v>37739</v>
      </c>
      <c r="B805" s="34"/>
      <c r="C805" s="34"/>
      <c r="D805" s="34"/>
      <c r="E805" s="34"/>
      <c r="F805" s="34"/>
      <c r="G805" s="34"/>
    </row>
    <row r="806" spans="1:7" hidden="1" x14ac:dyDescent="0.2">
      <c r="A806" s="18">
        <v>37825</v>
      </c>
      <c r="B806" s="34"/>
      <c r="C806" s="34"/>
      <c r="D806" s="34"/>
      <c r="E806" s="34"/>
      <c r="F806" s="34"/>
      <c r="G806" s="34"/>
    </row>
    <row r="807" spans="1:7" hidden="1" x14ac:dyDescent="0.2">
      <c r="A807" s="18">
        <v>37888</v>
      </c>
      <c r="B807" s="34"/>
      <c r="C807" s="34"/>
      <c r="D807" s="34"/>
      <c r="E807" s="34"/>
      <c r="F807" s="34"/>
      <c r="G807" s="34"/>
    </row>
    <row r="808" spans="1:7" hidden="1" x14ac:dyDescent="0.2">
      <c r="A808" s="18">
        <v>37963</v>
      </c>
      <c r="B808" s="34"/>
      <c r="C808" s="34"/>
      <c r="D808" s="34"/>
      <c r="E808" s="34"/>
      <c r="F808" s="34"/>
      <c r="G808" s="34"/>
    </row>
    <row r="809" spans="1:7" hidden="1" x14ac:dyDescent="0.2">
      <c r="A809" s="18">
        <v>38012</v>
      </c>
      <c r="B809" s="34"/>
      <c r="C809" s="34"/>
      <c r="D809" s="34"/>
      <c r="E809" s="34"/>
      <c r="F809" s="34"/>
      <c r="G809" s="34"/>
    </row>
    <row r="810" spans="1:7" hidden="1" x14ac:dyDescent="0.2">
      <c r="A810" s="18">
        <v>38033</v>
      </c>
      <c r="B810" s="34"/>
      <c r="C810" s="34"/>
      <c r="D810" s="34"/>
      <c r="E810" s="34"/>
      <c r="F810" s="34"/>
      <c r="G810" s="34"/>
    </row>
    <row r="811" spans="1:7" hidden="1" x14ac:dyDescent="0.2">
      <c r="A811" s="18">
        <v>38271</v>
      </c>
      <c r="B811" s="34">
        <v>16.600000000000001</v>
      </c>
      <c r="C811" s="34">
        <v>18.8</v>
      </c>
      <c r="D811" s="34">
        <v>25.1</v>
      </c>
      <c r="E811" s="34">
        <v>24.1</v>
      </c>
      <c r="F811" s="34"/>
      <c r="G811" s="34"/>
    </row>
    <row r="812" spans="1:7" hidden="1" x14ac:dyDescent="0.2">
      <c r="A812" s="18">
        <v>38474</v>
      </c>
      <c r="B812" s="34"/>
      <c r="C812" s="34"/>
      <c r="D812" s="34"/>
      <c r="E812" s="34"/>
      <c r="F812" s="34"/>
      <c r="G812" s="34"/>
    </row>
    <row r="813" spans="1:7" hidden="1" x14ac:dyDescent="0.2">
      <c r="A813" s="18">
        <v>38896</v>
      </c>
      <c r="B813" s="34">
        <v>8</v>
      </c>
      <c r="C813" s="34">
        <v>6.1</v>
      </c>
      <c r="D813" s="34">
        <v>7.2</v>
      </c>
      <c r="E813" s="34">
        <v>8.9</v>
      </c>
      <c r="F813" s="34"/>
      <c r="G813" s="34"/>
    </row>
    <row r="814" spans="1:7" hidden="1" x14ac:dyDescent="0.2">
      <c r="A814" s="18">
        <v>40625</v>
      </c>
      <c r="B814" s="34">
        <v>34.799999999999997</v>
      </c>
      <c r="C814" s="34">
        <v>15.4</v>
      </c>
      <c r="D814" s="34">
        <v>29.4</v>
      </c>
      <c r="E814" s="34">
        <v>33.5</v>
      </c>
      <c r="F814" s="34">
        <v>25.7</v>
      </c>
      <c r="G814" s="34">
        <v>27.7</v>
      </c>
    </row>
    <row r="815" spans="1:7" hidden="1" x14ac:dyDescent="0.2">
      <c r="A815" s="18">
        <v>40716</v>
      </c>
      <c r="B815" s="34">
        <v>15</v>
      </c>
      <c r="C815" s="34">
        <v>15</v>
      </c>
      <c r="D815" s="34">
        <v>15</v>
      </c>
      <c r="E815" s="34">
        <v>15</v>
      </c>
      <c r="F815" s="34">
        <v>15</v>
      </c>
      <c r="G815" s="34">
        <v>15</v>
      </c>
    </row>
    <row r="816" spans="1:7" hidden="1" x14ac:dyDescent="0.2">
      <c r="A816" s="18">
        <v>40821</v>
      </c>
      <c r="B816" s="34">
        <v>50</v>
      </c>
      <c r="C816" s="34">
        <v>50</v>
      </c>
      <c r="D816" s="34">
        <v>50</v>
      </c>
      <c r="E816" s="34">
        <v>50</v>
      </c>
      <c r="F816" s="34">
        <v>14.9</v>
      </c>
      <c r="G816" s="34">
        <v>117.2</v>
      </c>
    </row>
    <row r="817" spans="1:7" hidden="1" x14ac:dyDescent="0.2">
      <c r="A817" s="18">
        <v>40897</v>
      </c>
      <c r="B817" s="34">
        <v>50</v>
      </c>
      <c r="C817" s="34">
        <v>50</v>
      </c>
      <c r="D817" s="34">
        <v>50</v>
      </c>
      <c r="E817" s="34">
        <v>50</v>
      </c>
      <c r="F817" s="34">
        <v>50</v>
      </c>
      <c r="G817" s="34">
        <v>50</v>
      </c>
    </row>
    <row r="818" spans="1:7" hidden="1" x14ac:dyDescent="0.2">
      <c r="A818" s="18">
        <v>41008</v>
      </c>
      <c r="B818" s="34">
        <v>50</v>
      </c>
      <c r="C818" s="34">
        <v>50</v>
      </c>
      <c r="D818" s="34">
        <v>86.6</v>
      </c>
      <c r="E818" s="34">
        <v>50</v>
      </c>
      <c r="F818" s="34">
        <v>50</v>
      </c>
      <c r="G818" s="34">
        <v>50</v>
      </c>
    </row>
    <row r="819" spans="1:7" hidden="1" x14ac:dyDescent="0.2">
      <c r="A819" s="18">
        <v>41086</v>
      </c>
      <c r="B819" s="34">
        <v>50</v>
      </c>
      <c r="C819" s="34">
        <v>50</v>
      </c>
      <c r="D819" s="34">
        <v>50</v>
      </c>
      <c r="E819" s="34">
        <v>50</v>
      </c>
      <c r="F819" s="34">
        <v>50</v>
      </c>
      <c r="G819" s="34">
        <v>50</v>
      </c>
    </row>
    <row r="820" spans="1:7" hidden="1" x14ac:dyDescent="0.2">
      <c r="A820" s="18">
        <v>41179</v>
      </c>
      <c r="B820" s="34">
        <v>50</v>
      </c>
      <c r="C820" s="34">
        <v>50</v>
      </c>
      <c r="D820" s="34">
        <v>50</v>
      </c>
      <c r="E820" s="34">
        <v>50</v>
      </c>
      <c r="F820" s="34">
        <v>50</v>
      </c>
      <c r="G820" s="34">
        <v>50</v>
      </c>
    </row>
    <row r="821" spans="1:7" hidden="1" x14ac:dyDescent="0.2">
      <c r="A821" s="18">
        <v>41247</v>
      </c>
      <c r="B821" s="34">
        <v>50</v>
      </c>
      <c r="C821" s="34">
        <v>50</v>
      </c>
      <c r="D821" s="34">
        <v>50</v>
      </c>
      <c r="E821" s="34">
        <v>50</v>
      </c>
      <c r="F821" s="34">
        <v>50</v>
      </c>
      <c r="G821" s="34">
        <v>50</v>
      </c>
    </row>
    <row r="822" spans="1:7" hidden="1" x14ac:dyDescent="0.2">
      <c r="A822" s="18">
        <v>41352</v>
      </c>
      <c r="B822" s="34">
        <v>50</v>
      </c>
      <c r="C822" s="34">
        <v>50</v>
      </c>
      <c r="D822" s="34">
        <v>50</v>
      </c>
      <c r="E822" s="34">
        <v>50</v>
      </c>
      <c r="F822" s="34">
        <v>50</v>
      </c>
      <c r="G822" s="34">
        <v>50</v>
      </c>
    </row>
    <row r="823" spans="1:7" hidden="1" x14ac:dyDescent="0.2">
      <c r="A823" s="18">
        <v>41445</v>
      </c>
      <c r="B823" s="34">
        <v>50</v>
      </c>
      <c r="C823" s="34">
        <v>50</v>
      </c>
      <c r="D823" s="34">
        <v>50</v>
      </c>
      <c r="E823" s="34">
        <v>50</v>
      </c>
      <c r="F823" s="34">
        <v>50</v>
      </c>
      <c r="G823" s="34">
        <v>50</v>
      </c>
    </row>
    <row r="824" spans="1:7" hidden="1" x14ac:dyDescent="0.2">
      <c r="A824" s="18">
        <v>41528</v>
      </c>
      <c r="B824" s="34">
        <v>50</v>
      </c>
      <c r="C824" s="34">
        <v>50</v>
      </c>
      <c r="D824" s="34">
        <v>50</v>
      </c>
      <c r="E824" s="34">
        <v>50</v>
      </c>
      <c r="F824" s="34">
        <v>50</v>
      </c>
      <c r="G824" s="34">
        <v>50</v>
      </c>
    </row>
    <row r="825" spans="1:7" hidden="1" x14ac:dyDescent="0.2">
      <c r="A825" s="18">
        <v>41670</v>
      </c>
      <c r="B825" s="34">
        <v>50</v>
      </c>
      <c r="C825" s="34">
        <v>50</v>
      </c>
      <c r="D825" s="34">
        <v>50</v>
      </c>
      <c r="E825" s="34">
        <v>59.7</v>
      </c>
      <c r="F825" s="34">
        <v>52.7</v>
      </c>
      <c r="G825" s="34">
        <v>55.2</v>
      </c>
    </row>
    <row r="826" spans="1:7" hidden="1" x14ac:dyDescent="0.2">
      <c r="A826" s="18">
        <v>41758</v>
      </c>
      <c r="B826" s="34">
        <v>50</v>
      </c>
      <c r="C826" s="34">
        <v>50</v>
      </c>
      <c r="D826" s="34">
        <v>50</v>
      </c>
      <c r="E826" s="34">
        <v>50</v>
      </c>
      <c r="F826" s="34">
        <v>50</v>
      </c>
      <c r="G826" s="34">
        <v>50</v>
      </c>
    </row>
    <row r="827" spans="1:7" hidden="1" x14ac:dyDescent="0.2">
      <c r="A827" s="18">
        <v>41835</v>
      </c>
      <c r="B827" s="34">
        <v>50</v>
      </c>
      <c r="C827" s="34">
        <v>50</v>
      </c>
      <c r="D827" s="34">
        <v>50</v>
      </c>
      <c r="E827" s="34">
        <v>50</v>
      </c>
      <c r="F827" s="34">
        <v>50</v>
      </c>
      <c r="G827" s="34">
        <v>50</v>
      </c>
    </row>
    <row r="828" spans="1:7" hidden="1" x14ac:dyDescent="0.2">
      <c r="A828" s="18">
        <v>42031</v>
      </c>
      <c r="B828" s="34">
        <v>50</v>
      </c>
      <c r="C828" s="34">
        <v>50</v>
      </c>
      <c r="D828" s="34">
        <v>50</v>
      </c>
      <c r="E828" s="34">
        <v>62.7</v>
      </c>
      <c r="F828" s="34">
        <v>50</v>
      </c>
      <c r="G828" s="34">
        <v>54.5</v>
      </c>
    </row>
    <row r="829" spans="1:7" hidden="1" x14ac:dyDescent="0.2">
      <c r="A829" s="18">
        <v>42094</v>
      </c>
      <c r="B829" s="34">
        <v>50</v>
      </c>
      <c r="C829" s="34">
        <v>50</v>
      </c>
      <c r="D829" s="34">
        <v>50</v>
      </c>
      <c r="E829" s="34">
        <v>50</v>
      </c>
      <c r="F829" s="34">
        <v>50</v>
      </c>
      <c r="G829" s="34">
        <v>50</v>
      </c>
    </row>
    <row r="830" spans="1:7" hidden="1" x14ac:dyDescent="0.2">
      <c r="A830" s="18">
        <v>42192</v>
      </c>
      <c r="B830" s="34">
        <v>50</v>
      </c>
      <c r="C830" s="34">
        <v>50</v>
      </c>
      <c r="D830" s="34">
        <v>50</v>
      </c>
      <c r="E830" s="34">
        <v>50</v>
      </c>
      <c r="F830" s="34">
        <v>50</v>
      </c>
      <c r="G830" s="34">
        <v>50</v>
      </c>
    </row>
    <row r="831" spans="1:7" hidden="1" x14ac:dyDescent="0.2">
      <c r="A831" s="18">
        <v>42290</v>
      </c>
      <c r="B831" s="34">
        <v>50</v>
      </c>
      <c r="C831" s="34">
        <v>50</v>
      </c>
      <c r="D831" s="34">
        <v>50</v>
      </c>
      <c r="E831" s="34">
        <v>50</v>
      </c>
      <c r="F831" s="34">
        <v>50</v>
      </c>
      <c r="G831" s="34"/>
    </row>
    <row r="832" spans="1:7" hidden="1" x14ac:dyDescent="0.2">
      <c r="A832" s="18">
        <v>42381</v>
      </c>
      <c r="B832" s="34">
        <v>50</v>
      </c>
      <c r="C832" s="34">
        <v>50</v>
      </c>
      <c r="D832" s="34">
        <v>50</v>
      </c>
      <c r="E832" s="34">
        <v>50</v>
      </c>
      <c r="F832" s="34">
        <v>50</v>
      </c>
      <c r="G832" s="34"/>
    </row>
    <row r="833" spans="1:7" hidden="1" x14ac:dyDescent="0.2">
      <c r="A833" s="18">
        <v>42479</v>
      </c>
      <c r="B833" s="34">
        <v>50</v>
      </c>
      <c r="C833" s="34">
        <v>50</v>
      </c>
      <c r="D833" s="34">
        <v>50</v>
      </c>
      <c r="E833" s="34">
        <v>50</v>
      </c>
      <c r="F833" s="34">
        <v>50</v>
      </c>
      <c r="G833" s="34">
        <v>50</v>
      </c>
    </row>
    <row r="834" spans="1:7" hidden="1" x14ac:dyDescent="0.2">
      <c r="A834" s="18">
        <v>42570</v>
      </c>
      <c r="B834" s="34">
        <v>50</v>
      </c>
      <c r="C834" s="34">
        <v>50</v>
      </c>
      <c r="D834" s="34">
        <v>50</v>
      </c>
      <c r="E834" s="34">
        <v>50</v>
      </c>
      <c r="F834" s="34">
        <v>50</v>
      </c>
      <c r="G834" s="34">
        <v>50</v>
      </c>
    </row>
    <row r="835" spans="1:7" hidden="1" x14ac:dyDescent="0.2">
      <c r="A835" s="18">
        <v>42654</v>
      </c>
      <c r="B835" s="34">
        <v>50</v>
      </c>
      <c r="C835" s="34">
        <v>50</v>
      </c>
      <c r="D835" s="34">
        <v>50</v>
      </c>
      <c r="E835" s="34">
        <v>50</v>
      </c>
      <c r="F835" s="34">
        <v>50</v>
      </c>
      <c r="G835" s="34">
        <v>50</v>
      </c>
    </row>
    <row r="836" spans="1:7" hidden="1" x14ac:dyDescent="0.2">
      <c r="A836" s="18">
        <v>42745</v>
      </c>
      <c r="B836" s="34">
        <v>50</v>
      </c>
      <c r="C836" s="34">
        <v>50</v>
      </c>
      <c r="D836" s="34">
        <v>50</v>
      </c>
      <c r="E836" s="34">
        <v>50</v>
      </c>
      <c r="F836" s="34">
        <v>50</v>
      </c>
      <c r="G836" s="34">
        <v>50</v>
      </c>
    </row>
    <row r="837" spans="1:7" hidden="1" x14ac:dyDescent="0.2">
      <c r="A837" s="18">
        <v>42843</v>
      </c>
      <c r="B837" s="34">
        <v>50</v>
      </c>
      <c r="C837" s="34">
        <v>50</v>
      </c>
      <c r="D837" s="34">
        <v>50</v>
      </c>
      <c r="E837" s="34">
        <v>50</v>
      </c>
      <c r="F837" s="34">
        <v>50</v>
      </c>
      <c r="G837" s="34">
        <v>50</v>
      </c>
    </row>
    <row r="838" spans="1:7" hidden="1" x14ac:dyDescent="0.2">
      <c r="A838" s="18">
        <v>42934</v>
      </c>
      <c r="B838" s="34">
        <v>50</v>
      </c>
      <c r="C838" s="34">
        <v>50</v>
      </c>
      <c r="D838" s="34">
        <v>50</v>
      </c>
      <c r="E838" s="34">
        <v>50</v>
      </c>
      <c r="F838" s="34">
        <v>50</v>
      </c>
      <c r="G838" s="34">
        <v>50</v>
      </c>
    </row>
    <row r="839" spans="1:7" hidden="1" x14ac:dyDescent="0.2">
      <c r="A839" s="18">
        <v>43025</v>
      </c>
      <c r="B839" s="34">
        <v>50</v>
      </c>
      <c r="C839" s="34">
        <v>50</v>
      </c>
      <c r="D839" s="34">
        <v>50</v>
      </c>
      <c r="E839" s="34">
        <v>50</v>
      </c>
      <c r="F839" s="34">
        <v>50</v>
      </c>
      <c r="G839" s="34">
        <v>50</v>
      </c>
    </row>
    <row r="840" spans="1:7" hidden="1" x14ac:dyDescent="0.2">
      <c r="A840" s="18">
        <v>43109</v>
      </c>
      <c r="B840" s="34">
        <v>50</v>
      </c>
      <c r="C840" s="34">
        <v>50</v>
      </c>
      <c r="D840" s="34">
        <v>50</v>
      </c>
      <c r="E840" s="34">
        <v>50</v>
      </c>
      <c r="F840" s="34">
        <v>50</v>
      </c>
      <c r="G840" s="34">
        <v>50</v>
      </c>
    </row>
    <row r="841" spans="1:7" hidden="1" x14ac:dyDescent="0.2">
      <c r="A841" s="18">
        <v>43193</v>
      </c>
      <c r="B841" s="34">
        <v>50</v>
      </c>
      <c r="C841" s="34">
        <v>50</v>
      </c>
      <c r="D841" s="34">
        <v>50</v>
      </c>
      <c r="E841" s="34">
        <v>50</v>
      </c>
      <c r="F841" s="34">
        <v>50</v>
      </c>
      <c r="G841" s="34">
        <v>50</v>
      </c>
    </row>
    <row r="842" spans="1:7" hidden="1" x14ac:dyDescent="0.2">
      <c r="A842" s="18">
        <v>43298</v>
      </c>
      <c r="B842" s="34">
        <v>50</v>
      </c>
      <c r="C842" s="34">
        <v>50</v>
      </c>
      <c r="D842" s="34">
        <v>50</v>
      </c>
      <c r="E842" s="34">
        <v>50</v>
      </c>
      <c r="F842" s="34">
        <v>50</v>
      </c>
      <c r="G842" s="34">
        <v>50</v>
      </c>
    </row>
    <row r="843" spans="1:7" hidden="1" x14ac:dyDescent="0.2">
      <c r="A843" s="18">
        <v>43403</v>
      </c>
      <c r="B843" s="34">
        <v>50</v>
      </c>
      <c r="C843" s="34">
        <v>50</v>
      </c>
      <c r="D843" s="34">
        <v>50</v>
      </c>
      <c r="E843" s="34">
        <v>50</v>
      </c>
      <c r="F843" s="34">
        <v>50</v>
      </c>
      <c r="G843" s="34">
        <v>50</v>
      </c>
    </row>
    <row r="844" spans="1:7" hidden="1" x14ac:dyDescent="0.2">
      <c r="A844" s="18">
        <v>43487</v>
      </c>
      <c r="B844" s="34">
        <v>50</v>
      </c>
      <c r="C844" s="34">
        <v>50</v>
      </c>
      <c r="D844" s="34">
        <v>50</v>
      </c>
      <c r="E844" s="34"/>
      <c r="F844" s="34">
        <v>50</v>
      </c>
      <c r="G844" s="34">
        <v>50</v>
      </c>
    </row>
    <row r="845" spans="1:7" hidden="1" x14ac:dyDescent="0.2">
      <c r="A845" s="18">
        <v>43578</v>
      </c>
      <c r="B845" s="34">
        <v>50</v>
      </c>
      <c r="C845" s="34">
        <v>50</v>
      </c>
      <c r="D845" s="34">
        <v>50</v>
      </c>
      <c r="E845" s="34">
        <v>50</v>
      </c>
      <c r="F845" s="34">
        <v>50</v>
      </c>
      <c r="G845" s="34">
        <v>50</v>
      </c>
    </row>
    <row r="846" spans="1:7" hidden="1" x14ac:dyDescent="0.2">
      <c r="A846" s="18">
        <v>43704</v>
      </c>
      <c r="B846" s="34">
        <v>50</v>
      </c>
      <c r="C846" s="34">
        <v>50</v>
      </c>
      <c r="D846" s="34">
        <v>50</v>
      </c>
      <c r="E846" s="34">
        <v>50</v>
      </c>
      <c r="F846" s="34">
        <v>50</v>
      </c>
      <c r="G846" s="34">
        <v>50</v>
      </c>
    </row>
    <row r="847" spans="1:7" hidden="1" x14ac:dyDescent="0.2">
      <c r="A847" s="18">
        <v>43760</v>
      </c>
      <c r="B847" s="34">
        <v>50</v>
      </c>
      <c r="C847" s="34">
        <v>50</v>
      </c>
      <c r="D847" s="34">
        <v>50</v>
      </c>
      <c r="E847" s="34">
        <v>50</v>
      </c>
      <c r="F847" s="34">
        <v>50</v>
      </c>
      <c r="G847" s="34">
        <v>50</v>
      </c>
    </row>
    <row r="848" spans="1:7" hidden="1" x14ac:dyDescent="0.2">
      <c r="A848" s="18">
        <v>44021</v>
      </c>
      <c r="B848" s="34">
        <v>50</v>
      </c>
      <c r="C848" s="34">
        <v>50</v>
      </c>
      <c r="D848" s="34">
        <v>50</v>
      </c>
      <c r="E848" s="34">
        <v>50</v>
      </c>
      <c r="F848" s="34">
        <v>50</v>
      </c>
      <c r="G848" s="34">
        <v>50</v>
      </c>
    </row>
    <row r="849" spans="1:9" hidden="1" x14ac:dyDescent="0.2"/>
    <row r="851" spans="1:9" x14ac:dyDescent="0.2">
      <c r="A851" s="34"/>
      <c r="B851" s="36" t="s">
        <v>95</v>
      </c>
    </row>
    <row r="852" spans="1:9" x14ac:dyDescent="0.2">
      <c r="A852" s="34"/>
      <c r="B852" s="29" t="s">
        <v>75</v>
      </c>
    </row>
    <row r="853" spans="1:9" x14ac:dyDescent="0.2">
      <c r="A853" s="12" t="s">
        <v>7</v>
      </c>
      <c r="B853" s="78" t="s">
        <v>9</v>
      </c>
      <c r="C853" s="77" t="s">
        <v>10</v>
      </c>
      <c r="D853" s="76" t="s">
        <v>11</v>
      </c>
      <c r="E853" s="75" t="s">
        <v>12</v>
      </c>
      <c r="F853" s="74" t="s">
        <v>13</v>
      </c>
      <c r="G853" s="27" t="s">
        <v>14</v>
      </c>
      <c r="H853" s="3" t="s">
        <v>237</v>
      </c>
    </row>
    <row r="854" spans="1:9" x14ac:dyDescent="0.2">
      <c r="A854" s="18">
        <v>37046</v>
      </c>
      <c r="B854" s="185">
        <v>10</v>
      </c>
      <c r="C854" s="185">
        <v>10</v>
      </c>
      <c r="D854" s="185">
        <v>10</v>
      </c>
      <c r="E854" s="185">
        <v>10</v>
      </c>
      <c r="F854" s="185"/>
      <c r="G854" s="185"/>
      <c r="H854" s="166">
        <v>1</v>
      </c>
      <c r="I854" t="s">
        <v>235</v>
      </c>
    </row>
    <row r="855" spans="1:9" x14ac:dyDescent="0.2">
      <c r="A855" s="18">
        <v>37076</v>
      </c>
      <c r="B855" s="185">
        <v>10</v>
      </c>
      <c r="C855" s="185">
        <v>10</v>
      </c>
      <c r="D855" s="185">
        <v>10</v>
      </c>
      <c r="E855" s="185">
        <v>10</v>
      </c>
      <c r="F855" s="185"/>
      <c r="G855" s="185"/>
      <c r="H855" s="165">
        <v>1</v>
      </c>
      <c r="I855" t="s">
        <v>235</v>
      </c>
    </row>
    <row r="856" spans="1:9" x14ac:dyDescent="0.2">
      <c r="A856" s="18">
        <v>37335</v>
      </c>
      <c r="B856" s="185">
        <v>14.73</v>
      </c>
      <c r="C856" s="185">
        <v>37.5</v>
      </c>
      <c r="D856" s="185">
        <v>10</v>
      </c>
      <c r="E856" s="185">
        <v>15.67</v>
      </c>
      <c r="F856" s="185"/>
      <c r="G856" s="185"/>
      <c r="H856" s="165">
        <v>1</v>
      </c>
      <c r="I856" t="s">
        <v>235</v>
      </c>
    </row>
    <row r="857" spans="1:9" x14ac:dyDescent="0.2">
      <c r="A857" s="18">
        <v>37566</v>
      </c>
      <c r="B857" s="185"/>
      <c r="C857" s="185"/>
      <c r="D857" s="185"/>
      <c r="E857" s="185"/>
      <c r="F857" s="185"/>
      <c r="G857" s="185"/>
      <c r="H857" s="165">
        <v>1</v>
      </c>
      <c r="I857" t="s">
        <v>235</v>
      </c>
    </row>
    <row r="858" spans="1:9" x14ac:dyDescent="0.2">
      <c r="A858" s="18">
        <v>37594</v>
      </c>
      <c r="B858" s="185"/>
      <c r="C858" s="185"/>
      <c r="D858" s="185"/>
      <c r="E858" s="185"/>
      <c r="F858" s="185"/>
      <c r="G858" s="185"/>
      <c r="H858" s="165">
        <v>1</v>
      </c>
      <c r="I858" t="s">
        <v>235</v>
      </c>
    </row>
    <row r="859" spans="1:9" x14ac:dyDescent="0.2">
      <c r="A859" s="18">
        <v>37711</v>
      </c>
      <c r="B859" s="185"/>
      <c r="C859" s="185"/>
      <c r="D859" s="185"/>
      <c r="E859" s="185"/>
      <c r="F859" s="185"/>
      <c r="G859" s="185"/>
      <c r="H859" s="165">
        <v>1</v>
      </c>
      <c r="I859" t="s">
        <v>235</v>
      </c>
    </row>
    <row r="860" spans="1:9" x14ac:dyDescent="0.2">
      <c r="A860" s="18">
        <v>37739</v>
      </c>
      <c r="B860" s="185"/>
      <c r="C860" s="185"/>
      <c r="D860" s="185"/>
      <c r="E860" s="185"/>
      <c r="F860" s="185"/>
      <c r="G860" s="185"/>
      <c r="H860" s="165">
        <v>1</v>
      </c>
      <c r="I860" t="s">
        <v>235</v>
      </c>
    </row>
    <row r="861" spans="1:9" x14ac:dyDescent="0.2">
      <c r="A861" s="18">
        <v>37825</v>
      </c>
      <c r="B861" s="185"/>
      <c r="C861" s="185"/>
      <c r="D861" s="185"/>
      <c r="E861" s="185"/>
      <c r="F861" s="185"/>
      <c r="G861" s="185"/>
      <c r="H861" s="165">
        <v>1</v>
      </c>
      <c r="I861" t="s">
        <v>235</v>
      </c>
    </row>
    <row r="862" spans="1:9" x14ac:dyDescent="0.2">
      <c r="A862" s="18">
        <v>37888</v>
      </c>
      <c r="B862" s="185">
        <v>25.4</v>
      </c>
      <c r="C862" s="185">
        <v>38</v>
      </c>
      <c r="D862" s="185">
        <v>343.2</v>
      </c>
      <c r="E862" s="185">
        <v>257.39999999999998</v>
      </c>
      <c r="F862" s="185"/>
      <c r="G862" s="185"/>
      <c r="H862" s="165">
        <v>1</v>
      </c>
      <c r="I862" t="s">
        <v>235</v>
      </c>
    </row>
    <row r="863" spans="1:9" x14ac:dyDescent="0.2">
      <c r="A863" s="18">
        <v>37963</v>
      </c>
      <c r="B863" s="185">
        <v>10</v>
      </c>
      <c r="C863" s="185">
        <v>10</v>
      </c>
      <c r="D863" s="185">
        <v>10</v>
      </c>
      <c r="E863" s="185">
        <v>10</v>
      </c>
      <c r="F863" s="185"/>
      <c r="G863" s="185"/>
      <c r="H863" s="165">
        <v>1</v>
      </c>
      <c r="I863" t="s">
        <v>235</v>
      </c>
    </row>
    <row r="864" spans="1:9" x14ac:dyDescent="0.2">
      <c r="A864" s="18">
        <v>38012</v>
      </c>
      <c r="B864" s="185">
        <v>10</v>
      </c>
      <c r="C864" s="185">
        <v>10</v>
      </c>
      <c r="D864" s="185">
        <v>10</v>
      </c>
      <c r="E864" s="185">
        <v>10</v>
      </c>
      <c r="F864" s="185"/>
      <c r="G864" s="185"/>
      <c r="H864" s="165">
        <v>1</v>
      </c>
      <c r="I864" t="s">
        <v>235</v>
      </c>
    </row>
    <row r="865" spans="1:9" x14ac:dyDescent="0.2">
      <c r="A865" s="18">
        <v>38033</v>
      </c>
      <c r="B865" s="185">
        <v>10</v>
      </c>
      <c r="C865" s="185">
        <v>10</v>
      </c>
      <c r="D865" s="185">
        <v>10</v>
      </c>
      <c r="E865" s="185">
        <v>10</v>
      </c>
      <c r="F865" s="185"/>
      <c r="G865" s="185"/>
      <c r="H865" s="165">
        <v>1</v>
      </c>
      <c r="I865" t="s">
        <v>235</v>
      </c>
    </row>
    <row r="866" spans="1:9" x14ac:dyDescent="0.2">
      <c r="A866" s="18">
        <v>38271</v>
      </c>
      <c r="B866" s="185">
        <v>10</v>
      </c>
      <c r="C866" s="185">
        <v>10</v>
      </c>
      <c r="D866" s="185">
        <v>119.5</v>
      </c>
      <c r="E866" s="185">
        <v>70.5</v>
      </c>
      <c r="F866" s="185"/>
      <c r="G866" s="185"/>
      <c r="H866" s="165">
        <v>1</v>
      </c>
      <c r="I866" t="s">
        <v>235</v>
      </c>
    </row>
    <row r="867" spans="1:9" x14ac:dyDescent="0.2">
      <c r="A867" s="18">
        <v>38474</v>
      </c>
      <c r="B867" s="185">
        <v>10</v>
      </c>
      <c r="C867" s="185">
        <v>10</v>
      </c>
      <c r="D867" s="185">
        <v>29.3</v>
      </c>
      <c r="E867" s="185">
        <v>10</v>
      </c>
      <c r="F867" s="185"/>
      <c r="G867" s="185"/>
      <c r="H867" s="165">
        <v>1</v>
      </c>
      <c r="I867" t="s">
        <v>235</v>
      </c>
    </row>
    <row r="868" spans="1:9" x14ac:dyDescent="0.2">
      <c r="A868" s="18">
        <v>38896</v>
      </c>
      <c r="B868" s="185">
        <v>15.7</v>
      </c>
      <c r="C868" s="185">
        <v>10</v>
      </c>
      <c r="D868" s="185">
        <v>21.4</v>
      </c>
      <c r="E868" s="185">
        <v>38.9</v>
      </c>
      <c r="F868" s="185"/>
      <c r="G868" s="185"/>
      <c r="H868" s="165">
        <v>1</v>
      </c>
      <c r="I868" t="s">
        <v>235</v>
      </c>
    </row>
    <row r="869" spans="1:9" x14ac:dyDescent="0.2">
      <c r="A869" s="18">
        <v>40625</v>
      </c>
      <c r="B869" s="185">
        <v>100</v>
      </c>
      <c r="C869" s="185">
        <v>100</v>
      </c>
      <c r="D869" s="185">
        <v>100</v>
      </c>
      <c r="E869" s="185">
        <v>100</v>
      </c>
      <c r="F869" s="185">
        <v>100</v>
      </c>
      <c r="G869" s="185">
        <v>100</v>
      </c>
      <c r="H869" s="165">
        <v>1</v>
      </c>
      <c r="I869" t="s">
        <v>235</v>
      </c>
    </row>
    <row r="870" spans="1:9" x14ac:dyDescent="0.2">
      <c r="A870" s="18">
        <v>40716</v>
      </c>
      <c r="B870" s="185">
        <v>100</v>
      </c>
      <c r="C870" s="185">
        <v>100</v>
      </c>
      <c r="D870" s="185">
        <v>100</v>
      </c>
      <c r="E870" s="185">
        <v>100</v>
      </c>
      <c r="F870" s="185">
        <v>100</v>
      </c>
      <c r="G870" s="185">
        <v>100</v>
      </c>
      <c r="H870" s="165">
        <v>1</v>
      </c>
      <c r="I870" t="s">
        <v>235</v>
      </c>
    </row>
    <row r="871" spans="1:9" x14ac:dyDescent="0.2">
      <c r="A871" s="18">
        <v>40821</v>
      </c>
      <c r="B871" s="185">
        <v>100</v>
      </c>
      <c r="C871" s="185">
        <v>100</v>
      </c>
      <c r="D871" s="185">
        <v>100</v>
      </c>
      <c r="E871" s="185">
        <v>100</v>
      </c>
      <c r="F871" s="185">
        <v>100</v>
      </c>
      <c r="G871" s="185">
        <v>100</v>
      </c>
      <c r="H871" s="165">
        <v>1</v>
      </c>
      <c r="I871" t="s">
        <v>235</v>
      </c>
    </row>
    <row r="872" spans="1:9" x14ac:dyDescent="0.2">
      <c r="A872" s="18">
        <v>40897</v>
      </c>
      <c r="B872" s="185">
        <v>100</v>
      </c>
      <c r="C872" s="185">
        <v>100</v>
      </c>
      <c r="D872" s="185">
        <v>100</v>
      </c>
      <c r="E872" s="185">
        <v>100</v>
      </c>
      <c r="F872" s="185">
        <v>100</v>
      </c>
      <c r="G872" s="185">
        <v>100</v>
      </c>
      <c r="H872" s="165">
        <v>1</v>
      </c>
      <c r="I872" t="s">
        <v>235</v>
      </c>
    </row>
    <row r="873" spans="1:9" x14ac:dyDescent="0.2">
      <c r="A873" s="18">
        <v>41008</v>
      </c>
      <c r="B873" s="185">
        <v>100</v>
      </c>
      <c r="C873" s="185">
        <v>100</v>
      </c>
      <c r="D873" s="185">
        <v>100</v>
      </c>
      <c r="E873" s="185">
        <v>100</v>
      </c>
      <c r="F873" s="185">
        <v>100</v>
      </c>
      <c r="G873" s="185">
        <v>100</v>
      </c>
      <c r="H873" s="165">
        <v>1</v>
      </c>
      <c r="I873" t="s">
        <v>235</v>
      </c>
    </row>
    <row r="874" spans="1:9" x14ac:dyDescent="0.2">
      <c r="A874" s="18">
        <v>41086</v>
      </c>
      <c r="B874" s="185">
        <v>100</v>
      </c>
      <c r="C874" s="185">
        <v>100</v>
      </c>
      <c r="D874" s="185">
        <v>100</v>
      </c>
      <c r="E874" s="185">
        <v>100</v>
      </c>
      <c r="F874" s="185">
        <v>100</v>
      </c>
      <c r="G874" s="185">
        <v>100</v>
      </c>
      <c r="H874" s="165">
        <v>1</v>
      </c>
      <c r="I874" t="s">
        <v>235</v>
      </c>
    </row>
    <row r="875" spans="1:9" x14ac:dyDescent="0.2">
      <c r="A875" s="18">
        <v>41179</v>
      </c>
      <c r="B875" s="185">
        <v>100</v>
      </c>
      <c r="C875" s="185">
        <v>100</v>
      </c>
      <c r="D875" s="185">
        <v>100</v>
      </c>
      <c r="E875" s="185">
        <v>100</v>
      </c>
      <c r="F875" s="185">
        <v>100</v>
      </c>
      <c r="G875" s="185">
        <v>100</v>
      </c>
      <c r="H875" s="165">
        <v>1</v>
      </c>
      <c r="I875" t="s">
        <v>235</v>
      </c>
    </row>
    <row r="876" spans="1:9" x14ac:dyDescent="0.2">
      <c r="A876" s="18">
        <v>41247</v>
      </c>
      <c r="B876" s="185">
        <v>100</v>
      </c>
      <c r="C876" s="185">
        <v>100</v>
      </c>
      <c r="D876" s="185">
        <v>100</v>
      </c>
      <c r="E876" s="185">
        <v>100</v>
      </c>
      <c r="F876" s="185">
        <v>100</v>
      </c>
      <c r="G876" s="185">
        <v>100</v>
      </c>
      <c r="H876" s="165">
        <v>1</v>
      </c>
      <c r="I876" t="s">
        <v>235</v>
      </c>
    </row>
    <row r="877" spans="1:9" x14ac:dyDescent="0.2">
      <c r="A877" s="18">
        <v>41352</v>
      </c>
      <c r="B877" s="185">
        <v>100</v>
      </c>
      <c r="C877" s="185">
        <v>100</v>
      </c>
      <c r="D877" s="185">
        <v>100</v>
      </c>
      <c r="E877" s="185">
        <v>100</v>
      </c>
      <c r="F877" s="185">
        <v>100</v>
      </c>
      <c r="G877" s="185">
        <v>100</v>
      </c>
      <c r="H877" s="165">
        <v>1</v>
      </c>
      <c r="I877" t="s">
        <v>235</v>
      </c>
    </row>
    <row r="878" spans="1:9" x14ac:dyDescent="0.2">
      <c r="A878" s="18">
        <v>41445</v>
      </c>
      <c r="B878" s="185">
        <v>50</v>
      </c>
      <c r="C878" s="185">
        <v>50</v>
      </c>
      <c r="D878" s="185">
        <v>50</v>
      </c>
      <c r="E878" s="185">
        <v>50</v>
      </c>
      <c r="F878" s="185">
        <v>50</v>
      </c>
      <c r="G878" s="185">
        <v>50</v>
      </c>
      <c r="H878" s="165">
        <v>1</v>
      </c>
      <c r="I878" t="s">
        <v>235</v>
      </c>
    </row>
    <row r="879" spans="1:9" x14ac:dyDescent="0.2">
      <c r="A879" s="18">
        <v>41528</v>
      </c>
      <c r="B879" s="185">
        <v>50</v>
      </c>
      <c r="C879" s="185">
        <v>50</v>
      </c>
      <c r="D879" s="185">
        <v>50</v>
      </c>
      <c r="E879" s="185">
        <v>50</v>
      </c>
      <c r="F879" s="185">
        <v>50</v>
      </c>
      <c r="G879" s="185">
        <v>50</v>
      </c>
      <c r="H879" s="165">
        <v>1</v>
      </c>
      <c r="I879" t="s">
        <v>235</v>
      </c>
    </row>
    <row r="880" spans="1:9" x14ac:dyDescent="0.2">
      <c r="A880" s="18">
        <v>41670</v>
      </c>
      <c r="B880" s="185">
        <v>50</v>
      </c>
      <c r="C880" s="185">
        <v>50</v>
      </c>
      <c r="D880" s="185">
        <v>50</v>
      </c>
      <c r="E880" s="185">
        <v>50</v>
      </c>
      <c r="F880" s="185">
        <v>50</v>
      </c>
      <c r="G880" s="185">
        <v>50</v>
      </c>
      <c r="H880" s="165">
        <v>1</v>
      </c>
      <c r="I880" t="s">
        <v>235</v>
      </c>
    </row>
    <row r="881" spans="1:9" x14ac:dyDescent="0.2">
      <c r="A881" s="18">
        <v>41758</v>
      </c>
      <c r="B881" s="185">
        <v>50</v>
      </c>
      <c r="C881" s="185">
        <v>50</v>
      </c>
      <c r="D881" s="185">
        <v>50</v>
      </c>
      <c r="E881" s="185">
        <v>50</v>
      </c>
      <c r="F881" s="185">
        <v>50</v>
      </c>
      <c r="G881" s="185">
        <v>50</v>
      </c>
      <c r="H881" s="165">
        <v>1</v>
      </c>
      <c r="I881" t="s">
        <v>235</v>
      </c>
    </row>
    <row r="882" spans="1:9" x14ac:dyDescent="0.2">
      <c r="A882" s="18">
        <v>41835</v>
      </c>
      <c r="B882" s="185">
        <v>50</v>
      </c>
      <c r="C882" s="185">
        <v>50</v>
      </c>
      <c r="D882" s="185">
        <v>50</v>
      </c>
      <c r="E882" s="185">
        <v>50</v>
      </c>
      <c r="F882" s="185">
        <v>50</v>
      </c>
      <c r="G882" s="185">
        <v>50</v>
      </c>
      <c r="H882" s="165">
        <v>1</v>
      </c>
      <c r="I882" t="s">
        <v>235</v>
      </c>
    </row>
    <row r="883" spans="1:9" x14ac:dyDescent="0.2">
      <c r="A883" s="18">
        <v>42031</v>
      </c>
      <c r="B883" s="185">
        <v>50</v>
      </c>
      <c r="C883" s="185">
        <v>50</v>
      </c>
      <c r="D883" s="185">
        <v>50</v>
      </c>
      <c r="E883" s="185">
        <v>50</v>
      </c>
      <c r="F883" s="185">
        <v>50</v>
      </c>
      <c r="G883" s="185">
        <v>50</v>
      </c>
      <c r="H883" s="165">
        <v>1</v>
      </c>
      <c r="I883" t="s">
        <v>235</v>
      </c>
    </row>
    <row r="884" spans="1:9" x14ac:dyDescent="0.2">
      <c r="A884" s="18">
        <v>42094</v>
      </c>
      <c r="B884" s="185">
        <v>50</v>
      </c>
      <c r="C884" s="185">
        <v>50</v>
      </c>
      <c r="D884" s="185">
        <v>50</v>
      </c>
      <c r="E884" s="185">
        <v>50</v>
      </c>
      <c r="F884" s="185">
        <v>50</v>
      </c>
      <c r="G884" s="185">
        <v>50</v>
      </c>
      <c r="H884" s="165">
        <v>1</v>
      </c>
      <c r="I884" t="s">
        <v>235</v>
      </c>
    </row>
    <row r="885" spans="1:9" x14ac:dyDescent="0.2">
      <c r="A885" s="18">
        <v>42192</v>
      </c>
      <c r="B885" s="185">
        <v>50</v>
      </c>
      <c r="C885" s="185">
        <v>50</v>
      </c>
      <c r="D885" s="185">
        <v>50</v>
      </c>
      <c r="E885" s="185">
        <v>50</v>
      </c>
      <c r="F885" s="185">
        <v>50</v>
      </c>
      <c r="G885" s="185">
        <v>50</v>
      </c>
      <c r="H885" s="165">
        <v>1</v>
      </c>
      <c r="I885" t="s">
        <v>235</v>
      </c>
    </row>
    <row r="886" spans="1:9" x14ac:dyDescent="0.2">
      <c r="A886" s="18">
        <v>42290</v>
      </c>
      <c r="B886" s="185">
        <v>50</v>
      </c>
      <c r="C886" s="185">
        <v>50</v>
      </c>
      <c r="D886" s="185">
        <v>50</v>
      </c>
      <c r="E886" s="185">
        <v>50</v>
      </c>
      <c r="F886" s="185">
        <v>50</v>
      </c>
      <c r="G886" s="185"/>
      <c r="H886" s="165">
        <v>1</v>
      </c>
      <c r="I886" t="s">
        <v>235</v>
      </c>
    </row>
    <row r="887" spans="1:9" x14ac:dyDescent="0.2">
      <c r="A887" s="18">
        <v>42381</v>
      </c>
      <c r="B887" s="185">
        <v>50</v>
      </c>
      <c r="C887" s="185">
        <v>50</v>
      </c>
      <c r="D887" s="185">
        <v>50</v>
      </c>
      <c r="E887" s="185">
        <v>50</v>
      </c>
      <c r="F887" s="185">
        <v>50</v>
      </c>
      <c r="G887" s="185"/>
      <c r="H887" s="165">
        <v>1</v>
      </c>
      <c r="I887" t="s">
        <v>235</v>
      </c>
    </row>
    <row r="888" spans="1:9" x14ac:dyDescent="0.2">
      <c r="A888" s="18">
        <v>42479</v>
      </c>
      <c r="B888" s="185">
        <v>50</v>
      </c>
      <c r="C888" s="185">
        <v>50</v>
      </c>
      <c r="D888" s="185">
        <v>50</v>
      </c>
      <c r="E888" s="185">
        <v>50</v>
      </c>
      <c r="F888" s="185">
        <v>50</v>
      </c>
      <c r="G888" s="185">
        <v>50</v>
      </c>
      <c r="H888" s="165">
        <v>1</v>
      </c>
      <c r="I888" t="s">
        <v>235</v>
      </c>
    </row>
    <row r="889" spans="1:9" x14ac:dyDescent="0.2">
      <c r="A889" s="18">
        <v>42570</v>
      </c>
      <c r="B889" s="185">
        <v>50</v>
      </c>
      <c r="C889" s="185">
        <v>50</v>
      </c>
      <c r="D889" s="185">
        <v>50</v>
      </c>
      <c r="E889" s="185">
        <v>50</v>
      </c>
      <c r="F889" s="185">
        <v>50</v>
      </c>
      <c r="G889" s="185">
        <v>50</v>
      </c>
      <c r="H889" s="165">
        <v>1</v>
      </c>
      <c r="I889" t="s">
        <v>235</v>
      </c>
    </row>
    <row r="890" spans="1:9" x14ac:dyDescent="0.2">
      <c r="A890" s="18">
        <v>42654</v>
      </c>
      <c r="B890" s="185">
        <v>50</v>
      </c>
      <c r="C890" s="185">
        <v>50</v>
      </c>
      <c r="D890" s="185">
        <v>50</v>
      </c>
      <c r="E890" s="185">
        <v>50</v>
      </c>
      <c r="F890" s="185">
        <v>50</v>
      </c>
      <c r="G890" s="185">
        <v>50</v>
      </c>
      <c r="H890" s="165">
        <v>1</v>
      </c>
      <c r="I890" t="s">
        <v>235</v>
      </c>
    </row>
    <row r="891" spans="1:9" x14ac:dyDescent="0.2">
      <c r="A891" s="18">
        <v>42745</v>
      </c>
      <c r="B891" s="185">
        <v>50</v>
      </c>
      <c r="C891" s="185">
        <v>50</v>
      </c>
      <c r="D891" s="185">
        <v>50</v>
      </c>
      <c r="E891" s="185">
        <v>50</v>
      </c>
      <c r="F891" s="185">
        <v>50</v>
      </c>
      <c r="G891" s="185">
        <v>50</v>
      </c>
      <c r="H891" s="165">
        <v>1</v>
      </c>
      <c r="I891" t="s">
        <v>235</v>
      </c>
    </row>
    <row r="892" spans="1:9" x14ac:dyDescent="0.2">
      <c r="A892" s="18">
        <v>42843</v>
      </c>
      <c r="B892" s="185">
        <v>50</v>
      </c>
      <c r="C892" s="185">
        <v>50</v>
      </c>
      <c r="D892" s="185">
        <v>50</v>
      </c>
      <c r="E892" s="185">
        <v>50</v>
      </c>
      <c r="F892" s="185">
        <v>50</v>
      </c>
      <c r="G892" s="185">
        <v>50</v>
      </c>
      <c r="H892" s="165">
        <v>1</v>
      </c>
      <c r="I892" t="s">
        <v>235</v>
      </c>
    </row>
    <row r="893" spans="1:9" x14ac:dyDescent="0.2">
      <c r="A893" s="18">
        <v>42934</v>
      </c>
      <c r="B893" s="185">
        <v>50</v>
      </c>
      <c r="C893" s="185">
        <v>50</v>
      </c>
      <c r="D893" s="185">
        <v>50</v>
      </c>
      <c r="E893" s="185">
        <v>50</v>
      </c>
      <c r="F893" s="185">
        <v>50</v>
      </c>
      <c r="G893" s="185">
        <v>50</v>
      </c>
      <c r="H893" s="165">
        <v>1</v>
      </c>
      <c r="I893" t="s">
        <v>235</v>
      </c>
    </row>
    <row r="894" spans="1:9" x14ac:dyDescent="0.2">
      <c r="A894" s="18">
        <v>43025</v>
      </c>
      <c r="B894" s="185">
        <v>50</v>
      </c>
      <c r="C894" s="185">
        <v>50</v>
      </c>
      <c r="D894" s="185">
        <v>50</v>
      </c>
      <c r="E894" s="185">
        <v>50</v>
      </c>
      <c r="F894" s="185">
        <v>50</v>
      </c>
      <c r="G894" s="185">
        <v>50</v>
      </c>
      <c r="H894" s="165">
        <v>1</v>
      </c>
      <c r="I894" t="s">
        <v>235</v>
      </c>
    </row>
    <row r="895" spans="1:9" x14ac:dyDescent="0.2">
      <c r="A895" s="18">
        <v>43109</v>
      </c>
      <c r="B895" s="185">
        <v>50</v>
      </c>
      <c r="C895" s="185">
        <v>50</v>
      </c>
      <c r="D895" s="185">
        <v>50</v>
      </c>
      <c r="E895" s="185">
        <v>50</v>
      </c>
      <c r="F895" s="185">
        <v>50</v>
      </c>
      <c r="G895" s="185">
        <v>50</v>
      </c>
      <c r="H895" s="165">
        <v>1</v>
      </c>
      <c r="I895" t="s">
        <v>235</v>
      </c>
    </row>
    <row r="896" spans="1:9" x14ac:dyDescent="0.2">
      <c r="A896" s="18">
        <v>43193</v>
      </c>
      <c r="B896" s="185">
        <v>50</v>
      </c>
      <c r="C896" s="185">
        <v>50</v>
      </c>
      <c r="D896" s="185">
        <v>50</v>
      </c>
      <c r="E896" s="185">
        <v>50</v>
      </c>
      <c r="F896" s="185">
        <v>50</v>
      </c>
      <c r="G896" s="185">
        <v>50</v>
      </c>
      <c r="H896" s="165">
        <v>1</v>
      </c>
      <c r="I896" t="s">
        <v>235</v>
      </c>
    </row>
    <row r="897" spans="1:9" x14ac:dyDescent="0.2">
      <c r="A897" s="18">
        <v>43298</v>
      </c>
      <c r="B897" s="185">
        <v>50</v>
      </c>
      <c r="C897" s="185">
        <v>50</v>
      </c>
      <c r="D897" s="185">
        <v>50</v>
      </c>
      <c r="E897" s="185">
        <v>50</v>
      </c>
      <c r="F897" s="185">
        <v>50</v>
      </c>
      <c r="G897" s="185">
        <v>50</v>
      </c>
      <c r="H897" s="165">
        <v>1</v>
      </c>
      <c r="I897" t="s">
        <v>235</v>
      </c>
    </row>
    <row r="898" spans="1:9" x14ac:dyDescent="0.2">
      <c r="A898" s="18">
        <v>43403</v>
      </c>
      <c r="B898" s="185">
        <v>50</v>
      </c>
      <c r="C898" s="185">
        <v>50</v>
      </c>
      <c r="D898" s="185">
        <v>50</v>
      </c>
      <c r="E898" s="185">
        <v>50</v>
      </c>
      <c r="F898" s="185">
        <v>50</v>
      </c>
      <c r="G898" s="185">
        <v>50</v>
      </c>
      <c r="H898" s="165">
        <v>1</v>
      </c>
      <c r="I898" t="s">
        <v>235</v>
      </c>
    </row>
    <row r="899" spans="1:9" x14ac:dyDescent="0.2">
      <c r="A899" s="18">
        <v>43487</v>
      </c>
      <c r="B899" s="185">
        <v>50</v>
      </c>
      <c r="C899" s="185">
        <v>50</v>
      </c>
      <c r="D899" s="185">
        <v>50</v>
      </c>
      <c r="E899" s="185"/>
      <c r="F899" s="185">
        <v>50</v>
      </c>
      <c r="G899" s="185">
        <v>50</v>
      </c>
      <c r="H899" s="165">
        <v>1</v>
      </c>
      <c r="I899" t="s">
        <v>235</v>
      </c>
    </row>
    <row r="900" spans="1:9" x14ac:dyDescent="0.2">
      <c r="A900" s="18">
        <v>43578</v>
      </c>
      <c r="B900" s="185">
        <v>50</v>
      </c>
      <c r="C900" s="185">
        <v>50</v>
      </c>
      <c r="D900" s="185">
        <v>50</v>
      </c>
      <c r="E900" s="185">
        <v>50</v>
      </c>
      <c r="F900" s="185">
        <v>50</v>
      </c>
      <c r="G900" s="185">
        <v>50</v>
      </c>
      <c r="H900" s="165">
        <v>1</v>
      </c>
      <c r="I900" t="s">
        <v>235</v>
      </c>
    </row>
    <row r="901" spans="1:9" x14ac:dyDescent="0.2">
      <c r="A901" s="18">
        <v>43704</v>
      </c>
      <c r="B901" s="185">
        <v>50</v>
      </c>
      <c r="C901" s="185">
        <v>50</v>
      </c>
      <c r="D901" s="185">
        <v>50</v>
      </c>
      <c r="E901" s="185">
        <v>50</v>
      </c>
      <c r="F901" s="185">
        <v>50</v>
      </c>
      <c r="G901" s="185">
        <v>50</v>
      </c>
      <c r="H901" s="165">
        <v>1</v>
      </c>
      <c r="I901" t="s">
        <v>235</v>
      </c>
    </row>
    <row r="902" spans="1:9" x14ac:dyDescent="0.2">
      <c r="A902" s="18">
        <v>43760</v>
      </c>
      <c r="B902" s="185">
        <v>50</v>
      </c>
      <c r="C902" s="185">
        <v>50</v>
      </c>
      <c r="D902" s="185">
        <v>50</v>
      </c>
      <c r="E902" s="185">
        <v>50</v>
      </c>
      <c r="F902" s="185">
        <v>50</v>
      </c>
      <c r="G902" s="185">
        <v>50</v>
      </c>
      <c r="H902" s="165">
        <v>1</v>
      </c>
      <c r="I902" t="s">
        <v>235</v>
      </c>
    </row>
    <row r="903" spans="1:9" x14ac:dyDescent="0.2">
      <c r="A903" s="18">
        <v>44021</v>
      </c>
      <c r="B903" s="185">
        <v>50</v>
      </c>
      <c r="C903" s="185">
        <v>50</v>
      </c>
      <c r="D903" s="185">
        <v>50</v>
      </c>
      <c r="E903" s="185">
        <v>50</v>
      </c>
      <c r="F903" s="185">
        <v>50</v>
      </c>
      <c r="G903" s="185">
        <v>50</v>
      </c>
      <c r="H903" s="165">
        <v>1</v>
      </c>
      <c r="I903" t="s">
        <v>235</v>
      </c>
    </row>
    <row r="904" spans="1:9" x14ac:dyDescent="0.2">
      <c r="A904" s="18">
        <v>44111</v>
      </c>
      <c r="B904" s="185">
        <v>50</v>
      </c>
      <c r="C904" s="185">
        <v>50</v>
      </c>
      <c r="D904" s="185">
        <v>50</v>
      </c>
      <c r="E904" s="185">
        <v>50</v>
      </c>
      <c r="F904" s="185">
        <v>50</v>
      </c>
      <c r="G904" s="185">
        <v>50</v>
      </c>
      <c r="H904" s="165">
        <v>1</v>
      </c>
      <c r="I904" t="s">
        <v>235</v>
      </c>
    </row>
    <row r="905" spans="1:9" x14ac:dyDescent="0.2">
      <c r="A905" s="18">
        <v>44119</v>
      </c>
      <c r="B905" s="185">
        <v>50</v>
      </c>
      <c r="C905" s="185">
        <v>50</v>
      </c>
      <c r="D905" s="185"/>
      <c r="E905" s="185"/>
      <c r="F905" s="185"/>
      <c r="G905" s="185"/>
      <c r="H905" s="165">
        <v>1</v>
      </c>
      <c r="I905" t="s">
        <v>235</v>
      </c>
    </row>
    <row r="906" spans="1:9" x14ac:dyDescent="0.2">
      <c r="A906" s="18">
        <v>44120</v>
      </c>
      <c r="B906" s="185">
        <v>50</v>
      </c>
      <c r="C906" s="185">
        <v>50</v>
      </c>
      <c r="D906" s="185"/>
      <c r="E906" s="185"/>
      <c r="F906" s="185"/>
      <c r="G906" s="185"/>
      <c r="H906" s="165">
        <v>1</v>
      </c>
      <c r="I906" t="s">
        <v>235</v>
      </c>
    </row>
    <row r="907" spans="1:9" x14ac:dyDescent="0.2">
      <c r="A907" s="18">
        <v>44146</v>
      </c>
      <c r="B907" s="187">
        <v>50</v>
      </c>
      <c r="C907" s="187">
        <v>50</v>
      </c>
      <c r="D907" s="187">
        <v>50</v>
      </c>
      <c r="E907" s="187">
        <v>50</v>
      </c>
      <c r="F907" s="187">
        <v>50</v>
      </c>
      <c r="G907" s="187">
        <v>50</v>
      </c>
      <c r="H907" s="165">
        <v>1</v>
      </c>
      <c r="I907" t="s">
        <v>238</v>
      </c>
    </row>
    <row r="908" spans="1:9" x14ac:dyDescent="0.2">
      <c r="A908" s="18">
        <v>44146</v>
      </c>
      <c r="B908" s="185">
        <v>0.5</v>
      </c>
      <c r="C908" s="185">
        <v>0.5</v>
      </c>
      <c r="D908" s="185">
        <v>0.5</v>
      </c>
      <c r="E908" s="187">
        <v>16</v>
      </c>
      <c r="F908" s="185">
        <v>0.5</v>
      </c>
      <c r="G908" s="185">
        <v>0.5</v>
      </c>
      <c r="H908" s="165">
        <v>1</v>
      </c>
      <c r="I908" t="s">
        <v>236</v>
      </c>
    </row>
    <row r="909" spans="1:9" x14ac:dyDescent="0.2">
      <c r="A909" s="18">
        <v>44184</v>
      </c>
      <c r="B909" s="189">
        <v>1</v>
      </c>
      <c r="C909" s="185">
        <v>0.7</v>
      </c>
      <c r="D909" s="185">
        <v>0.8</v>
      </c>
      <c r="E909" s="189">
        <v>1</v>
      </c>
      <c r="F909" s="187">
        <v>2.1</v>
      </c>
      <c r="G909" s="185">
        <v>0.5</v>
      </c>
      <c r="H909" s="165">
        <v>1</v>
      </c>
      <c r="I909" t="s">
        <v>236</v>
      </c>
    </row>
    <row r="910" spans="1:9" hidden="1" x14ac:dyDescent="0.2"/>
    <row r="911" spans="1:9" hidden="1" x14ac:dyDescent="0.2">
      <c r="A911" s="34"/>
      <c r="B911" s="59" t="s">
        <v>99</v>
      </c>
    </row>
    <row r="912" spans="1:9" hidden="1" x14ac:dyDescent="0.2">
      <c r="A912" s="34"/>
      <c r="B912" s="60" t="s">
        <v>22</v>
      </c>
    </row>
    <row r="913" spans="1:7" hidden="1" x14ac:dyDescent="0.2">
      <c r="A913" s="12" t="s">
        <v>7</v>
      </c>
      <c r="B913" s="78" t="s">
        <v>9</v>
      </c>
      <c r="C913" s="77" t="s">
        <v>10</v>
      </c>
      <c r="D913" s="76" t="s">
        <v>11</v>
      </c>
      <c r="E913" s="75" t="s">
        <v>12</v>
      </c>
      <c r="F913" s="74" t="s">
        <v>13</v>
      </c>
      <c r="G913" s="27" t="s">
        <v>14</v>
      </c>
    </row>
    <row r="914" spans="1:7" hidden="1" x14ac:dyDescent="0.2">
      <c r="A914" s="18">
        <v>37046</v>
      </c>
      <c r="B914" s="34">
        <v>0.1353</v>
      </c>
      <c r="C914" s="34">
        <v>9.0560000000000002E-2</v>
      </c>
      <c r="D914" s="34">
        <v>9.9989999999999996E-2</v>
      </c>
      <c r="E914" s="34">
        <v>9.6980000000000011E-2</v>
      </c>
      <c r="F914" s="34"/>
      <c r="G914" s="34"/>
    </row>
    <row r="915" spans="1:7" hidden="1" x14ac:dyDescent="0.2">
      <c r="A915" s="18">
        <v>37076</v>
      </c>
      <c r="B915" s="34">
        <v>0.1172</v>
      </c>
      <c r="C915" s="34">
        <v>0.13600000000000001</v>
      </c>
      <c r="D915" s="34">
        <v>7.5490000000000002E-2</v>
      </c>
      <c r="E915" s="34">
        <v>8.745E-2</v>
      </c>
      <c r="F915" s="34"/>
      <c r="G915" s="34"/>
    </row>
    <row r="916" spans="1:7" hidden="1" x14ac:dyDescent="0.2">
      <c r="A916" s="18">
        <v>37335</v>
      </c>
      <c r="B916" s="34">
        <v>4.0740000000000005E-2</v>
      </c>
      <c r="C916" s="34">
        <v>3.79E-3</v>
      </c>
      <c r="D916" s="34">
        <v>1.8690000000000002E-2</v>
      </c>
      <c r="E916" s="34">
        <v>3.0260000000000002E-2</v>
      </c>
      <c r="F916" s="34"/>
      <c r="G916" s="34"/>
    </row>
    <row r="917" spans="1:7" hidden="1" x14ac:dyDescent="0.2">
      <c r="A917" s="18">
        <v>37566</v>
      </c>
      <c r="B917" s="34"/>
      <c r="C917" s="34"/>
      <c r="D917" s="34"/>
      <c r="E917" s="34"/>
      <c r="F917" s="34"/>
      <c r="G917" s="34"/>
    </row>
    <row r="918" spans="1:7" hidden="1" x14ac:dyDescent="0.2">
      <c r="A918" s="18">
        <v>37594</v>
      </c>
      <c r="B918" s="34"/>
      <c r="C918" s="34"/>
      <c r="D918" s="34"/>
      <c r="E918" s="34"/>
      <c r="F918" s="34"/>
      <c r="G918" s="34"/>
    </row>
    <row r="919" spans="1:7" hidden="1" x14ac:dyDescent="0.2">
      <c r="A919" s="18">
        <v>37711</v>
      </c>
      <c r="B919" s="34"/>
      <c r="C919" s="34"/>
      <c r="D919" s="34"/>
      <c r="E919" s="34"/>
      <c r="F919" s="34"/>
      <c r="G919" s="34"/>
    </row>
    <row r="920" spans="1:7" hidden="1" x14ac:dyDescent="0.2">
      <c r="A920" s="18">
        <v>37739</v>
      </c>
      <c r="B920" s="34"/>
      <c r="C920" s="34"/>
      <c r="D920" s="34"/>
      <c r="E920" s="34"/>
      <c r="F920" s="34"/>
      <c r="G920" s="34"/>
    </row>
    <row r="921" spans="1:7" hidden="1" x14ac:dyDescent="0.2">
      <c r="A921" s="18">
        <v>37825</v>
      </c>
      <c r="B921" s="34"/>
      <c r="C921" s="34"/>
      <c r="D921" s="34"/>
      <c r="E921" s="34"/>
      <c r="F921" s="34"/>
      <c r="G921" s="34"/>
    </row>
    <row r="922" spans="1:7" hidden="1" x14ac:dyDescent="0.2">
      <c r="A922" s="18">
        <v>37888</v>
      </c>
      <c r="B922" s="34"/>
      <c r="C922" s="34"/>
      <c r="D922" s="34"/>
      <c r="E922" s="34"/>
      <c r="F922" s="34"/>
      <c r="G922" s="34"/>
    </row>
    <row r="923" spans="1:7" hidden="1" x14ac:dyDescent="0.2">
      <c r="A923" s="18">
        <v>37963</v>
      </c>
      <c r="B923" s="34"/>
      <c r="C923" s="34"/>
      <c r="D923" s="34"/>
      <c r="E923" s="34"/>
      <c r="F923" s="34"/>
      <c r="G923" s="34"/>
    </row>
    <row r="924" spans="1:7" hidden="1" x14ac:dyDescent="0.2">
      <c r="A924" s="18">
        <v>38012</v>
      </c>
      <c r="B924" s="34"/>
      <c r="C924" s="34"/>
      <c r="D924" s="34"/>
      <c r="E924" s="34"/>
      <c r="F924" s="34"/>
      <c r="G924" s="34"/>
    </row>
    <row r="925" spans="1:7" hidden="1" x14ac:dyDescent="0.2">
      <c r="A925" s="18">
        <v>38033</v>
      </c>
      <c r="B925" s="34"/>
      <c r="C925" s="34"/>
      <c r="D925" s="34"/>
      <c r="E925" s="34"/>
      <c r="F925" s="34"/>
      <c r="G925" s="34"/>
    </row>
    <row r="926" spans="1:7" hidden="1" x14ac:dyDescent="0.2">
      <c r="A926" s="18">
        <v>38271</v>
      </c>
      <c r="B926" s="34">
        <v>2.1000000000000001E-2</v>
      </c>
      <c r="C926" s="34">
        <v>0.1057</v>
      </c>
      <c r="D926" s="34">
        <v>1.5800000000000002E-2</v>
      </c>
      <c r="E926" s="34">
        <v>3.15E-2</v>
      </c>
      <c r="F926" s="34"/>
      <c r="G926" s="34"/>
    </row>
    <row r="927" spans="1:7" hidden="1" x14ac:dyDescent="0.2">
      <c r="A927" s="18">
        <v>38474</v>
      </c>
      <c r="B927" s="34"/>
      <c r="C927" s="34"/>
      <c r="D927" s="34"/>
      <c r="E927" s="34"/>
      <c r="F927" s="34"/>
      <c r="G927" s="34"/>
    </row>
    <row r="928" spans="1:7" hidden="1" x14ac:dyDescent="0.2">
      <c r="A928" s="18">
        <v>38896</v>
      </c>
      <c r="B928" s="34">
        <v>8.0000000000000004E-4</v>
      </c>
      <c r="C928" s="34">
        <v>8.0000000000000004E-4</v>
      </c>
      <c r="D928" s="34">
        <v>8.0000000000000004E-4</v>
      </c>
      <c r="E928" s="34">
        <v>8.0000000000000004E-4</v>
      </c>
      <c r="F928" s="34"/>
      <c r="G928" s="34"/>
    </row>
    <row r="929" spans="1:7" hidden="1" x14ac:dyDescent="0.2">
      <c r="A929" s="18">
        <v>40625</v>
      </c>
      <c r="B929" s="34">
        <v>5.2999999999999999E-2</v>
      </c>
      <c r="C929" s="34">
        <v>5.5200000000000006E-2</v>
      </c>
      <c r="D929" s="34">
        <v>1.2490000000000001</v>
      </c>
      <c r="E929" s="34">
        <v>6.3299999999999995E-2</v>
      </c>
      <c r="F929" s="34">
        <v>3.1899999999999998E-2</v>
      </c>
      <c r="G929" s="34">
        <v>2.3899999999999998E-2</v>
      </c>
    </row>
    <row r="930" spans="1:7" hidden="1" x14ac:dyDescent="0.2">
      <c r="A930" s="18">
        <v>40716</v>
      </c>
      <c r="B930" s="34">
        <v>4.0999999999999995E-3</v>
      </c>
      <c r="C930" s="34">
        <v>3.85E-2</v>
      </c>
      <c r="D930" s="34">
        <v>0.12459999999999999</v>
      </c>
      <c r="E930" s="34">
        <v>9.4700000000000006E-2</v>
      </c>
      <c r="F930" s="34">
        <v>5.04E-2</v>
      </c>
      <c r="G930" s="34">
        <v>5.6100000000000004E-2</v>
      </c>
    </row>
    <row r="931" spans="1:7" hidden="1" x14ac:dyDescent="0.2">
      <c r="A931" s="18">
        <v>40821</v>
      </c>
      <c r="B931" s="34">
        <v>5.4700000000000006E-2</v>
      </c>
      <c r="C931" s="34">
        <v>5.2899999999999996E-2</v>
      </c>
      <c r="D931" s="34">
        <v>3.5000000000000003E-2</v>
      </c>
      <c r="E931" s="34">
        <v>4.6899999999999997E-2</v>
      </c>
      <c r="F931" s="34">
        <v>4.5100000000000001E-2</v>
      </c>
      <c r="G931" s="34">
        <v>0.25619999999999998</v>
      </c>
    </row>
    <row r="932" spans="1:7" hidden="1" x14ac:dyDescent="0.2">
      <c r="A932" s="18">
        <v>40897</v>
      </c>
      <c r="B932" s="34">
        <v>1.5800000000000002E-2</v>
      </c>
      <c r="C932" s="34">
        <v>3.8200000000000005E-2</v>
      </c>
      <c r="D932" s="34">
        <v>3.7700000000000004E-2</v>
      </c>
      <c r="E932" s="34">
        <v>7.8400000000000011E-2</v>
      </c>
      <c r="F932" s="34">
        <v>2.2600000000000002E-2</v>
      </c>
      <c r="G932" s="34">
        <v>3.4299999999999997E-2</v>
      </c>
    </row>
    <row r="933" spans="1:7" hidden="1" x14ac:dyDescent="0.2">
      <c r="A933" s="18">
        <v>41008</v>
      </c>
      <c r="B933" s="34">
        <v>5.8299999999999998E-2</v>
      </c>
      <c r="C933" s="34">
        <v>3.3600000000000005E-2</v>
      </c>
      <c r="D933" s="34">
        <v>0.29249999999999998</v>
      </c>
      <c r="E933" s="34">
        <v>4.3799999999999999E-2</v>
      </c>
      <c r="F933" s="34">
        <v>7.959999999999999E-2</v>
      </c>
      <c r="G933" s="34">
        <v>1.5900000000000001E-2</v>
      </c>
    </row>
    <row r="934" spans="1:7" hidden="1" x14ac:dyDescent="0.2">
      <c r="A934" s="18">
        <v>41086</v>
      </c>
      <c r="B934" s="34">
        <v>2.7100000000000003E-2</v>
      </c>
      <c r="C934" s="34">
        <v>3.1800000000000002E-2</v>
      </c>
      <c r="D934" s="34">
        <v>4.48E-2</v>
      </c>
      <c r="E934" s="34">
        <v>5.4100000000000002E-2</v>
      </c>
      <c r="F934" s="34">
        <v>3.6700000000000003E-2</v>
      </c>
      <c r="G934" s="34">
        <v>0.1225</v>
      </c>
    </row>
    <row r="935" spans="1:7" hidden="1" x14ac:dyDescent="0.2">
      <c r="A935" s="18">
        <v>41179</v>
      </c>
      <c r="B935" s="34">
        <v>1.2500000000000001E-2</v>
      </c>
      <c r="C935" s="34">
        <v>1.5800000000000002E-2</v>
      </c>
      <c r="D935" s="34">
        <v>1.55E-2</v>
      </c>
      <c r="E935" s="34">
        <v>1.5800000000000002E-2</v>
      </c>
      <c r="F935" s="34">
        <v>1.4500000000000001E-2</v>
      </c>
      <c r="G935" s="34">
        <v>1.9399999999999997E-2</v>
      </c>
    </row>
    <row r="936" spans="1:7" hidden="1" x14ac:dyDescent="0.2">
      <c r="A936" s="18">
        <v>41247</v>
      </c>
      <c r="B936" s="34">
        <v>2.5700000000000001E-2</v>
      </c>
      <c r="C936" s="34">
        <v>1.2E-2</v>
      </c>
      <c r="D936" s="34">
        <v>3.0800000000000001E-2</v>
      </c>
      <c r="E936" s="34">
        <v>3.6999999999999998E-2</v>
      </c>
      <c r="F936" s="34">
        <v>1.6899999999999998E-2</v>
      </c>
      <c r="G936" s="34">
        <v>0.01</v>
      </c>
    </row>
    <row r="937" spans="1:7" hidden="1" x14ac:dyDescent="0.2">
      <c r="A937" s="18">
        <v>41352</v>
      </c>
      <c r="B937" s="34">
        <v>3.8100000000000002E-2</v>
      </c>
      <c r="C937" s="34">
        <v>3.5499999999999997E-2</v>
      </c>
      <c r="D937" s="34">
        <v>3.7700000000000004E-2</v>
      </c>
      <c r="E937" s="34">
        <v>6.7799999999999999E-2</v>
      </c>
      <c r="F937" s="34">
        <v>5.96E-2</v>
      </c>
      <c r="G937" s="34">
        <v>0.01</v>
      </c>
    </row>
    <row r="938" spans="1:7" hidden="1" x14ac:dyDescent="0.2">
      <c r="A938" s="18">
        <v>41445</v>
      </c>
      <c r="B938" s="34">
        <v>2.63E-2</v>
      </c>
      <c r="C938" s="34">
        <v>2.1299999999999999E-2</v>
      </c>
      <c r="D938" s="34">
        <v>9.4500000000000001E-2</v>
      </c>
      <c r="E938" s="34">
        <v>6.3899999999999998E-2</v>
      </c>
      <c r="F938" s="34">
        <v>2.9600000000000001E-2</v>
      </c>
      <c r="G938" s="34">
        <v>1.2999999999999999E-2</v>
      </c>
    </row>
    <row r="939" spans="1:7" hidden="1" x14ac:dyDescent="0.2">
      <c r="A939" s="18">
        <v>41528</v>
      </c>
      <c r="B939" s="34">
        <v>1.95E-2</v>
      </c>
      <c r="C939" s="34">
        <v>0.01</v>
      </c>
      <c r="D939" s="34">
        <v>0.01</v>
      </c>
      <c r="E939" s="34">
        <v>0.01</v>
      </c>
      <c r="F939" s="34">
        <v>0.01</v>
      </c>
      <c r="G939" s="34">
        <v>0.01</v>
      </c>
    </row>
    <row r="940" spans="1:7" hidden="1" x14ac:dyDescent="0.2">
      <c r="A940" s="18">
        <v>41670</v>
      </c>
      <c r="B940" s="34">
        <v>0.1472</v>
      </c>
      <c r="C940" s="34">
        <v>0.15409999999999999</v>
      </c>
      <c r="D940" s="34">
        <v>0.1943</v>
      </c>
      <c r="E940" s="34">
        <v>0.2026</v>
      </c>
      <c r="F940" s="34">
        <v>0.18590000000000001</v>
      </c>
      <c r="G940" s="34">
        <v>0.15140000000000001</v>
      </c>
    </row>
    <row r="941" spans="1:7" hidden="1" x14ac:dyDescent="0.2">
      <c r="A941" s="18">
        <v>41758</v>
      </c>
      <c r="B941" s="34">
        <v>3.1600000000000003E-2</v>
      </c>
      <c r="C941" s="34">
        <v>0.1318</v>
      </c>
      <c r="D941" s="34">
        <v>8.3500000000000005E-2</v>
      </c>
      <c r="E941" s="34">
        <v>8.0399999999999999E-2</v>
      </c>
      <c r="F941" s="34">
        <v>6.2799999999999995E-2</v>
      </c>
      <c r="G941" s="34">
        <v>5.4700000000000006E-2</v>
      </c>
    </row>
    <row r="942" spans="1:7" hidden="1" x14ac:dyDescent="0.2">
      <c r="A942" s="18">
        <v>41835</v>
      </c>
      <c r="B942" s="34">
        <v>5.9499999999999997E-2</v>
      </c>
      <c r="C942" s="34">
        <v>7.51E-2</v>
      </c>
      <c r="D942" s="34">
        <v>0.05</v>
      </c>
      <c r="E942" s="34">
        <v>0.05</v>
      </c>
      <c r="F942" s="34">
        <v>0.05</v>
      </c>
      <c r="G942" s="34">
        <v>0.05</v>
      </c>
    </row>
    <row r="943" spans="1:7" hidden="1" x14ac:dyDescent="0.2">
      <c r="A943" s="18">
        <v>42031</v>
      </c>
      <c r="B943" s="34">
        <v>0.2676</v>
      </c>
      <c r="C943" s="34">
        <v>5.04E-2</v>
      </c>
      <c r="D943" s="34">
        <v>0.1477</v>
      </c>
      <c r="E943" s="34">
        <v>0.20219999999999999</v>
      </c>
      <c r="F943" s="34">
        <v>3.1100000000000003E-2</v>
      </c>
      <c r="G943" s="34">
        <v>0.12640000000000001</v>
      </c>
    </row>
    <row r="944" spans="1:7" hidden="1" x14ac:dyDescent="0.2">
      <c r="A944" s="18">
        <v>42094</v>
      </c>
      <c r="B944" s="34">
        <v>3.8600000000000002E-2</v>
      </c>
      <c r="C944" s="34">
        <v>3.7100000000000001E-2</v>
      </c>
      <c r="D944" s="34">
        <v>4.5399999999999996E-2</v>
      </c>
      <c r="E944" s="34">
        <v>7.3999999999999996E-2</v>
      </c>
      <c r="F944" s="34">
        <v>4.5499999999999999E-2</v>
      </c>
      <c r="G944" s="34">
        <v>5.9400000000000001E-2</v>
      </c>
    </row>
    <row r="945" spans="1:7" hidden="1" x14ac:dyDescent="0.2">
      <c r="A945" s="18">
        <v>42192</v>
      </c>
      <c r="B945" s="34">
        <v>0.02</v>
      </c>
      <c r="C945" s="34">
        <v>0.02</v>
      </c>
      <c r="D945" s="34">
        <v>0.02</v>
      </c>
      <c r="E945" s="34">
        <v>0.02</v>
      </c>
      <c r="F945" s="34">
        <v>2.0500000000000001E-2</v>
      </c>
      <c r="G945" s="34">
        <v>0.2132</v>
      </c>
    </row>
    <row r="946" spans="1:7" hidden="1" x14ac:dyDescent="0.2">
      <c r="A946" s="18">
        <v>42290</v>
      </c>
      <c r="B946" s="34">
        <v>0.02</v>
      </c>
      <c r="C946" s="34">
        <v>0.02</v>
      </c>
      <c r="D946" s="34">
        <v>7.8400000000000011E-2</v>
      </c>
      <c r="E946" s="34">
        <v>2.3899999999999998E-2</v>
      </c>
      <c r="F946" s="34">
        <v>0.02</v>
      </c>
      <c r="G946" s="34"/>
    </row>
    <row r="947" spans="1:7" hidden="1" x14ac:dyDescent="0.2">
      <c r="A947" s="18">
        <v>42381</v>
      </c>
      <c r="B947" s="34">
        <v>2.93E-2</v>
      </c>
      <c r="C947" s="34">
        <v>4.2500000000000003E-2</v>
      </c>
      <c r="D947" s="34">
        <v>2.6100000000000002E-2</v>
      </c>
      <c r="E947" s="34">
        <v>2.6800000000000001E-2</v>
      </c>
      <c r="F947" s="34">
        <v>2.3600000000000003E-2</v>
      </c>
      <c r="G947" s="34"/>
    </row>
    <row r="948" spans="1:7" hidden="1" x14ac:dyDescent="0.2">
      <c r="A948" s="18">
        <v>42479</v>
      </c>
      <c r="B948" s="34">
        <v>0.02</v>
      </c>
      <c r="C948" s="34">
        <v>0.02</v>
      </c>
      <c r="D948" s="34">
        <v>0.02</v>
      </c>
      <c r="E948" s="34">
        <v>2.2200000000000001E-2</v>
      </c>
      <c r="F948" s="34">
        <v>2.1000000000000001E-2</v>
      </c>
      <c r="G948" s="34">
        <v>3.8700000000000005E-2</v>
      </c>
    </row>
    <row r="949" spans="1:7" hidden="1" x14ac:dyDescent="0.2">
      <c r="A949" s="18">
        <v>42570</v>
      </c>
      <c r="B949" s="34">
        <v>0.02</v>
      </c>
      <c r="C949" s="34">
        <v>3.2799999999999996E-2</v>
      </c>
      <c r="D949" s="34">
        <v>3.2799999999999996E-2</v>
      </c>
      <c r="E949" s="34">
        <v>4.6200000000000005E-2</v>
      </c>
      <c r="F949" s="34">
        <v>3.0199999999999998E-2</v>
      </c>
      <c r="G949" s="34">
        <v>2.01E-2</v>
      </c>
    </row>
    <row r="950" spans="1:7" hidden="1" x14ac:dyDescent="0.2">
      <c r="A950" s="18">
        <v>42654</v>
      </c>
      <c r="B950" s="34">
        <v>2.2200000000000001E-2</v>
      </c>
      <c r="C950" s="34">
        <v>0.02</v>
      </c>
      <c r="D950" s="34">
        <v>0.02</v>
      </c>
      <c r="E950" s="34">
        <v>0.02</v>
      </c>
      <c r="F950" s="34">
        <v>0.02</v>
      </c>
      <c r="G950" s="34">
        <v>2.5999999999999999E-2</v>
      </c>
    </row>
    <row r="951" spans="1:7" hidden="1" x14ac:dyDescent="0.2">
      <c r="A951" s="18">
        <v>42745</v>
      </c>
      <c r="B951" s="34">
        <v>2.8199999999999999E-2</v>
      </c>
      <c r="C951" s="34">
        <v>2.7E-2</v>
      </c>
      <c r="D951" s="34">
        <v>4.02E-2</v>
      </c>
      <c r="E951" s="34">
        <v>5.7799999999999997E-2</v>
      </c>
      <c r="F951" s="34">
        <v>3.3799999999999997E-2</v>
      </c>
      <c r="G951" s="34">
        <v>0.02</v>
      </c>
    </row>
    <row r="952" spans="1:7" hidden="1" x14ac:dyDescent="0.2">
      <c r="A952" s="18">
        <v>42843</v>
      </c>
      <c r="B952" s="34">
        <v>4.1070000000000002E-2</v>
      </c>
      <c r="C952" s="34">
        <v>0.02</v>
      </c>
      <c r="D952" s="34">
        <v>0.02</v>
      </c>
      <c r="E952" s="34">
        <v>2.01E-2</v>
      </c>
      <c r="F952" s="34">
        <v>2.5499999999999998E-2</v>
      </c>
      <c r="G952" s="34">
        <v>0.02</v>
      </c>
    </row>
    <row r="953" spans="1:7" hidden="1" x14ac:dyDescent="0.2">
      <c r="A953" s="18">
        <v>42934</v>
      </c>
      <c r="B953" s="34">
        <v>2.6199999999999998E-2</v>
      </c>
      <c r="C953" s="34">
        <v>2.63E-2</v>
      </c>
      <c r="D953" s="34">
        <v>3.9799999999999995E-2</v>
      </c>
      <c r="E953" s="34">
        <v>3.8600000000000002E-2</v>
      </c>
      <c r="F953" s="34">
        <v>0.02</v>
      </c>
      <c r="G953" s="34">
        <v>2.7399999999999997E-2</v>
      </c>
    </row>
    <row r="954" spans="1:7" hidden="1" x14ac:dyDescent="0.2">
      <c r="A954" s="18">
        <v>43025</v>
      </c>
      <c r="B954" s="34">
        <v>0.29010000000000002</v>
      </c>
      <c r="C954" s="34">
        <v>4.0899999999999999E-2</v>
      </c>
      <c r="D954" s="34">
        <v>8.3799999999999999E-2</v>
      </c>
      <c r="E954" s="34">
        <v>6.6400000000000001E-2</v>
      </c>
      <c r="F954" s="34">
        <v>2.3E-2</v>
      </c>
      <c r="G954" s="34">
        <v>2.87E-2</v>
      </c>
    </row>
    <row r="955" spans="1:7" hidden="1" x14ac:dyDescent="0.2">
      <c r="A955" s="18">
        <v>43109</v>
      </c>
      <c r="B955" s="34">
        <v>9.0299999999999991E-2</v>
      </c>
      <c r="C955" s="34">
        <v>7.8799999999999995E-2</v>
      </c>
      <c r="D955" s="34">
        <v>3.7600000000000001E-2</v>
      </c>
      <c r="E955" s="34">
        <v>7.6200000000000004E-2</v>
      </c>
      <c r="F955" s="34">
        <v>0.1055</v>
      </c>
      <c r="G955" s="34">
        <v>6.9900000000000004E-2</v>
      </c>
    </row>
    <row r="956" spans="1:7" hidden="1" x14ac:dyDescent="0.2">
      <c r="A956" s="18">
        <v>43193</v>
      </c>
      <c r="B956" s="34">
        <v>8.0299999999999996E-2</v>
      </c>
      <c r="C956" s="34">
        <v>5.1900000000000002E-2</v>
      </c>
      <c r="D956" s="34">
        <v>5.1200000000000002E-2</v>
      </c>
      <c r="E956" s="34">
        <v>8.1200000000000008E-2</v>
      </c>
      <c r="F956" s="34">
        <v>4.7E-2</v>
      </c>
      <c r="G956" s="34">
        <v>4.2500000000000003E-2</v>
      </c>
    </row>
    <row r="957" spans="1:7" hidden="1" x14ac:dyDescent="0.2">
      <c r="A957" s="18">
        <v>43298</v>
      </c>
      <c r="B957" s="34">
        <v>0.02</v>
      </c>
      <c r="C957" s="34">
        <v>0.02</v>
      </c>
      <c r="D957" s="34">
        <v>0.02</v>
      </c>
      <c r="E957" s="34">
        <v>2.41E-2</v>
      </c>
      <c r="F957" s="34">
        <v>0.02</v>
      </c>
      <c r="G957" s="34">
        <v>0.02</v>
      </c>
    </row>
    <row r="958" spans="1:7" hidden="1" x14ac:dyDescent="0.2">
      <c r="A958" s="18">
        <v>43403</v>
      </c>
      <c r="B958" s="34">
        <v>0.02</v>
      </c>
      <c r="C958" s="34">
        <v>2.1999999999999999E-2</v>
      </c>
      <c r="D958" s="34">
        <v>0.02</v>
      </c>
      <c r="E958" s="34">
        <v>0.02</v>
      </c>
      <c r="F958" s="34">
        <v>0.02</v>
      </c>
      <c r="G958" s="34">
        <v>0.02</v>
      </c>
    </row>
    <row r="959" spans="1:7" hidden="1" x14ac:dyDescent="0.2">
      <c r="A959" s="18">
        <v>43487</v>
      </c>
      <c r="B959" s="34">
        <v>2.794E-2</v>
      </c>
      <c r="C959" s="34">
        <v>5.5539999999999999E-2</v>
      </c>
      <c r="D959" s="34">
        <v>3.7219999999999996E-2</v>
      </c>
      <c r="E959" s="34"/>
      <c r="F959" s="34">
        <v>0.02</v>
      </c>
      <c r="G959" s="34">
        <v>2.4390000000000002E-2</v>
      </c>
    </row>
    <row r="960" spans="1:7" hidden="1" x14ac:dyDescent="0.2">
      <c r="A960" s="18">
        <v>43578</v>
      </c>
      <c r="B960" s="34">
        <v>4.6009999999999995E-2</v>
      </c>
      <c r="C960" s="34">
        <v>4.5399999999999996E-2</v>
      </c>
      <c r="D960" s="34">
        <v>0.13639999999999999</v>
      </c>
      <c r="E960" s="34">
        <v>0.10908</v>
      </c>
      <c r="F960" s="34">
        <v>4.2470000000000001E-2</v>
      </c>
      <c r="G960" s="34">
        <v>7.6340000000000005E-2</v>
      </c>
    </row>
    <row r="961" spans="1:7" hidden="1" x14ac:dyDescent="0.2">
      <c r="A961" s="18">
        <v>43704</v>
      </c>
      <c r="B961" s="34">
        <v>3.1614000000000003E-2</v>
      </c>
      <c r="C961" s="34">
        <v>6.761700000000001E-2</v>
      </c>
      <c r="D961" s="34">
        <v>2.2605E-2</v>
      </c>
      <c r="E961" s="34">
        <v>2.0181999999999999E-2</v>
      </c>
      <c r="F961" s="34">
        <v>0.02</v>
      </c>
      <c r="G961" s="34">
        <v>2.1405999999999998E-2</v>
      </c>
    </row>
    <row r="962" spans="1:7" hidden="1" x14ac:dyDescent="0.2">
      <c r="A962" s="18">
        <v>43760</v>
      </c>
      <c r="B962" s="34">
        <v>9.5513000000000001E-2</v>
      </c>
      <c r="C962" s="34">
        <v>4.4594000000000002E-2</v>
      </c>
      <c r="D962" s="34">
        <v>4.6628999999999997E-2</v>
      </c>
      <c r="E962" s="34">
        <v>0.103147</v>
      </c>
      <c r="F962" s="34">
        <v>5.28E-2</v>
      </c>
      <c r="G962" s="34">
        <v>4.8081000000000006E-2</v>
      </c>
    </row>
    <row r="963" spans="1:7" hidden="1" x14ac:dyDescent="0.2">
      <c r="A963" s="18">
        <v>44021</v>
      </c>
      <c r="B963" s="34">
        <v>0.19525000000000001</v>
      </c>
      <c r="C963" s="34">
        <v>8.5140000000000007E-2</v>
      </c>
      <c r="D963" s="34">
        <v>6.4735000000000001E-2</v>
      </c>
      <c r="E963" s="34">
        <v>4.6365000000000003E-2</v>
      </c>
      <c r="F963" s="34">
        <v>3.4957999999999996E-2</v>
      </c>
      <c r="G963" s="34">
        <v>0.02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283"/>
  <sheetViews>
    <sheetView workbookViewId="0"/>
  </sheetViews>
  <sheetFormatPr defaultColWidth="11.42578125" defaultRowHeight="12.75" x14ac:dyDescent="0.2"/>
  <cols>
    <col min="4" max="4" width="0" hidden="1" customWidth="1"/>
    <col min="5" max="5" width="15.28515625" hidden="1" customWidth="1"/>
    <col min="6" max="6" width="14.140625" bestFit="1" customWidth="1"/>
    <col min="7" max="7" width="10.28515625" bestFit="1" customWidth="1"/>
    <col min="8" max="8" width="16" hidden="1" customWidth="1"/>
    <col min="9" max="9" width="0" hidden="1" customWidth="1"/>
  </cols>
  <sheetData>
    <row r="1" spans="1:43" x14ac:dyDescent="0.2">
      <c r="AQ1" s="72"/>
    </row>
    <row r="2" spans="1:43" x14ac:dyDescent="0.2">
      <c r="AQ2" s="72"/>
    </row>
    <row r="3" spans="1:43" x14ac:dyDescent="0.2">
      <c r="AQ3" s="72"/>
    </row>
    <row r="4" spans="1:43" x14ac:dyDescent="0.2">
      <c r="AQ4" s="72"/>
    </row>
    <row r="5" spans="1:43" x14ac:dyDescent="0.2">
      <c r="AQ5" s="72"/>
    </row>
    <row r="6" spans="1:43" x14ac:dyDescent="0.2">
      <c r="AQ6" s="72"/>
    </row>
    <row r="7" spans="1:43" ht="18" x14ac:dyDescent="0.25">
      <c r="A7" s="1" t="s">
        <v>0</v>
      </c>
      <c r="AQ7" s="72"/>
    </row>
    <row r="8" spans="1:43" x14ac:dyDescent="0.2">
      <c r="A8" s="2" t="s">
        <v>1</v>
      </c>
    </row>
    <row r="9" spans="1:43" x14ac:dyDescent="0.2">
      <c r="A9" s="2" t="s">
        <v>103</v>
      </c>
    </row>
    <row r="11" spans="1:43" x14ac:dyDescent="0.2">
      <c r="A11" s="69" t="s">
        <v>101</v>
      </c>
      <c r="B11" s="11" t="s">
        <v>6</v>
      </c>
      <c r="C11" s="11" t="s">
        <v>6</v>
      </c>
      <c r="D11" s="28" t="s">
        <v>28</v>
      </c>
      <c r="E11" s="28" t="s">
        <v>53</v>
      </c>
      <c r="F11" s="36" t="s">
        <v>55</v>
      </c>
      <c r="G11" s="36" t="s">
        <v>58</v>
      </c>
      <c r="H11" s="28" t="s">
        <v>59</v>
      </c>
      <c r="I11" s="28" t="s">
        <v>64</v>
      </c>
    </row>
    <row r="12" spans="1:43" x14ac:dyDescent="0.2">
      <c r="A12" s="79" t="s">
        <v>101</v>
      </c>
      <c r="B12" s="11" t="s">
        <v>7</v>
      </c>
      <c r="C12" s="81" t="s">
        <v>8</v>
      </c>
      <c r="D12" s="28" t="s">
        <v>29</v>
      </c>
      <c r="E12" s="28" t="s">
        <v>54</v>
      </c>
      <c r="F12" s="28" t="s">
        <v>22</v>
      </c>
      <c r="G12" s="28" t="s">
        <v>22</v>
      </c>
      <c r="H12" s="28" t="s">
        <v>22</v>
      </c>
      <c r="I12" s="28" t="s">
        <v>65</v>
      </c>
    </row>
    <row r="13" spans="1:43" ht="13.5" thickBot="1" x14ac:dyDescent="0.25">
      <c r="A13" s="9" t="s">
        <v>4</v>
      </c>
      <c r="B13" s="14">
        <v>37046</v>
      </c>
      <c r="C13" s="27" t="s">
        <v>9</v>
      </c>
      <c r="D13" s="82">
        <v>0.441</v>
      </c>
      <c r="E13" s="83">
        <v>0.3</v>
      </c>
      <c r="F13" s="83">
        <v>41</v>
      </c>
      <c r="G13" s="83">
        <v>313</v>
      </c>
      <c r="H13" s="83"/>
      <c r="I13" s="83">
        <v>17</v>
      </c>
    </row>
    <row r="14" spans="1:43" ht="13.5" thickBot="1" x14ac:dyDescent="0.25">
      <c r="A14" s="5" t="s">
        <v>4</v>
      </c>
      <c r="B14" s="13">
        <v>37046</v>
      </c>
      <c r="C14" s="74" t="s">
        <v>10</v>
      </c>
      <c r="D14" s="30">
        <f>437/1000</f>
        <v>0.437</v>
      </c>
      <c r="E14" s="38">
        <v>0.9</v>
      </c>
      <c r="F14" s="38">
        <v>185</v>
      </c>
      <c r="G14" s="38">
        <v>453</v>
      </c>
      <c r="H14" s="38"/>
      <c r="I14" s="38">
        <v>40</v>
      </c>
    </row>
    <row r="15" spans="1:43" ht="13.5" thickBot="1" x14ac:dyDescent="0.25">
      <c r="A15" s="6" t="s">
        <v>4</v>
      </c>
      <c r="B15" s="14">
        <v>37046</v>
      </c>
      <c r="C15" s="75" t="s">
        <v>11</v>
      </c>
      <c r="D15" s="31">
        <f>441/1000</f>
        <v>0.441</v>
      </c>
      <c r="E15" s="34">
        <v>0.7</v>
      </c>
      <c r="F15" s="34">
        <v>209</v>
      </c>
      <c r="G15" s="34">
        <v>470</v>
      </c>
      <c r="H15" s="34"/>
      <c r="I15" s="34">
        <v>52</v>
      </c>
    </row>
    <row r="16" spans="1:43" ht="13.5" thickBot="1" x14ac:dyDescent="0.25">
      <c r="A16" s="6" t="s">
        <v>4</v>
      </c>
      <c r="B16" s="14">
        <v>37046</v>
      </c>
      <c r="C16" s="76" t="s">
        <v>12</v>
      </c>
      <c r="D16" s="31">
        <f>469/1000</f>
        <v>0.46899999999999997</v>
      </c>
      <c r="E16" s="34">
        <v>0.2</v>
      </c>
      <c r="F16" s="34">
        <v>74</v>
      </c>
      <c r="G16" s="34">
        <v>350</v>
      </c>
      <c r="H16" s="34"/>
      <c r="I16" s="34">
        <v>26</v>
      </c>
    </row>
    <row r="17" spans="1:9" x14ac:dyDescent="0.2">
      <c r="A17" s="7">
        <v>2001</v>
      </c>
      <c r="B17" s="15">
        <v>37076</v>
      </c>
      <c r="C17" s="27" t="s">
        <v>9</v>
      </c>
      <c r="D17" s="32"/>
      <c r="E17" s="39">
        <v>0</v>
      </c>
      <c r="F17" s="39">
        <v>0</v>
      </c>
      <c r="G17" s="39">
        <v>293</v>
      </c>
      <c r="H17" s="39"/>
      <c r="I17" s="39"/>
    </row>
    <row r="18" spans="1:9" x14ac:dyDescent="0.2">
      <c r="A18" s="8"/>
      <c r="B18" s="16">
        <v>37076</v>
      </c>
      <c r="C18" s="74" t="s">
        <v>10</v>
      </c>
      <c r="D18" s="33"/>
      <c r="E18" s="40">
        <v>0</v>
      </c>
      <c r="F18" s="40">
        <v>3</v>
      </c>
      <c r="G18" s="40">
        <v>297</v>
      </c>
      <c r="H18" s="40"/>
      <c r="I18" s="40"/>
    </row>
    <row r="19" spans="1:9" x14ac:dyDescent="0.2">
      <c r="A19" s="8"/>
      <c r="B19" s="17">
        <v>37076</v>
      </c>
      <c r="C19" s="75" t="s">
        <v>11</v>
      </c>
      <c r="D19" s="31"/>
      <c r="E19" s="34">
        <v>0</v>
      </c>
      <c r="F19" s="34">
        <v>7</v>
      </c>
      <c r="G19" s="34">
        <v>305</v>
      </c>
      <c r="H19" s="34"/>
      <c r="I19" s="34"/>
    </row>
    <row r="20" spans="1:9" x14ac:dyDescent="0.2">
      <c r="A20" s="8"/>
      <c r="B20" s="17">
        <v>37076</v>
      </c>
      <c r="C20" s="76" t="s">
        <v>12</v>
      </c>
      <c r="D20" s="31"/>
      <c r="E20" s="34">
        <v>0</v>
      </c>
      <c r="F20" s="34">
        <v>4</v>
      </c>
      <c r="G20" s="34">
        <v>322</v>
      </c>
      <c r="H20" s="34"/>
      <c r="I20" s="34"/>
    </row>
    <row r="21" spans="1:9" x14ac:dyDescent="0.2">
      <c r="A21" s="8">
        <v>2002</v>
      </c>
      <c r="B21" s="17">
        <v>37335</v>
      </c>
      <c r="C21" s="27" t="s">
        <v>9</v>
      </c>
      <c r="D21" s="31">
        <f>629/1000</f>
        <v>0.629</v>
      </c>
      <c r="E21" s="34">
        <v>0.2</v>
      </c>
      <c r="F21" s="34">
        <v>11</v>
      </c>
      <c r="G21" s="34">
        <v>426</v>
      </c>
      <c r="H21" s="34"/>
      <c r="I21" s="34">
        <v>15</v>
      </c>
    </row>
    <row r="22" spans="1:9" x14ac:dyDescent="0.2">
      <c r="A22" s="9"/>
      <c r="B22" s="18">
        <v>37335</v>
      </c>
      <c r="C22" s="74" t="s">
        <v>10</v>
      </c>
      <c r="D22" s="31">
        <f>610/1000</f>
        <v>0.61</v>
      </c>
      <c r="E22" s="34">
        <v>0.1</v>
      </c>
      <c r="F22" s="34">
        <v>11</v>
      </c>
      <c r="G22" s="34">
        <v>439</v>
      </c>
      <c r="H22" s="34"/>
      <c r="I22" s="34">
        <v>14</v>
      </c>
    </row>
    <row r="23" spans="1:9" x14ac:dyDescent="0.2">
      <c r="A23" s="8"/>
      <c r="B23" s="14">
        <v>37335</v>
      </c>
      <c r="C23" s="75" t="s">
        <v>11</v>
      </c>
      <c r="D23" s="31">
        <f>714/1000</f>
        <v>0.71399999999999997</v>
      </c>
      <c r="E23" s="34">
        <v>0.05</v>
      </c>
      <c r="F23" s="34">
        <v>22</v>
      </c>
      <c r="G23" s="34">
        <v>477</v>
      </c>
      <c r="H23" s="34"/>
      <c r="I23" s="34">
        <v>22</v>
      </c>
    </row>
    <row r="24" spans="1:9" x14ac:dyDescent="0.2">
      <c r="A24" s="8"/>
      <c r="B24" s="14">
        <v>37335</v>
      </c>
      <c r="C24" s="76" t="s">
        <v>12</v>
      </c>
      <c r="D24" s="31">
        <f>714/1000</f>
        <v>0.71399999999999997</v>
      </c>
      <c r="E24" s="34">
        <v>0.05</v>
      </c>
      <c r="F24" s="34">
        <v>81</v>
      </c>
      <c r="G24" s="34">
        <v>534</v>
      </c>
      <c r="H24" s="34"/>
      <c r="I24" s="34">
        <v>56</v>
      </c>
    </row>
    <row r="25" spans="1:9" x14ac:dyDescent="0.2">
      <c r="A25" s="8"/>
      <c r="B25" s="14">
        <v>37566</v>
      </c>
      <c r="C25" s="27" t="s">
        <v>9</v>
      </c>
      <c r="D25" s="31"/>
      <c r="E25" s="34"/>
      <c r="F25" s="34"/>
      <c r="G25" s="34">
        <v>927.8</v>
      </c>
      <c r="H25" s="34"/>
      <c r="I25" s="34"/>
    </row>
    <row r="26" spans="1:9" x14ac:dyDescent="0.2">
      <c r="A26" s="9"/>
      <c r="B26" s="14">
        <v>37566</v>
      </c>
      <c r="C26" s="74" t="s">
        <v>10</v>
      </c>
      <c r="D26" s="31"/>
      <c r="E26" s="34"/>
      <c r="F26" s="34"/>
      <c r="G26" s="34">
        <v>969</v>
      </c>
      <c r="H26" s="34"/>
      <c r="I26" s="34"/>
    </row>
    <row r="27" spans="1:9" x14ac:dyDescent="0.2">
      <c r="A27" s="8"/>
      <c r="B27" s="14">
        <v>37566</v>
      </c>
      <c r="C27" s="75" t="s">
        <v>11</v>
      </c>
      <c r="D27" s="31"/>
      <c r="E27" s="34"/>
      <c r="F27" s="34"/>
      <c r="G27" s="34">
        <v>1118</v>
      </c>
      <c r="H27" s="34"/>
      <c r="I27" s="34"/>
    </row>
    <row r="28" spans="1:9" x14ac:dyDescent="0.2">
      <c r="A28" s="8"/>
      <c r="B28" s="14">
        <v>37566</v>
      </c>
      <c r="C28" s="76" t="s">
        <v>12</v>
      </c>
      <c r="D28" s="31"/>
      <c r="E28" s="34"/>
      <c r="F28" s="34"/>
      <c r="G28" s="34">
        <v>1876</v>
      </c>
      <c r="H28" s="34"/>
      <c r="I28" s="34"/>
    </row>
    <row r="29" spans="1:9" x14ac:dyDescent="0.2">
      <c r="A29" s="10"/>
      <c r="B29" s="14">
        <v>37594</v>
      </c>
      <c r="C29" s="27" t="s">
        <v>9</v>
      </c>
      <c r="D29" s="31"/>
      <c r="E29" s="34"/>
      <c r="F29" s="34"/>
      <c r="G29" s="34">
        <v>438</v>
      </c>
      <c r="H29" s="34"/>
      <c r="I29" s="34">
        <v>2.5</v>
      </c>
    </row>
    <row r="30" spans="1:9" x14ac:dyDescent="0.2">
      <c r="A30" s="9"/>
      <c r="B30" s="14">
        <v>37594</v>
      </c>
      <c r="C30" s="74" t="s">
        <v>10</v>
      </c>
      <c r="D30" s="31"/>
      <c r="E30" s="34"/>
      <c r="F30" s="34"/>
      <c r="G30" s="34">
        <v>463</v>
      </c>
      <c r="H30" s="34"/>
      <c r="I30" s="34">
        <v>5.6</v>
      </c>
    </row>
    <row r="31" spans="1:9" x14ac:dyDescent="0.2">
      <c r="A31" s="8"/>
      <c r="B31" s="14">
        <v>37594</v>
      </c>
      <c r="C31" s="75" t="s">
        <v>11</v>
      </c>
      <c r="D31" s="31"/>
      <c r="E31" s="34"/>
      <c r="F31" s="34"/>
      <c r="G31" s="34">
        <v>453</v>
      </c>
      <c r="H31" s="34"/>
      <c r="I31" s="34">
        <v>11</v>
      </c>
    </row>
    <row r="32" spans="1:9" x14ac:dyDescent="0.2">
      <c r="A32" s="8"/>
      <c r="B32" s="14">
        <v>37594</v>
      </c>
      <c r="C32" s="76" t="s">
        <v>12</v>
      </c>
      <c r="D32" s="31"/>
      <c r="E32" s="34"/>
      <c r="F32" s="34"/>
      <c r="G32" s="34">
        <v>460</v>
      </c>
      <c r="H32" s="34"/>
      <c r="I32" s="34">
        <v>9.4</v>
      </c>
    </row>
    <row r="33" spans="1:9" x14ac:dyDescent="0.2">
      <c r="A33" s="10">
        <v>2003</v>
      </c>
      <c r="B33" s="14">
        <v>37711</v>
      </c>
      <c r="C33" s="27" t="s">
        <v>9</v>
      </c>
      <c r="D33" s="31"/>
      <c r="E33" s="34"/>
      <c r="F33" s="34"/>
      <c r="G33" s="34">
        <v>306</v>
      </c>
      <c r="H33" s="34"/>
      <c r="I33" s="34"/>
    </row>
    <row r="34" spans="1:9" x14ac:dyDescent="0.2">
      <c r="A34" s="9"/>
      <c r="B34" s="18">
        <v>37711</v>
      </c>
      <c r="C34" s="74" t="s">
        <v>10</v>
      </c>
      <c r="D34" s="31"/>
      <c r="E34" s="34"/>
      <c r="F34" s="34"/>
      <c r="G34" s="34">
        <v>305</v>
      </c>
      <c r="H34" s="34"/>
      <c r="I34" s="34"/>
    </row>
    <row r="35" spans="1:9" x14ac:dyDescent="0.2">
      <c r="A35" s="8"/>
      <c r="B35" s="18">
        <v>37711</v>
      </c>
      <c r="C35" s="75" t="s">
        <v>11</v>
      </c>
      <c r="D35" s="31"/>
      <c r="E35" s="34"/>
      <c r="F35" s="34"/>
      <c r="G35" s="34"/>
      <c r="H35" s="34"/>
      <c r="I35" s="34"/>
    </row>
    <row r="36" spans="1:9" x14ac:dyDescent="0.2">
      <c r="A36" s="8"/>
      <c r="B36" s="18">
        <v>37711</v>
      </c>
      <c r="C36" s="76" t="s">
        <v>12</v>
      </c>
      <c r="D36" s="31"/>
      <c r="E36" s="34"/>
      <c r="F36" s="34"/>
      <c r="G36" s="34"/>
      <c r="H36" s="34"/>
      <c r="I36" s="34"/>
    </row>
    <row r="37" spans="1:9" x14ac:dyDescent="0.2">
      <c r="A37" s="10"/>
      <c r="B37" s="18">
        <v>37739</v>
      </c>
      <c r="C37" s="27" t="s">
        <v>9</v>
      </c>
      <c r="D37" s="31"/>
      <c r="E37" s="34"/>
      <c r="F37" s="34"/>
      <c r="G37" s="34">
        <v>813</v>
      </c>
      <c r="H37" s="34"/>
      <c r="I37" s="34"/>
    </row>
    <row r="38" spans="1:9" x14ac:dyDescent="0.2">
      <c r="A38" s="9"/>
      <c r="B38" s="18">
        <v>37739</v>
      </c>
      <c r="C38" s="74" t="s">
        <v>10</v>
      </c>
      <c r="D38" s="31"/>
      <c r="E38" s="34"/>
      <c r="F38" s="34"/>
      <c r="G38" s="34">
        <v>977</v>
      </c>
      <c r="H38" s="34"/>
      <c r="I38" s="34"/>
    </row>
    <row r="39" spans="1:9" x14ac:dyDescent="0.2">
      <c r="A39" s="8"/>
      <c r="B39" s="18">
        <v>37739</v>
      </c>
      <c r="C39" s="75" t="s">
        <v>11</v>
      </c>
      <c r="D39" s="31"/>
      <c r="E39" s="34"/>
      <c r="F39" s="34"/>
      <c r="G39" s="34">
        <v>794</v>
      </c>
      <c r="H39" s="34"/>
      <c r="I39" s="34"/>
    </row>
    <row r="40" spans="1:9" x14ac:dyDescent="0.2">
      <c r="A40" s="8"/>
      <c r="B40" s="19">
        <v>37739</v>
      </c>
      <c r="C40" s="76" t="s">
        <v>12</v>
      </c>
      <c r="D40" s="31"/>
      <c r="E40" s="34"/>
      <c r="F40" s="34"/>
      <c r="G40" s="34">
        <v>1084</v>
      </c>
      <c r="H40" s="34"/>
      <c r="I40" s="34"/>
    </row>
    <row r="41" spans="1:9" x14ac:dyDescent="0.2">
      <c r="A41" s="10"/>
      <c r="B41" s="19">
        <v>37825</v>
      </c>
      <c r="C41" s="27" t="s">
        <v>9</v>
      </c>
      <c r="D41" s="31"/>
      <c r="E41" s="34"/>
      <c r="F41" s="34">
        <v>0</v>
      </c>
      <c r="G41" s="34">
        <v>338</v>
      </c>
      <c r="H41" s="34"/>
      <c r="I41" s="34"/>
    </row>
    <row r="42" spans="1:9" x14ac:dyDescent="0.2">
      <c r="A42" s="9"/>
      <c r="B42" s="19">
        <v>37825</v>
      </c>
      <c r="C42" s="74" t="s">
        <v>10</v>
      </c>
      <c r="D42" s="31"/>
      <c r="E42" s="34"/>
      <c r="F42" s="34">
        <v>0</v>
      </c>
      <c r="G42" s="34">
        <v>364</v>
      </c>
      <c r="H42" s="34"/>
      <c r="I42" s="34"/>
    </row>
    <row r="43" spans="1:9" x14ac:dyDescent="0.2">
      <c r="A43" s="8"/>
      <c r="B43" s="19">
        <v>37825</v>
      </c>
      <c r="C43" s="75" t="s">
        <v>11</v>
      </c>
      <c r="D43" s="31"/>
      <c r="E43" s="34"/>
      <c r="F43" s="34">
        <v>0</v>
      </c>
      <c r="G43" s="34">
        <v>341</v>
      </c>
      <c r="H43" s="34"/>
      <c r="I43" s="34"/>
    </row>
    <row r="44" spans="1:9" x14ac:dyDescent="0.2">
      <c r="A44" s="8"/>
      <c r="B44" s="19">
        <v>37825</v>
      </c>
      <c r="C44" s="76" t="s">
        <v>12</v>
      </c>
      <c r="D44" s="31"/>
      <c r="E44" s="34"/>
      <c r="F44" s="34">
        <v>22</v>
      </c>
      <c r="G44" s="34">
        <v>329</v>
      </c>
      <c r="H44" s="34"/>
      <c r="I44" s="34"/>
    </row>
    <row r="45" spans="1:9" x14ac:dyDescent="0.2">
      <c r="A45" s="10"/>
      <c r="B45" s="20">
        <v>37888</v>
      </c>
      <c r="C45" s="27" t="s">
        <v>9</v>
      </c>
      <c r="D45" s="31"/>
      <c r="E45" s="34"/>
      <c r="F45" s="34"/>
      <c r="G45" s="34">
        <v>449</v>
      </c>
      <c r="H45" s="34"/>
      <c r="I45" s="34"/>
    </row>
    <row r="46" spans="1:9" x14ac:dyDescent="0.2">
      <c r="A46" s="9"/>
      <c r="B46" s="20">
        <v>37888</v>
      </c>
      <c r="C46" s="74" t="s">
        <v>10</v>
      </c>
      <c r="D46" s="31"/>
      <c r="E46" s="34"/>
      <c r="F46" s="34"/>
      <c r="G46" s="34">
        <v>469</v>
      </c>
      <c r="H46" s="34"/>
      <c r="I46" s="34"/>
    </row>
    <row r="47" spans="1:9" x14ac:dyDescent="0.2">
      <c r="A47" s="8"/>
      <c r="B47" s="20">
        <v>37888</v>
      </c>
      <c r="C47" s="75" t="s">
        <v>11</v>
      </c>
      <c r="D47" s="31"/>
      <c r="E47" s="34"/>
      <c r="F47" s="34"/>
      <c r="G47" s="34">
        <v>426</v>
      </c>
      <c r="H47" s="34"/>
      <c r="I47" s="34"/>
    </row>
    <row r="48" spans="1:9" x14ac:dyDescent="0.2">
      <c r="A48" s="8"/>
      <c r="B48" s="20">
        <v>37888</v>
      </c>
      <c r="C48" s="76" t="s">
        <v>12</v>
      </c>
      <c r="D48" s="31"/>
      <c r="E48" s="34"/>
      <c r="F48" s="34"/>
      <c r="G48" s="34">
        <v>459</v>
      </c>
      <c r="H48" s="34"/>
      <c r="I48" s="34"/>
    </row>
    <row r="49" spans="1:9" x14ac:dyDescent="0.2">
      <c r="A49" s="10"/>
      <c r="B49" s="19">
        <v>37963</v>
      </c>
      <c r="C49" s="27" t="s">
        <v>9</v>
      </c>
      <c r="D49" s="31"/>
      <c r="E49" s="34"/>
      <c r="F49" s="34"/>
      <c r="G49" s="34">
        <v>396</v>
      </c>
      <c r="H49" s="34"/>
      <c r="I49" s="34"/>
    </row>
    <row r="50" spans="1:9" x14ac:dyDescent="0.2">
      <c r="A50" s="9"/>
      <c r="B50" s="19">
        <v>37963</v>
      </c>
      <c r="C50" s="74" t="s">
        <v>10</v>
      </c>
      <c r="D50" s="31"/>
      <c r="E50" s="34"/>
      <c r="F50" s="34"/>
      <c r="G50" s="34">
        <v>408</v>
      </c>
      <c r="H50" s="34"/>
      <c r="I50" s="34"/>
    </row>
    <row r="51" spans="1:9" x14ac:dyDescent="0.2">
      <c r="A51" s="8"/>
      <c r="B51" s="19">
        <v>37963</v>
      </c>
      <c r="C51" s="75" t="s">
        <v>11</v>
      </c>
      <c r="D51" s="31"/>
      <c r="E51" s="34"/>
      <c r="F51" s="34"/>
      <c r="G51" s="34">
        <v>426</v>
      </c>
      <c r="H51" s="34"/>
      <c r="I51" s="34"/>
    </row>
    <row r="52" spans="1:9" x14ac:dyDescent="0.2">
      <c r="A52" s="8"/>
      <c r="B52" s="16">
        <v>37963</v>
      </c>
      <c r="C52" s="76" t="s">
        <v>12</v>
      </c>
      <c r="D52" s="31"/>
      <c r="E52" s="34"/>
      <c r="F52" s="34"/>
      <c r="G52" s="34">
        <v>434</v>
      </c>
      <c r="H52" s="34"/>
      <c r="I52" s="34"/>
    </row>
    <row r="53" spans="1:9" x14ac:dyDescent="0.2">
      <c r="A53" s="10">
        <v>2004</v>
      </c>
      <c r="B53" s="16">
        <v>38012</v>
      </c>
      <c r="C53" s="27" t="s">
        <v>9</v>
      </c>
      <c r="D53" s="31"/>
      <c r="E53" s="34"/>
      <c r="F53" s="34"/>
      <c r="G53" s="34">
        <v>429</v>
      </c>
      <c r="H53" s="34"/>
      <c r="I53" s="34"/>
    </row>
    <row r="54" spans="1:9" x14ac:dyDescent="0.2">
      <c r="A54" s="9"/>
      <c r="B54" s="16">
        <v>38012</v>
      </c>
      <c r="C54" s="74" t="s">
        <v>10</v>
      </c>
      <c r="D54" s="31"/>
      <c r="E54" s="34"/>
      <c r="F54" s="34"/>
      <c r="G54" s="34">
        <v>454</v>
      </c>
      <c r="H54" s="34"/>
      <c r="I54" s="34"/>
    </row>
    <row r="55" spans="1:9" x14ac:dyDescent="0.2">
      <c r="A55" s="8"/>
      <c r="B55" s="16">
        <v>38012</v>
      </c>
      <c r="C55" s="75" t="s">
        <v>11</v>
      </c>
      <c r="D55" s="31"/>
      <c r="E55" s="34"/>
      <c r="F55" s="34"/>
      <c r="G55" s="34">
        <v>452</v>
      </c>
      <c r="H55" s="34"/>
      <c r="I55" s="34"/>
    </row>
    <row r="56" spans="1:9" x14ac:dyDescent="0.2">
      <c r="A56" s="8"/>
      <c r="B56" s="16">
        <v>38012</v>
      </c>
      <c r="C56" s="76" t="s">
        <v>12</v>
      </c>
      <c r="D56" s="31"/>
      <c r="E56" s="34"/>
      <c r="F56" s="34"/>
      <c r="G56" s="34">
        <v>460</v>
      </c>
      <c r="H56" s="34"/>
      <c r="I56" s="34"/>
    </row>
    <row r="57" spans="1:9" x14ac:dyDescent="0.2">
      <c r="A57" s="10"/>
      <c r="B57" s="16">
        <v>38033</v>
      </c>
      <c r="C57" s="27" t="s">
        <v>9</v>
      </c>
      <c r="D57" s="31"/>
      <c r="E57" s="34"/>
      <c r="F57" s="34"/>
      <c r="G57" s="34">
        <v>432</v>
      </c>
      <c r="H57" s="34"/>
      <c r="I57" s="34"/>
    </row>
    <row r="58" spans="1:9" x14ac:dyDescent="0.2">
      <c r="A58" s="9"/>
      <c r="B58" s="19">
        <v>38033</v>
      </c>
      <c r="C58" s="74" t="s">
        <v>10</v>
      </c>
      <c r="D58" s="31"/>
      <c r="E58" s="34"/>
      <c r="F58" s="34"/>
      <c r="G58" s="34">
        <v>468</v>
      </c>
      <c r="H58" s="34"/>
      <c r="I58" s="34"/>
    </row>
    <row r="59" spans="1:9" x14ac:dyDescent="0.2">
      <c r="A59" s="8"/>
      <c r="B59" s="19">
        <v>38033</v>
      </c>
      <c r="C59" s="75" t="s">
        <v>11</v>
      </c>
      <c r="D59" s="31"/>
      <c r="E59" s="34"/>
      <c r="F59" s="34"/>
      <c r="G59" s="34">
        <v>399</v>
      </c>
      <c r="H59" s="34"/>
      <c r="I59" s="34"/>
    </row>
    <row r="60" spans="1:9" x14ac:dyDescent="0.2">
      <c r="A60" s="8"/>
      <c r="B60" s="19">
        <v>38033</v>
      </c>
      <c r="C60" s="76" t="s">
        <v>12</v>
      </c>
      <c r="D60" s="31"/>
      <c r="E60" s="34"/>
      <c r="F60" s="34"/>
      <c r="G60" s="34">
        <v>478</v>
      </c>
      <c r="H60" s="34"/>
      <c r="I60" s="34"/>
    </row>
    <row r="61" spans="1:9" x14ac:dyDescent="0.2">
      <c r="A61" s="10"/>
      <c r="B61" s="19">
        <v>38271</v>
      </c>
      <c r="C61" s="27" t="s">
        <v>9</v>
      </c>
      <c r="D61" s="31"/>
      <c r="E61" s="34"/>
      <c r="F61" s="34">
        <v>0</v>
      </c>
      <c r="G61" s="34">
        <v>411</v>
      </c>
      <c r="H61" s="34"/>
      <c r="I61" s="34"/>
    </row>
    <row r="62" spans="1:9" x14ac:dyDescent="0.2">
      <c r="A62" s="9"/>
      <c r="B62" s="19">
        <v>38271</v>
      </c>
      <c r="C62" s="74" t="s">
        <v>10</v>
      </c>
      <c r="D62" s="31"/>
      <c r="E62" s="34"/>
      <c r="F62" s="34">
        <v>0</v>
      </c>
      <c r="G62" s="34">
        <v>420</v>
      </c>
      <c r="H62" s="34"/>
      <c r="I62" s="34"/>
    </row>
    <row r="63" spans="1:9" x14ac:dyDescent="0.2">
      <c r="A63" s="8"/>
      <c r="B63" s="19">
        <v>38271</v>
      </c>
      <c r="C63" s="75" t="s">
        <v>11</v>
      </c>
      <c r="D63" s="31"/>
      <c r="E63" s="34"/>
      <c r="F63" s="34">
        <v>0</v>
      </c>
      <c r="G63" s="34">
        <v>428</v>
      </c>
      <c r="H63" s="34"/>
      <c r="I63" s="34"/>
    </row>
    <row r="64" spans="1:9" x14ac:dyDescent="0.2">
      <c r="A64" s="8"/>
      <c r="B64" s="19">
        <v>38271</v>
      </c>
      <c r="C64" s="76" t="s">
        <v>12</v>
      </c>
      <c r="D64" s="31"/>
      <c r="E64" s="34"/>
      <c r="F64" s="34">
        <v>33</v>
      </c>
      <c r="G64" s="34">
        <v>461</v>
      </c>
      <c r="H64" s="34"/>
      <c r="I64" s="34"/>
    </row>
    <row r="65" spans="1:9" x14ac:dyDescent="0.2">
      <c r="A65" s="10">
        <v>2005</v>
      </c>
      <c r="B65" s="19">
        <v>38474</v>
      </c>
      <c r="C65" s="27" t="s">
        <v>9</v>
      </c>
      <c r="D65" s="34"/>
      <c r="E65" s="34"/>
      <c r="F65" s="34"/>
      <c r="G65" s="34">
        <v>461</v>
      </c>
      <c r="H65" s="34"/>
      <c r="I65" s="34"/>
    </row>
    <row r="66" spans="1:9" x14ac:dyDescent="0.2">
      <c r="A66" s="9"/>
      <c r="B66" s="19">
        <v>38474</v>
      </c>
      <c r="C66" s="74" t="s">
        <v>10</v>
      </c>
      <c r="D66" s="34"/>
      <c r="E66" s="34"/>
      <c r="F66" s="34"/>
      <c r="G66" s="34">
        <v>481</v>
      </c>
      <c r="H66" s="34"/>
      <c r="I66" s="34"/>
    </row>
    <row r="67" spans="1:9" x14ac:dyDescent="0.2">
      <c r="A67" s="8"/>
      <c r="B67" s="19">
        <v>38474</v>
      </c>
      <c r="C67" s="75" t="s">
        <v>11</v>
      </c>
      <c r="D67" s="31"/>
      <c r="E67" s="34"/>
      <c r="F67" s="34"/>
      <c r="G67" s="34">
        <v>497</v>
      </c>
      <c r="H67" s="34"/>
      <c r="I67" s="34"/>
    </row>
    <row r="68" spans="1:9" x14ac:dyDescent="0.2">
      <c r="A68" s="8"/>
      <c r="B68" s="19">
        <v>38474</v>
      </c>
      <c r="C68" s="76" t="s">
        <v>12</v>
      </c>
      <c r="D68" s="31"/>
      <c r="E68" s="34"/>
      <c r="F68" s="34"/>
      <c r="G68" s="34">
        <v>593</v>
      </c>
      <c r="H68" s="34"/>
      <c r="I68" s="34"/>
    </row>
    <row r="69" spans="1:9" x14ac:dyDescent="0.2">
      <c r="A69" s="8">
        <v>2006</v>
      </c>
      <c r="B69" s="19">
        <v>38896</v>
      </c>
      <c r="C69" s="27" t="s">
        <v>9</v>
      </c>
      <c r="D69" s="34"/>
      <c r="E69" s="34"/>
      <c r="F69" s="34">
        <v>0</v>
      </c>
      <c r="G69" s="34">
        <v>349</v>
      </c>
      <c r="H69" s="34"/>
      <c r="I69" s="34"/>
    </row>
    <row r="70" spans="1:9" x14ac:dyDescent="0.2">
      <c r="A70" s="9"/>
      <c r="B70" s="19">
        <v>38896</v>
      </c>
      <c r="C70" s="74" t="s">
        <v>10</v>
      </c>
      <c r="D70" s="34"/>
      <c r="E70" s="34"/>
      <c r="F70" s="34">
        <v>1</v>
      </c>
      <c r="G70" s="34">
        <v>358</v>
      </c>
      <c r="H70" s="34"/>
      <c r="I70" s="34"/>
    </row>
    <row r="71" spans="1:9" x14ac:dyDescent="0.2">
      <c r="A71" s="8"/>
      <c r="B71" s="19">
        <v>38896</v>
      </c>
      <c r="C71" s="75" t="s">
        <v>11</v>
      </c>
      <c r="D71" s="34"/>
      <c r="E71" s="34"/>
      <c r="F71" s="34">
        <v>1</v>
      </c>
      <c r="G71" s="34">
        <v>359</v>
      </c>
      <c r="H71" s="34"/>
      <c r="I71" s="34"/>
    </row>
    <row r="72" spans="1:9" x14ac:dyDescent="0.2">
      <c r="A72" s="8"/>
      <c r="B72" s="19">
        <v>38896</v>
      </c>
      <c r="C72" s="76" t="s">
        <v>12</v>
      </c>
      <c r="D72" s="34"/>
      <c r="E72" s="34"/>
      <c r="F72" s="34">
        <v>4</v>
      </c>
      <c r="G72" s="34">
        <v>405</v>
      </c>
      <c r="H72" s="34"/>
      <c r="I72" s="34"/>
    </row>
    <row r="73" spans="1:9" x14ac:dyDescent="0.2">
      <c r="A73" s="8"/>
      <c r="B73" s="19">
        <v>38896</v>
      </c>
      <c r="C73" s="77" t="s">
        <v>13</v>
      </c>
      <c r="D73" s="34"/>
      <c r="E73" s="34"/>
      <c r="F73" s="34"/>
      <c r="G73" s="34"/>
      <c r="H73" s="34"/>
      <c r="I73" s="34"/>
    </row>
    <row r="74" spans="1:9" x14ac:dyDescent="0.2">
      <c r="A74" s="8"/>
      <c r="B74" s="19">
        <v>38896</v>
      </c>
      <c r="C74" s="78" t="s">
        <v>14</v>
      </c>
      <c r="D74" s="34"/>
      <c r="E74" s="34"/>
      <c r="F74" s="34"/>
      <c r="G74" s="34"/>
      <c r="H74" s="34"/>
      <c r="I74" s="34"/>
    </row>
    <row r="75" spans="1:9" x14ac:dyDescent="0.2">
      <c r="A75" s="10">
        <v>2011</v>
      </c>
      <c r="B75" s="23">
        <v>40625</v>
      </c>
      <c r="C75" s="27" t="s">
        <v>9</v>
      </c>
      <c r="D75" s="34"/>
      <c r="E75" s="34"/>
      <c r="F75" s="34">
        <v>38</v>
      </c>
      <c r="G75" s="34">
        <v>320</v>
      </c>
      <c r="H75" s="34"/>
      <c r="I75" s="34"/>
    </row>
    <row r="76" spans="1:9" x14ac:dyDescent="0.2">
      <c r="A76" s="9"/>
      <c r="B76" s="21">
        <v>40625</v>
      </c>
      <c r="C76" s="74" t="s">
        <v>10</v>
      </c>
      <c r="D76" s="34"/>
      <c r="E76" s="34"/>
      <c r="F76" s="34">
        <v>22</v>
      </c>
      <c r="G76" s="34">
        <v>328</v>
      </c>
      <c r="H76" s="34"/>
      <c r="I76" s="34"/>
    </row>
    <row r="77" spans="1:9" x14ac:dyDescent="0.2">
      <c r="A77" s="8"/>
      <c r="B77" s="21">
        <v>40625</v>
      </c>
      <c r="C77" s="75" t="s">
        <v>11</v>
      </c>
      <c r="D77" s="34"/>
      <c r="E77" s="34"/>
      <c r="F77" s="34">
        <v>28</v>
      </c>
      <c r="G77" s="34">
        <v>337</v>
      </c>
      <c r="H77" s="34"/>
      <c r="I77" s="34"/>
    </row>
    <row r="78" spans="1:9" x14ac:dyDescent="0.2">
      <c r="A78" s="8"/>
      <c r="B78" s="21">
        <v>40625</v>
      </c>
      <c r="C78" s="76" t="s">
        <v>12</v>
      </c>
      <c r="D78" s="34"/>
      <c r="E78" s="34"/>
      <c r="F78" s="34">
        <v>193</v>
      </c>
      <c r="G78" s="34">
        <v>513</v>
      </c>
      <c r="H78" s="34"/>
      <c r="I78" s="34"/>
    </row>
    <row r="79" spans="1:9" x14ac:dyDescent="0.2">
      <c r="A79" s="8"/>
      <c r="B79" s="21">
        <v>40625</v>
      </c>
      <c r="C79" s="77" t="s">
        <v>13</v>
      </c>
      <c r="D79" s="34"/>
      <c r="E79" s="34"/>
      <c r="F79" s="34">
        <v>37</v>
      </c>
      <c r="G79" s="34">
        <v>342</v>
      </c>
      <c r="H79" s="34"/>
      <c r="I79" s="34"/>
    </row>
    <row r="80" spans="1:9" x14ac:dyDescent="0.2">
      <c r="A80" s="8"/>
      <c r="B80" s="21">
        <v>40625</v>
      </c>
      <c r="C80" s="78" t="s">
        <v>14</v>
      </c>
      <c r="D80" s="34"/>
      <c r="E80" s="34"/>
      <c r="F80" s="34">
        <v>37</v>
      </c>
      <c r="G80" s="34">
        <v>455</v>
      </c>
      <c r="H80" s="34"/>
      <c r="I80" s="34"/>
    </row>
    <row r="81" spans="1:9" x14ac:dyDescent="0.2">
      <c r="A81" s="10"/>
      <c r="B81" s="21">
        <v>40716</v>
      </c>
      <c r="C81" s="27" t="s">
        <v>9</v>
      </c>
      <c r="D81" s="34"/>
      <c r="E81" s="34"/>
      <c r="F81" s="34"/>
      <c r="G81" s="34"/>
      <c r="H81" s="34"/>
      <c r="I81" s="34"/>
    </row>
    <row r="82" spans="1:9" x14ac:dyDescent="0.2">
      <c r="A82" s="9"/>
      <c r="B82" s="22">
        <v>40716</v>
      </c>
      <c r="C82" s="74" t="s">
        <v>10</v>
      </c>
      <c r="D82" s="34"/>
      <c r="E82" s="34"/>
      <c r="F82" s="34"/>
      <c r="G82" s="34"/>
      <c r="H82" s="34"/>
      <c r="I82" s="34"/>
    </row>
    <row r="83" spans="1:9" x14ac:dyDescent="0.2">
      <c r="A83" s="8"/>
      <c r="B83" s="22">
        <v>40716</v>
      </c>
      <c r="C83" s="75" t="s">
        <v>11</v>
      </c>
      <c r="D83" s="34"/>
      <c r="E83" s="34"/>
      <c r="F83" s="34"/>
      <c r="G83" s="34"/>
      <c r="H83" s="34"/>
      <c r="I83" s="34"/>
    </row>
    <row r="84" spans="1:9" x14ac:dyDescent="0.2">
      <c r="A84" s="8"/>
      <c r="B84" s="22">
        <v>40716</v>
      </c>
      <c r="C84" s="76" t="s">
        <v>12</v>
      </c>
      <c r="D84" s="34"/>
      <c r="E84" s="34"/>
      <c r="F84" s="34"/>
      <c r="G84" s="34"/>
      <c r="H84" s="34"/>
      <c r="I84" s="34"/>
    </row>
    <row r="85" spans="1:9" x14ac:dyDescent="0.2">
      <c r="A85" s="8"/>
      <c r="B85" s="22">
        <v>40716</v>
      </c>
      <c r="C85" s="77" t="s">
        <v>13</v>
      </c>
      <c r="D85" s="34"/>
      <c r="E85" s="34"/>
      <c r="F85" s="34"/>
      <c r="G85" s="34"/>
      <c r="H85" s="34"/>
      <c r="I85" s="34"/>
    </row>
    <row r="86" spans="1:9" x14ac:dyDescent="0.2">
      <c r="A86" s="8"/>
      <c r="B86" s="22">
        <v>40716</v>
      </c>
      <c r="C86" s="78" t="s">
        <v>14</v>
      </c>
      <c r="D86" s="34"/>
      <c r="E86" s="34"/>
      <c r="F86" s="34"/>
      <c r="G86" s="34"/>
      <c r="H86" s="34"/>
      <c r="I86" s="34"/>
    </row>
    <row r="87" spans="1:9" x14ac:dyDescent="0.2">
      <c r="A87" s="10"/>
      <c r="B87" s="22">
        <v>40821</v>
      </c>
      <c r="C87" s="27" t="s">
        <v>9</v>
      </c>
      <c r="D87" s="34"/>
      <c r="E87" s="34"/>
      <c r="F87" s="34">
        <v>105</v>
      </c>
      <c r="G87" s="34">
        <v>366</v>
      </c>
      <c r="H87" s="34"/>
      <c r="I87" s="34"/>
    </row>
    <row r="88" spans="1:9" x14ac:dyDescent="0.2">
      <c r="A88" s="9"/>
      <c r="B88" s="21">
        <v>40821</v>
      </c>
      <c r="C88" s="74" t="s">
        <v>10</v>
      </c>
      <c r="D88" s="34"/>
      <c r="E88" s="34"/>
      <c r="F88" s="34">
        <v>116</v>
      </c>
      <c r="G88" s="34">
        <v>412</v>
      </c>
      <c r="H88" s="34"/>
      <c r="I88" s="34"/>
    </row>
    <row r="89" spans="1:9" x14ac:dyDescent="0.2">
      <c r="A89" s="8"/>
      <c r="B89" s="21">
        <v>40821</v>
      </c>
      <c r="C89" s="75" t="s">
        <v>11</v>
      </c>
      <c r="D89" s="34"/>
      <c r="E89" s="34"/>
      <c r="F89" s="34">
        <v>101</v>
      </c>
      <c r="G89" s="34">
        <v>430</v>
      </c>
      <c r="H89" s="34"/>
      <c r="I89" s="34"/>
    </row>
    <row r="90" spans="1:9" x14ac:dyDescent="0.2">
      <c r="A90" s="8"/>
      <c r="B90" s="21">
        <v>40821</v>
      </c>
      <c r="C90" s="76" t="s">
        <v>12</v>
      </c>
      <c r="D90" s="34"/>
      <c r="E90" s="34"/>
      <c r="F90" s="34">
        <v>143</v>
      </c>
      <c r="G90" s="34">
        <v>438</v>
      </c>
      <c r="H90" s="34"/>
      <c r="I90" s="34"/>
    </row>
    <row r="91" spans="1:9" x14ac:dyDescent="0.2">
      <c r="A91" s="8"/>
      <c r="B91" s="21">
        <v>40821</v>
      </c>
      <c r="C91" s="77" t="s">
        <v>13</v>
      </c>
      <c r="D91" s="34"/>
      <c r="E91" s="34"/>
      <c r="F91" s="34">
        <v>103</v>
      </c>
      <c r="G91" s="34">
        <v>399</v>
      </c>
      <c r="H91" s="34"/>
      <c r="I91" s="34"/>
    </row>
    <row r="92" spans="1:9" x14ac:dyDescent="0.2">
      <c r="A92" s="8"/>
      <c r="B92" s="21">
        <v>40821</v>
      </c>
      <c r="C92" s="78" t="s">
        <v>14</v>
      </c>
      <c r="D92" s="34"/>
      <c r="E92" s="34"/>
      <c r="F92" s="34">
        <v>9</v>
      </c>
      <c r="G92" s="34">
        <v>367</v>
      </c>
      <c r="H92" s="34"/>
      <c r="I92" s="34"/>
    </row>
    <row r="93" spans="1:9" x14ac:dyDescent="0.2">
      <c r="A93" s="10"/>
      <c r="B93" s="21">
        <v>40897</v>
      </c>
      <c r="C93" s="27" t="s">
        <v>9</v>
      </c>
      <c r="D93" s="34"/>
      <c r="E93" s="34"/>
      <c r="F93" s="52"/>
      <c r="G93" s="34"/>
      <c r="H93" s="34"/>
      <c r="I93" s="34"/>
    </row>
    <row r="94" spans="1:9" x14ac:dyDescent="0.2">
      <c r="A94" s="9"/>
      <c r="B94" s="21">
        <v>40897</v>
      </c>
      <c r="C94" s="74" t="s">
        <v>10</v>
      </c>
      <c r="D94" s="34"/>
      <c r="E94" s="34"/>
      <c r="F94" s="52"/>
      <c r="G94" s="34"/>
      <c r="H94" s="34"/>
      <c r="I94" s="34"/>
    </row>
    <row r="95" spans="1:9" x14ac:dyDescent="0.2">
      <c r="A95" s="8"/>
      <c r="B95" s="21">
        <v>40897</v>
      </c>
      <c r="C95" s="75" t="s">
        <v>11</v>
      </c>
      <c r="D95" s="34"/>
      <c r="E95" s="34"/>
      <c r="F95" s="34"/>
      <c r="G95" s="34"/>
      <c r="H95" s="34"/>
      <c r="I95" s="34"/>
    </row>
    <row r="96" spans="1:9" x14ac:dyDescent="0.2">
      <c r="A96" s="8"/>
      <c r="B96" s="21">
        <v>40897</v>
      </c>
      <c r="C96" s="76" t="s">
        <v>12</v>
      </c>
      <c r="D96" s="34"/>
      <c r="E96" s="34"/>
      <c r="F96" s="34"/>
      <c r="G96" s="34"/>
      <c r="H96" s="34"/>
      <c r="I96" s="34"/>
    </row>
    <row r="97" spans="1:9" x14ac:dyDescent="0.2">
      <c r="A97" s="8"/>
      <c r="B97" s="21">
        <v>40897</v>
      </c>
      <c r="C97" s="77" t="s">
        <v>13</v>
      </c>
      <c r="D97" s="34"/>
      <c r="E97" s="34"/>
      <c r="F97" s="34"/>
      <c r="G97" s="34"/>
      <c r="H97" s="34"/>
      <c r="I97" s="34"/>
    </row>
    <row r="98" spans="1:9" x14ac:dyDescent="0.2">
      <c r="A98" s="8"/>
      <c r="B98" s="21">
        <v>40897</v>
      </c>
      <c r="C98" s="78" t="s">
        <v>14</v>
      </c>
      <c r="D98" s="34"/>
      <c r="E98" s="34"/>
      <c r="F98" s="34"/>
      <c r="G98" s="34"/>
      <c r="H98" s="34"/>
      <c r="I98" s="34"/>
    </row>
    <row r="99" spans="1:9" x14ac:dyDescent="0.2">
      <c r="A99" s="10">
        <v>2012</v>
      </c>
      <c r="B99" s="21">
        <v>41008</v>
      </c>
      <c r="C99" s="27" t="s">
        <v>9</v>
      </c>
      <c r="D99" s="34"/>
      <c r="E99" s="34"/>
      <c r="F99" s="34">
        <v>13</v>
      </c>
      <c r="G99" s="34">
        <v>255</v>
      </c>
      <c r="H99" s="34"/>
      <c r="I99" s="34"/>
    </row>
    <row r="100" spans="1:9" x14ac:dyDescent="0.2">
      <c r="A100" s="9"/>
      <c r="B100" s="21">
        <v>41008</v>
      </c>
      <c r="C100" s="74" t="s">
        <v>10</v>
      </c>
      <c r="D100" s="34"/>
      <c r="E100" s="34"/>
      <c r="F100" s="34">
        <v>153</v>
      </c>
      <c r="G100" s="34">
        <v>367</v>
      </c>
      <c r="H100" s="34"/>
      <c r="I100" s="34"/>
    </row>
    <row r="101" spans="1:9" x14ac:dyDescent="0.2">
      <c r="A101" s="8"/>
      <c r="B101" s="21">
        <v>41008</v>
      </c>
      <c r="C101" s="75" t="s">
        <v>11</v>
      </c>
      <c r="D101" s="34"/>
      <c r="E101" s="34"/>
      <c r="F101" s="34">
        <v>2320</v>
      </c>
      <c r="G101" s="34">
        <v>2968</v>
      </c>
      <c r="H101" s="34"/>
      <c r="I101" s="34"/>
    </row>
    <row r="102" spans="1:9" x14ac:dyDescent="0.2">
      <c r="A102" s="8"/>
      <c r="B102" s="21">
        <v>41008</v>
      </c>
      <c r="C102" s="76" t="s">
        <v>12</v>
      </c>
      <c r="D102" s="34"/>
      <c r="E102" s="34"/>
      <c r="F102" s="34">
        <v>180</v>
      </c>
      <c r="G102" s="34">
        <v>458</v>
      </c>
      <c r="H102" s="34"/>
      <c r="I102" s="34"/>
    </row>
    <row r="103" spans="1:9" x14ac:dyDescent="0.2">
      <c r="A103" s="8"/>
      <c r="B103" s="21">
        <v>41008</v>
      </c>
      <c r="C103" s="77" t="s">
        <v>13</v>
      </c>
      <c r="D103" s="34"/>
      <c r="E103" s="34"/>
      <c r="F103" s="34">
        <v>170</v>
      </c>
      <c r="G103" s="34">
        <v>398</v>
      </c>
      <c r="H103" s="34"/>
      <c r="I103" s="34"/>
    </row>
    <row r="104" spans="1:9" x14ac:dyDescent="0.2">
      <c r="A104" s="8"/>
      <c r="B104" s="21">
        <v>41008</v>
      </c>
      <c r="C104" s="78" t="s">
        <v>14</v>
      </c>
      <c r="D104" s="34"/>
      <c r="E104" s="34"/>
      <c r="F104" s="34">
        <v>9</v>
      </c>
      <c r="G104" s="34">
        <v>403</v>
      </c>
      <c r="H104" s="34"/>
      <c r="I104" s="34"/>
    </row>
    <row r="105" spans="1:9" x14ac:dyDescent="0.2">
      <c r="A105" s="10"/>
      <c r="B105" s="21">
        <v>41086</v>
      </c>
      <c r="C105" s="27" t="s">
        <v>9</v>
      </c>
      <c r="D105" s="34"/>
      <c r="E105" s="34"/>
      <c r="F105" s="34"/>
      <c r="G105" s="34"/>
      <c r="H105" s="34"/>
      <c r="I105" s="34"/>
    </row>
    <row r="106" spans="1:9" x14ac:dyDescent="0.2">
      <c r="A106" s="9"/>
      <c r="B106" s="21">
        <v>41086</v>
      </c>
      <c r="C106" s="74" t="s">
        <v>10</v>
      </c>
      <c r="D106" s="34"/>
      <c r="E106" s="34"/>
      <c r="F106" s="34"/>
      <c r="G106" s="34"/>
      <c r="H106" s="34"/>
      <c r="I106" s="34"/>
    </row>
    <row r="107" spans="1:9" x14ac:dyDescent="0.2">
      <c r="A107" s="8"/>
      <c r="B107" s="21">
        <v>41086</v>
      </c>
      <c r="C107" s="75" t="s">
        <v>11</v>
      </c>
      <c r="D107" s="34"/>
      <c r="E107" s="34"/>
      <c r="F107" s="34"/>
      <c r="G107" s="34"/>
      <c r="H107" s="34"/>
      <c r="I107" s="34"/>
    </row>
    <row r="108" spans="1:9" x14ac:dyDescent="0.2">
      <c r="A108" s="8"/>
      <c r="B108" s="21">
        <v>41086</v>
      </c>
      <c r="C108" s="76" t="s">
        <v>12</v>
      </c>
      <c r="D108" s="34"/>
      <c r="E108" s="34"/>
      <c r="F108" s="34"/>
      <c r="G108" s="34"/>
      <c r="H108" s="34"/>
      <c r="I108" s="34"/>
    </row>
    <row r="109" spans="1:9" x14ac:dyDescent="0.2">
      <c r="A109" s="8"/>
      <c r="B109" s="21">
        <v>41086</v>
      </c>
      <c r="C109" s="77" t="s">
        <v>13</v>
      </c>
      <c r="D109" s="34"/>
      <c r="E109" s="34"/>
      <c r="F109" s="34"/>
      <c r="G109" s="34"/>
      <c r="H109" s="34"/>
      <c r="I109" s="34"/>
    </row>
    <row r="110" spans="1:9" x14ac:dyDescent="0.2">
      <c r="A110" s="8"/>
      <c r="B110" s="21">
        <v>41086</v>
      </c>
      <c r="C110" s="78" t="s">
        <v>14</v>
      </c>
      <c r="D110" s="34"/>
      <c r="E110" s="34"/>
      <c r="F110" s="34"/>
      <c r="G110" s="34"/>
      <c r="H110" s="34"/>
      <c r="I110" s="34"/>
    </row>
    <row r="111" spans="1:9" x14ac:dyDescent="0.2">
      <c r="A111" s="10"/>
      <c r="B111" s="21">
        <v>41179</v>
      </c>
      <c r="C111" s="27" t="s">
        <v>9</v>
      </c>
      <c r="D111" s="34"/>
      <c r="E111" s="34"/>
      <c r="F111" s="31">
        <v>6.4</v>
      </c>
      <c r="G111" s="34">
        <v>401</v>
      </c>
      <c r="H111" s="34"/>
      <c r="I111" s="34"/>
    </row>
    <row r="112" spans="1:9" x14ac:dyDescent="0.2">
      <c r="A112" s="9"/>
      <c r="B112" s="21">
        <v>41179</v>
      </c>
      <c r="C112" s="74" t="s">
        <v>10</v>
      </c>
      <c r="D112" s="34"/>
      <c r="E112" s="34"/>
      <c r="F112" s="31">
        <v>6.4</v>
      </c>
      <c r="G112" s="34">
        <v>382</v>
      </c>
      <c r="H112" s="34"/>
      <c r="I112" s="34"/>
    </row>
    <row r="113" spans="1:9" x14ac:dyDescent="0.2">
      <c r="A113" s="8"/>
      <c r="B113" s="21">
        <v>41179</v>
      </c>
      <c r="C113" s="75" t="s">
        <v>11</v>
      </c>
      <c r="D113" s="34"/>
      <c r="E113" s="34"/>
      <c r="F113" s="31">
        <v>6.4</v>
      </c>
      <c r="G113" s="34">
        <v>375</v>
      </c>
      <c r="H113" s="34"/>
      <c r="I113" s="34"/>
    </row>
    <row r="114" spans="1:9" x14ac:dyDescent="0.2">
      <c r="A114" s="8"/>
      <c r="B114" s="21">
        <v>41179</v>
      </c>
      <c r="C114" s="76" t="s">
        <v>12</v>
      </c>
      <c r="D114" s="34"/>
      <c r="E114" s="34"/>
      <c r="F114" s="31">
        <v>6.4</v>
      </c>
      <c r="G114" s="34">
        <v>464</v>
      </c>
      <c r="H114" s="34"/>
      <c r="I114" s="34"/>
    </row>
    <row r="115" spans="1:9" x14ac:dyDescent="0.2">
      <c r="A115" s="8"/>
      <c r="B115" s="21">
        <v>41179</v>
      </c>
      <c r="C115" s="77" t="s">
        <v>13</v>
      </c>
      <c r="D115" s="34"/>
      <c r="E115" s="34"/>
      <c r="F115" s="31">
        <v>6.4</v>
      </c>
      <c r="G115" s="34">
        <v>435</v>
      </c>
      <c r="H115" s="34"/>
      <c r="I115" s="34"/>
    </row>
    <row r="116" spans="1:9" x14ac:dyDescent="0.2">
      <c r="A116" s="8"/>
      <c r="B116" s="21">
        <v>41179</v>
      </c>
      <c r="C116" s="78" t="s">
        <v>14</v>
      </c>
      <c r="D116" s="34"/>
      <c r="E116" s="34"/>
      <c r="F116" s="31">
        <v>6.4</v>
      </c>
      <c r="G116" s="34">
        <v>458</v>
      </c>
      <c r="H116" s="34"/>
      <c r="I116" s="34"/>
    </row>
    <row r="117" spans="1:9" x14ac:dyDescent="0.2">
      <c r="A117" s="10"/>
      <c r="B117" s="21">
        <v>41247</v>
      </c>
      <c r="C117" s="27" t="s">
        <v>9</v>
      </c>
      <c r="D117" s="34"/>
      <c r="E117" s="34"/>
      <c r="F117" s="34"/>
      <c r="G117" s="34"/>
      <c r="H117" s="34"/>
      <c r="I117" s="34"/>
    </row>
    <row r="118" spans="1:9" x14ac:dyDescent="0.2">
      <c r="A118" s="9"/>
      <c r="B118" s="21">
        <v>41247</v>
      </c>
      <c r="C118" s="74" t="s">
        <v>10</v>
      </c>
      <c r="D118" s="34"/>
      <c r="E118" s="34"/>
      <c r="F118" s="34"/>
      <c r="G118" s="34"/>
      <c r="H118" s="34"/>
      <c r="I118" s="34"/>
    </row>
    <row r="119" spans="1:9" x14ac:dyDescent="0.2">
      <c r="A119" s="8"/>
      <c r="B119" s="21">
        <v>41247</v>
      </c>
      <c r="C119" s="75" t="s">
        <v>11</v>
      </c>
      <c r="D119" s="34"/>
      <c r="E119" s="34"/>
      <c r="F119" s="34"/>
      <c r="G119" s="34"/>
      <c r="H119" s="34"/>
      <c r="I119" s="34"/>
    </row>
    <row r="120" spans="1:9" x14ac:dyDescent="0.2">
      <c r="A120" s="8"/>
      <c r="B120" s="21">
        <v>41247</v>
      </c>
      <c r="C120" s="76" t="s">
        <v>12</v>
      </c>
      <c r="D120" s="34"/>
      <c r="E120" s="34"/>
      <c r="F120" s="34"/>
      <c r="G120" s="34"/>
      <c r="H120" s="34"/>
      <c r="I120" s="34"/>
    </row>
    <row r="121" spans="1:9" x14ac:dyDescent="0.2">
      <c r="A121" s="8"/>
      <c r="B121" s="21">
        <v>41247</v>
      </c>
      <c r="C121" s="77" t="s">
        <v>13</v>
      </c>
      <c r="D121" s="34"/>
      <c r="E121" s="34"/>
      <c r="F121" s="34"/>
      <c r="G121" s="34"/>
      <c r="H121" s="34"/>
      <c r="I121" s="34"/>
    </row>
    <row r="122" spans="1:9" x14ac:dyDescent="0.2">
      <c r="A122" s="8"/>
      <c r="B122" s="21">
        <v>41247</v>
      </c>
      <c r="C122" s="78" t="s">
        <v>14</v>
      </c>
      <c r="D122" s="34"/>
      <c r="E122" s="34"/>
      <c r="F122" s="34"/>
      <c r="G122" s="34"/>
      <c r="H122" s="34"/>
      <c r="I122" s="34"/>
    </row>
    <row r="123" spans="1:9" x14ac:dyDescent="0.2">
      <c r="A123" s="10">
        <v>2013</v>
      </c>
      <c r="B123" s="21">
        <v>41352</v>
      </c>
      <c r="C123" s="27" t="s">
        <v>9</v>
      </c>
      <c r="D123" s="34"/>
      <c r="E123" s="34"/>
      <c r="F123" s="34">
        <v>128</v>
      </c>
      <c r="G123" s="34">
        <v>439</v>
      </c>
      <c r="H123" s="34"/>
      <c r="I123" s="34"/>
    </row>
    <row r="124" spans="1:9" x14ac:dyDescent="0.2">
      <c r="A124" s="9"/>
      <c r="B124" s="21">
        <v>41352</v>
      </c>
      <c r="C124" s="74" t="s">
        <v>10</v>
      </c>
      <c r="D124" s="34"/>
      <c r="E124" s="34"/>
      <c r="F124" s="34">
        <v>124</v>
      </c>
      <c r="G124" s="34">
        <v>435</v>
      </c>
      <c r="H124" s="34"/>
      <c r="I124" s="34"/>
    </row>
    <row r="125" spans="1:9" x14ac:dyDescent="0.2">
      <c r="A125" s="8"/>
      <c r="B125" s="21">
        <v>41352</v>
      </c>
      <c r="C125" s="75" t="s">
        <v>11</v>
      </c>
      <c r="D125" s="34"/>
      <c r="E125" s="34"/>
      <c r="F125" s="34">
        <v>116</v>
      </c>
      <c r="G125" s="34">
        <v>425</v>
      </c>
      <c r="H125" s="34"/>
      <c r="I125" s="34"/>
    </row>
    <row r="126" spans="1:9" x14ac:dyDescent="0.2">
      <c r="A126" s="8"/>
      <c r="B126" s="21">
        <v>41352</v>
      </c>
      <c r="C126" s="76" t="s">
        <v>12</v>
      </c>
      <c r="D126" s="34"/>
      <c r="E126" s="34"/>
      <c r="F126" s="34">
        <v>155</v>
      </c>
      <c r="G126" s="34">
        <v>479</v>
      </c>
      <c r="H126" s="34"/>
      <c r="I126" s="34"/>
    </row>
    <row r="127" spans="1:9" x14ac:dyDescent="0.2">
      <c r="A127" s="8"/>
      <c r="B127" s="21">
        <v>41352</v>
      </c>
      <c r="C127" s="77" t="s">
        <v>13</v>
      </c>
      <c r="D127" s="34"/>
      <c r="E127" s="34"/>
      <c r="F127" s="34">
        <v>130</v>
      </c>
      <c r="G127" s="34">
        <v>445</v>
      </c>
      <c r="H127" s="34"/>
      <c r="I127" s="34"/>
    </row>
    <row r="128" spans="1:9" x14ac:dyDescent="0.2">
      <c r="A128" s="8"/>
      <c r="B128" s="23">
        <v>41352</v>
      </c>
      <c r="C128" s="78" t="s">
        <v>14</v>
      </c>
      <c r="D128" s="34"/>
      <c r="E128" s="34"/>
      <c r="F128" s="31">
        <v>6.4</v>
      </c>
      <c r="G128" s="34">
        <v>430</v>
      </c>
      <c r="H128" s="34"/>
      <c r="I128" s="34"/>
    </row>
    <row r="129" spans="1:9" x14ac:dyDescent="0.2">
      <c r="A129" s="10"/>
      <c r="B129" s="21">
        <v>41445</v>
      </c>
      <c r="C129" s="27" t="s">
        <v>9</v>
      </c>
      <c r="D129" s="34"/>
      <c r="E129" s="34"/>
      <c r="F129" s="34"/>
      <c r="G129" s="34"/>
      <c r="H129" s="34"/>
      <c r="I129" s="34"/>
    </row>
    <row r="130" spans="1:9" x14ac:dyDescent="0.2">
      <c r="A130" s="9"/>
      <c r="B130" s="23">
        <v>41445</v>
      </c>
      <c r="C130" s="74" t="s">
        <v>10</v>
      </c>
      <c r="D130" s="34"/>
      <c r="E130" s="34"/>
      <c r="F130" s="34"/>
      <c r="G130" s="34"/>
      <c r="H130" s="34"/>
      <c r="I130" s="34"/>
    </row>
    <row r="131" spans="1:9" x14ac:dyDescent="0.2">
      <c r="A131" s="8"/>
      <c r="B131" s="21">
        <v>41445</v>
      </c>
      <c r="C131" s="75" t="s">
        <v>11</v>
      </c>
      <c r="D131" s="34"/>
      <c r="E131" s="34"/>
      <c r="F131" s="34"/>
      <c r="G131" s="34"/>
      <c r="H131" s="34"/>
      <c r="I131" s="34"/>
    </row>
    <row r="132" spans="1:9" x14ac:dyDescent="0.2">
      <c r="A132" s="8"/>
      <c r="B132" s="21">
        <v>41445</v>
      </c>
      <c r="C132" s="76" t="s">
        <v>12</v>
      </c>
      <c r="D132" s="34"/>
      <c r="E132" s="34"/>
      <c r="F132" s="34"/>
      <c r="G132" s="34"/>
      <c r="H132" s="34"/>
      <c r="I132" s="34"/>
    </row>
    <row r="133" spans="1:9" x14ac:dyDescent="0.2">
      <c r="A133" s="8"/>
      <c r="B133" s="21">
        <v>41445</v>
      </c>
      <c r="C133" s="77" t="s">
        <v>13</v>
      </c>
      <c r="D133" s="34"/>
      <c r="E133" s="34"/>
      <c r="F133" s="34"/>
      <c r="G133" s="34"/>
      <c r="H133" s="34"/>
      <c r="I133" s="34"/>
    </row>
    <row r="134" spans="1:9" x14ac:dyDescent="0.2">
      <c r="A134" s="8"/>
      <c r="B134" s="21">
        <v>41445</v>
      </c>
      <c r="C134" s="78" t="s">
        <v>14</v>
      </c>
      <c r="D134" s="34"/>
      <c r="E134" s="34"/>
      <c r="F134" s="34"/>
      <c r="G134" s="34"/>
      <c r="H134" s="34"/>
      <c r="I134" s="34"/>
    </row>
    <row r="135" spans="1:9" x14ac:dyDescent="0.2">
      <c r="A135" s="10"/>
      <c r="B135" s="21">
        <v>41528</v>
      </c>
      <c r="C135" s="27" t="s">
        <v>9</v>
      </c>
      <c r="D135" s="34"/>
      <c r="E135" s="34"/>
      <c r="F135" s="31">
        <v>6</v>
      </c>
      <c r="G135" s="34">
        <v>433</v>
      </c>
      <c r="H135" s="34"/>
      <c r="I135" s="34"/>
    </row>
    <row r="136" spans="1:9" x14ac:dyDescent="0.2">
      <c r="A136" s="9"/>
      <c r="B136" s="23">
        <v>41528</v>
      </c>
      <c r="C136" s="74" t="s">
        <v>10</v>
      </c>
      <c r="D136" s="34"/>
      <c r="E136" s="34"/>
      <c r="F136" s="31">
        <v>6</v>
      </c>
      <c r="G136" s="34">
        <v>418</v>
      </c>
      <c r="H136" s="34"/>
      <c r="I136" s="34"/>
    </row>
    <row r="137" spans="1:9" x14ac:dyDescent="0.2">
      <c r="A137" s="8"/>
      <c r="B137" s="23">
        <v>41528</v>
      </c>
      <c r="C137" s="75" t="s">
        <v>11</v>
      </c>
      <c r="D137" s="34"/>
      <c r="E137" s="34"/>
      <c r="F137" s="31">
        <v>6</v>
      </c>
      <c r="G137" s="34">
        <v>411</v>
      </c>
      <c r="H137" s="34"/>
      <c r="I137" s="34"/>
    </row>
    <row r="138" spans="1:9" x14ac:dyDescent="0.2">
      <c r="A138" s="8"/>
      <c r="B138" s="23">
        <v>41528</v>
      </c>
      <c r="C138" s="76" t="s">
        <v>12</v>
      </c>
      <c r="D138" s="34"/>
      <c r="E138" s="34"/>
      <c r="F138" s="31">
        <v>6</v>
      </c>
      <c r="G138" s="34">
        <v>419</v>
      </c>
      <c r="H138" s="34"/>
      <c r="I138" s="34"/>
    </row>
    <row r="139" spans="1:9" x14ac:dyDescent="0.2">
      <c r="A139" s="8"/>
      <c r="B139" s="23">
        <v>41528</v>
      </c>
      <c r="C139" s="77" t="s">
        <v>13</v>
      </c>
      <c r="D139" s="34"/>
      <c r="E139" s="34"/>
      <c r="F139" s="31">
        <v>6</v>
      </c>
      <c r="G139" s="34">
        <v>420</v>
      </c>
      <c r="H139" s="34"/>
      <c r="I139" s="34"/>
    </row>
    <row r="140" spans="1:9" x14ac:dyDescent="0.2">
      <c r="A140" s="8"/>
      <c r="B140" s="23">
        <v>41528</v>
      </c>
      <c r="C140" s="78" t="s">
        <v>14</v>
      </c>
      <c r="D140" s="34"/>
      <c r="E140" s="34"/>
      <c r="F140" s="31">
        <v>6</v>
      </c>
      <c r="G140" s="34">
        <v>473</v>
      </c>
      <c r="H140" s="34"/>
      <c r="I140" s="34"/>
    </row>
    <row r="141" spans="1:9" x14ac:dyDescent="0.2">
      <c r="A141" s="10">
        <v>2014</v>
      </c>
      <c r="B141" s="23">
        <v>41670</v>
      </c>
      <c r="C141" s="27" t="s">
        <v>9</v>
      </c>
      <c r="D141" s="34"/>
      <c r="E141" s="34"/>
      <c r="F141" s="34"/>
      <c r="G141" s="34"/>
      <c r="H141" s="34"/>
      <c r="I141" s="34"/>
    </row>
    <row r="142" spans="1:9" x14ac:dyDescent="0.2">
      <c r="A142" s="9"/>
      <c r="B142" s="23">
        <v>41670</v>
      </c>
      <c r="C142" s="74" t="s">
        <v>10</v>
      </c>
      <c r="D142" s="34"/>
      <c r="E142" s="34"/>
      <c r="F142" s="34"/>
      <c r="G142" s="34"/>
      <c r="H142" s="34"/>
      <c r="I142" s="34"/>
    </row>
    <row r="143" spans="1:9" x14ac:dyDescent="0.2">
      <c r="A143" s="8"/>
      <c r="B143" s="23">
        <v>41670</v>
      </c>
      <c r="C143" s="75" t="s">
        <v>11</v>
      </c>
      <c r="D143" s="34"/>
      <c r="E143" s="34"/>
      <c r="F143" s="34"/>
      <c r="G143" s="34"/>
      <c r="H143" s="34"/>
      <c r="I143" s="34"/>
    </row>
    <row r="144" spans="1:9" x14ac:dyDescent="0.2">
      <c r="A144" s="8"/>
      <c r="B144" s="23">
        <v>41670</v>
      </c>
      <c r="C144" s="76" t="s">
        <v>12</v>
      </c>
      <c r="D144" s="34"/>
      <c r="E144" s="34"/>
      <c r="F144" s="34"/>
      <c r="G144" s="34"/>
      <c r="H144" s="34"/>
      <c r="I144" s="34"/>
    </row>
    <row r="145" spans="1:9" x14ac:dyDescent="0.2">
      <c r="A145" s="8"/>
      <c r="B145" s="23">
        <v>41670</v>
      </c>
      <c r="C145" s="77" t="s">
        <v>13</v>
      </c>
      <c r="D145" s="34"/>
      <c r="E145" s="34"/>
      <c r="F145" s="34"/>
      <c r="G145" s="34"/>
      <c r="H145" s="34"/>
      <c r="I145" s="34"/>
    </row>
    <row r="146" spans="1:9" x14ac:dyDescent="0.2">
      <c r="A146" s="8"/>
      <c r="B146" s="23">
        <v>41670</v>
      </c>
      <c r="C146" s="78" t="s">
        <v>14</v>
      </c>
      <c r="D146" s="34"/>
      <c r="E146" s="34"/>
      <c r="F146" s="34"/>
      <c r="G146" s="34"/>
      <c r="H146" s="34"/>
      <c r="I146" s="34"/>
    </row>
    <row r="147" spans="1:9" x14ac:dyDescent="0.2">
      <c r="A147" s="10"/>
      <c r="B147" s="23">
        <v>41758</v>
      </c>
      <c r="C147" s="27" t="s">
        <v>9</v>
      </c>
      <c r="D147" s="37"/>
      <c r="E147" s="37"/>
      <c r="F147" s="37">
        <v>15</v>
      </c>
      <c r="G147" s="37">
        <v>280</v>
      </c>
      <c r="H147" s="37"/>
      <c r="I147" s="34"/>
    </row>
    <row r="148" spans="1:9" x14ac:dyDescent="0.2">
      <c r="A148" s="9"/>
      <c r="B148" s="23">
        <v>41758</v>
      </c>
      <c r="C148" s="74" t="s">
        <v>10</v>
      </c>
      <c r="D148" s="37"/>
      <c r="E148" s="37"/>
      <c r="F148" s="37">
        <v>22</v>
      </c>
      <c r="G148" s="37">
        <v>328</v>
      </c>
      <c r="H148" s="37"/>
      <c r="I148" s="34"/>
    </row>
    <row r="149" spans="1:9" x14ac:dyDescent="0.2">
      <c r="A149" s="8"/>
      <c r="B149" s="23">
        <v>41758</v>
      </c>
      <c r="C149" s="75" t="s">
        <v>11</v>
      </c>
      <c r="D149" s="37"/>
      <c r="E149" s="37"/>
      <c r="F149" s="37">
        <v>28</v>
      </c>
      <c r="G149" s="37">
        <v>347</v>
      </c>
      <c r="H149" s="37"/>
      <c r="I149" s="34"/>
    </row>
    <row r="150" spans="1:9" x14ac:dyDescent="0.2">
      <c r="A150" s="8"/>
      <c r="B150" s="23">
        <v>41758</v>
      </c>
      <c r="C150" s="76" t="s">
        <v>12</v>
      </c>
      <c r="D150" s="37"/>
      <c r="E150" s="37"/>
      <c r="F150" s="37">
        <v>134</v>
      </c>
      <c r="G150" s="37">
        <v>497</v>
      </c>
      <c r="H150" s="37"/>
      <c r="I150" s="34"/>
    </row>
    <row r="151" spans="1:9" x14ac:dyDescent="0.2">
      <c r="A151" s="8"/>
      <c r="B151" s="23">
        <v>41758</v>
      </c>
      <c r="C151" s="77" t="s">
        <v>13</v>
      </c>
      <c r="D151" s="37"/>
      <c r="E151" s="37"/>
      <c r="F151" s="37">
        <v>48</v>
      </c>
      <c r="G151" s="37">
        <v>390</v>
      </c>
      <c r="H151" s="37"/>
      <c r="I151" s="34"/>
    </row>
    <row r="152" spans="1:9" x14ac:dyDescent="0.2">
      <c r="A152" s="8"/>
      <c r="B152" s="23">
        <v>41758</v>
      </c>
      <c r="C152" s="78" t="s">
        <v>14</v>
      </c>
      <c r="D152" s="37"/>
      <c r="E152" s="37"/>
      <c r="F152" s="37">
        <v>47</v>
      </c>
      <c r="G152" s="37">
        <v>513</v>
      </c>
      <c r="H152" s="37"/>
      <c r="I152" s="34"/>
    </row>
    <row r="153" spans="1:9" x14ac:dyDescent="0.2">
      <c r="A153" s="10"/>
      <c r="B153" s="23">
        <v>41835</v>
      </c>
      <c r="C153" s="27" t="s">
        <v>9</v>
      </c>
      <c r="D153" s="37"/>
      <c r="E153" s="37"/>
      <c r="F153" s="37"/>
      <c r="G153" s="37"/>
      <c r="H153" s="37"/>
      <c r="I153" s="34"/>
    </row>
    <row r="154" spans="1:9" x14ac:dyDescent="0.2">
      <c r="A154" s="9"/>
      <c r="B154" s="23">
        <v>41835</v>
      </c>
      <c r="C154" s="74" t="s">
        <v>10</v>
      </c>
      <c r="D154" s="37"/>
      <c r="E154" s="37"/>
      <c r="F154" s="37"/>
      <c r="G154" s="37"/>
      <c r="H154" s="37"/>
      <c r="I154" s="34"/>
    </row>
    <row r="155" spans="1:9" x14ac:dyDescent="0.2">
      <c r="A155" s="8"/>
      <c r="B155" s="23">
        <v>41835</v>
      </c>
      <c r="C155" s="75" t="s">
        <v>11</v>
      </c>
      <c r="D155" s="37"/>
      <c r="E155" s="37"/>
      <c r="F155" s="37"/>
      <c r="G155" s="37"/>
      <c r="H155" s="37"/>
      <c r="I155" s="34"/>
    </row>
    <row r="156" spans="1:9" x14ac:dyDescent="0.2">
      <c r="A156" s="8"/>
      <c r="B156" s="23">
        <v>41835</v>
      </c>
      <c r="C156" s="76" t="s">
        <v>12</v>
      </c>
      <c r="D156" s="37"/>
      <c r="E156" s="37"/>
      <c r="F156" s="37"/>
      <c r="G156" s="37"/>
      <c r="H156" s="37"/>
      <c r="I156" s="34"/>
    </row>
    <row r="157" spans="1:9" x14ac:dyDescent="0.2">
      <c r="A157" s="8"/>
      <c r="B157" s="23">
        <v>41835</v>
      </c>
      <c r="C157" s="77" t="s">
        <v>13</v>
      </c>
      <c r="D157" s="37"/>
      <c r="E157" s="37"/>
      <c r="F157" s="37"/>
      <c r="G157" s="37"/>
      <c r="H157" s="37"/>
      <c r="I157" s="34"/>
    </row>
    <row r="158" spans="1:9" x14ac:dyDescent="0.2">
      <c r="A158" s="8"/>
      <c r="B158" s="23">
        <v>41835</v>
      </c>
      <c r="C158" s="78" t="s">
        <v>14</v>
      </c>
      <c r="D158" s="37"/>
      <c r="E158" s="37"/>
      <c r="F158" s="37"/>
      <c r="G158" s="37"/>
      <c r="H158" s="37"/>
      <c r="I158" s="34"/>
    </row>
    <row r="159" spans="1:9" x14ac:dyDescent="0.2">
      <c r="A159" s="10">
        <v>2015</v>
      </c>
      <c r="B159" s="23">
        <v>42031</v>
      </c>
      <c r="C159" s="27" t="s">
        <v>9</v>
      </c>
      <c r="D159" s="37"/>
      <c r="E159" s="37"/>
      <c r="F159" s="37"/>
      <c r="G159" s="37"/>
      <c r="H159" s="37"/>
      <c r="I159" s="34"/>
    </row>
    <row r="160" spans="1:9" x14ac:dyDescent="0.2">
      <c r="A160" s="9"/>
      <c r="B160" s="23">
        <v>42031</v>
      </c>
      <c r="C160" s="74" t="s">
        <v>10</v>
      </c>
      <c r="D160" s="37"/>
      <c r="E160" s="37"/>
      <c r="F160" s="37"/>
      <c r="G160" s="37"/>
      <c r="H160" s="37"/>
      <c r="I160" s="34"/>
    </row>
    <row r="161" spans="1:9" x14ac:dyDescent="0.2">
      <c r="A161" s="8"/>
      <c r="B161" s="23">
        <v>42031</v>
      </c>
      <c r="C161" s="75" t="s">
        <v>11</v>
      </c>
      <c r="D161" s="37"/>
      <c r="E161" s="37"/>
      <c r="F161" s="37"/>
      <c r="G161" s="37"/>
      <c r="H161" s="37"/>
      <c r="I161" s="34"/>
    </row>
    <row r="162" spans="1:9" x14ac:dyDescent="0.2">
      <c r="A162" s="8"/>
      <c r="B162" s="23">
        <v>42031</v>
      </c>
      <c r="C162" s="76" t="s">
        <v>12</v>
      </c>
      <c r="D162" s="37"/>
      <c r="E162" s="37"/>
      <c r="F162" s="37"/>
      <c r="G162" s="37"/>
      <c r="H162" s="37"/>
      <c r="I162" s="34"/>
    </row>
    <row r="163" spans="1:9" x14ac:dyDescent="0.2">
      <c r="A163" s="8"/>
      <c r="B163" s="23">
        <v>42031</v>
      </c>
      <c r="C163" s="77" t="s">
        <v>13</v>
      </c>
      <c r="D163" s="37"/>
      <c r="E163" s="37"/>
      <c r="F163" s="37"/>
      <c r="G163" s="37"/>
      <c r="H163" s="37"/>
      <c r="I163" s="34"/>
    </row>
    <row r="164" spans="1:9" x14ac:dyDescent="0.2">
      <c r="A164" s="8"/>
      <c r="B164" s="23">
        <v>42031</v>
      </c>
      <c r="C164" s="78" t="s">
        <v>14</v>
      </c>
      <c r="D164" s="37"/>
      <c r="E164" s="37"/>
      <c r="F164" s="37"/>
      <c r="G164" s="37"/>
      <c r="H164" s="37"/>
      <c r="I164" s="34"/>
    </row>
    <row r="165" spans="1:9" x14ac:dyDescent="0.2">
      <c r="A165" s="10"/>
      <c r="B165" s="23">
        <v>42094</v>
      </c>
      <c r="C165" s="27" t="s">
        <v>9</v>
      </c>
      <c r="D165" s="37"/>
      <c r="E165" s="37"/>
      <c r="F165" s="37">
        <v>85</v>
      </c>
      <c r="G165" s="37">
        <v>385</v>
      </c>
      <c r="H165" s="37"/>
      <c r="I165" s="34"/>
    </row>
    <row r="166" spans="1:9" x14ac:dyDescent="0.2">
      <c r="A166" s="9"/>
      <c r="B166" s="22">
        <v>42094</v>
      </c>
      <c r="C166" s="74" t="s">
        <v>10</v>
      </c>
      <c r="D166" s="37"/>
      <c r="E166" s="37"/>
      <c r="F166" s="37">
        <v>180</v>
      </c>
      <c r="G166" s="37">
        <v>374</v>
      </c>
      <c r="H166" s="37"/>
      <c r="I166" s="34"/>
    </row>
    <row r="167" spans="1:9" x14ac:dyDescent="0.2">
      <c r="A167" s="8"/>
      <c r="B167" s="22">
        <v>42094</v>
      </c>
      <c r="C167" s="75" t="s">
        <v>11</v>
      </c>
      <c r="D167" s="37"/>
      <c r="E167" s="37"/>
      <c r="F167" s="37">
        <v>180</v>
      </c>
      <c r="G167" s="37">
        <v>4780</v>
      </c>
      <c r="H167" s="37"/>
      <c r="I167" s="34"/>
    </row>
    <row r="168" spans="1:9" x14ac:dyDescent="0.2">
      <c r="A168" s="8"/>
      <c r="B168" s="22">
        <v>42094</v>
      </c>
      <c r="C168" s="76" t="s">
        <v>12</v>
      </c>
      <c r="D168" s="37"/>
      <c r="E168" s="37"/>
      <c r="F168" s="37">
        <v>420</v>
      </c>
      <c r="G168" s="37">
        <v>667</v>
      </c>
      <c r="H168" s="37"/>
      <c r="I168" s="34"/>
    </row>
    <row r="169" spans="1:9" x14ac:dyDescent="0.2">
      <c r="A169" s="8"/>
      <c r="B169" s="22">
        <v>42094</v>
      </c>
      <c r="C169" s="77" t="s">
        <v>13</v>
      </c>
      <c r="D169" s="37"/>
      <c r="E169" s="37"/>
      <c r="F169" s="37">
        <v>98</v>
      </c>
      <c r="G169" s="37">
        <v>403</v>
      </c>
      <c r="H169" s="37"/>
      <c r="I169" s="34"/>
    </row>
    <row r="170" spans="1:9" x14ac:dyDescent="0.2">
      <c r="A170" s="8"/>
      <c r="B170" s="22">
        <v>42094</v>
      </c>
      <c r="C170" s="78" t="s">
        <v>14</v>
      </c>
      <c r="D170" s="37"/>
      <c r="E170" s="37"/>
      <c r="F170" s="37">
        <v>115</v>
      </c>
      <c r="G170" s="37">
        <v>567</v>
      </c>
      <c r="H170" s="37"/>
      <c r="I170" s="34"/>
    </row>
    <row r="171" spans="1:9" x14ac:dyDescent="0.2">
      <c r="A171" s="10"/>
      <c r="B171" s="22">
        <v>42192</v>
      </c>
      <c r="C171" s="27" t="s">
        <v>9</v>
      </c>
      <c r="D171" s="37"/>
      <c r="E171" s="37"/>
      <c r="F171" s="37"/>
      <c r="G171" s="37"/>
      <c r="H171" s="37"/>
      <c r="I171" s="34"/>
    </row>
    <row r="172" spans="1:9" x14ac:dyDescent="0.2">
      <c r="A172" s="9"/>
      <c r="B172" s="21">
        <v>42192</v>
      </c>
      <c r="C172" s="74" t="s">
        <v>10</v>
      </c>
      <c r="D172" s="37"/>
      <c r="E172" s="37"/>
      <c r="F172" s="37"/>
      <c r="G172" s="37"/>
      <c r="H172" s="37"/>
      <c r="I172" s="34"/>
    </row>
    <row r="173" spans="1:9" x14ac:dyDescent="0.2">
      <c r="A173" s="8"/>
      <c r="B173" s="21">
        <v>42192</v>
      </c>
      <c r="C173" s="75" t="s">
        <v>11</v>
      </c>
      <c r="D173" s="37"/>
      <c r="E173" s="37"/>
      <c r="F173" s="37"/>
      <c r="G173" s="37"/>
      <c r="H173" s="37"/>
      <c r="I173" s="34"/>
    </row>
    <row r="174" spans="1:9" x14ac:dyDescent="0.2">
      <c r="A174" s="8"/>
      <c r="B174" s="21">
        <v>42192</v>
      </c>
      <c r="C174" s="76" t="s">
        <v>12</v>
      </c>
      <c r="D174" s="37"/>
      <c r="E174" s="37"/>
      <c r="F174" s="37"/>
      <c r="G174" s="37"/>
      <c r="H174" s="37"/>
      <c r="I174" s="34"/>
    </row>
    <row r="175" spans="1:9" x14ac:dyDescent="0.2">
      <c r="A175" s="8"/>
      <c r="B175" s="21">
        <v>42192</v>
      </c>
      <c r="C175" s="77" t="s">
        <v>13</v>
      </c>
      <c r="D175" s="37"/>
      <c r="E175" s="37"/>
      <c r="F175" s="37"/>
      <c r="G175" s="37"/>
      <c r="H175" s="37"/>
      <c r="I175" s="34"/>
    </row>
    <row r="176" spans="1:9" x14ac:dyDescent="0.2">
      <c r="A176" s="8"/>
      <c r="B176" s="21">
        <v>42192</v>
      </c>
      <c r="C176" s="78" t="s">
        <v>14</v>
      </c>
      <c r="D176" s="37"/>
      <c r="E176" s="37"/>
      <c r="F176" s="37"/>
      <c r="G176" s="37"/>
      <c r="H176" s="37"/>
      <c r="I176" s="34"/>
    </row>
    <row r="177" spans="1:9" x14ac:dyDescent="0.2">
      <c r="A177" s="10"/>
      <c r="B177" s="21">
        <v>42290</v>
      </c>
      <c r="C177" s="27" t="s">
        <v>9</v>
      </c>
      <c r="D177" s="37"/>
      <c r="E177" s="37"/>
      <c r="F177" s="37">
        <v>6</v>
      </c>
      <c r="G177" s="37">
        <v>422</v>
      </c>
      <c r="H177" s="37"/>
      <c r="I177" s="34"/>
    </row>
    <row r="178" spans="1:9" x14ac:dyDescent="0.2">
      <c r="A178" s="9"/>
      <c r="B178" s="22">
        <v>42290</v>
      </c>
      <c r="C178" s="74" t="s">
        <v>10</v>
      </c>
      <c r="D178" s="37"/>
      <c r="E178" s="37"/>
      <c r="F178" s="37">
        <v>6</v>
      </c>
      <c r="G178" s="37">
        <v>449</v>
      </c>
      <c r="H178" s="37"/>
      <c r="I178" s="34"/>
    </row>
    <row r="179" spans="1:9" x14ac:dyDescent="0.2">
      <c r="A179" s="8"/>
      <c r="B179" s="22">
        <v>42290</v>
      </c>
      <c r="C179" s="75" t="s">
        <v>11</v>
      </c>
      <c r="D179" s="37"/>
      <c r="E179" s="37"/>
      <c r="F179" s="37">
        <v>6</v>
      </c>
      <c r="G179" s="37">
        <v>450</v>
      </c>
      <c r="H179" s="37"/>
      <c r="I179" s="34"/>
    </row>
    <row r="180" spans="1:9" x14ac:dyDescent="0.2">
      <c r="A180" s="8"/>
      <c r="B180" s="22">
        <v>42290</v>
      </c>
      <c r="C180" s="76" t="s">
        <v>12</v>
      </c>
      <c r="D180" s="37"/>
      <c r="E180" s="37"/>
      <c r="F180" s="37">
        <v>6</v>
      </c>
      <c r="G180" s="37">
        <v>466</v>
      </c>
      <c r="H180" s="37"/>
      <c r="I180" s="34"/>
    </row>
    <row r="181" spans="1:9" x14ac:dyDescent="0.2">
      <c r="A181" s="8"/>
      <c r="B181" s="22">
        <v>42290</v>
      </c>
      <c r="C181" s="77" t="s">
        <v>13</v>
      </c>
      <c r="D181" s="37"/>
      <c r="E181" s="37"/>
      <c r="F181" s="37">
        <v>6</v>
      </c>
      <c r="G181" s="37">
        <v>438</v>
      </c>
      <c r="H181" s="37"/>
      <c r="I181" s="34"/>
    </row>
    <row r="182" spans="1:9" x14ac:dyDescent="0.2">
      <c r="A182" s="8"/>
      <c r="B182" s="22">
        <v>42290</v>
      </c>
      <c r="C182" s="78" t="s">
        <v>14</v>
      </c>
      <c r="D182" s="37"/>
      <c r="E182" s="37"/>
      <c r="F182" s="37"/>
      <c r="G182" s="37"/>
      <c r="H182" s="37"/>
      <c r="I182" s="34"/>
    </row>
    <row r="183" spans="1:9" x14ac:dyDescent="0.2">
      <c r="A183" s="10">
        <v>2016</v>
      </c>
      <c r="B183" s="22">
        <v>42381</v>
      </c>
      <c r="C183" s="27" t="s">
        <v>9</v>
      </c>
      <c r="D183" s="37"/>
      <c r="E183" s="37"/>
      <c r="F183" s="37"/>
      <c r="G183" s="37"/>
      <c r="H183" s="37"/>
      <c r="I183" s="34"/>
    </row>
    <row r="184" spans="1:9" x14ac:dyDescent="0.2">
      <c r="A184" s="9"/>
      <c r="B184" s="22">
        <v>42381</v>
      </c>
      <c r="C184" s="74" t="s">
        <v>10</v>
      </c>
      <c r="D184" s="37"/>
      <c r="E184" s="37"/>
      <c r="F184" s="37"/>
      <c r="G184" s="37"/>
      <c r="H184" s="37"/>
      <c r="I184" s="34"/>
    </row>
    <row r="185" spans="1:9" x14ac:dyDescent="0.2">
      <c r="A185" s="8"/>
      <c r="B185" s="22">
        <v>42381</v>
      </c>
      <c r="C185" s="75" t="s">
        <v>11</v>
      </c>
      <c r="D185" s="37"/>
      <c r="E185" s="37"/>
      <c r="F185" s="37"/>
      <c r="G185" s="37"/>
      <c r="H185" s="37"/>
      <c r="I185" s="34"/>
    </row>
    <row r="186" spans="1:9" x14ac:dyDescent="0.2">
      <c r="A186" s="8"/>
      <c r="B186" s="22">
        <v>42381</v>
      </c>
      <c r="C186" s="76" t="s">
        <v>12</v>
      </c>
      <c r="D186" s="37"/>
      <c r="E186" s="37"/>
      <c r="F186" s="37"/>
      <c r="G186" s="37"/>
      <c r="H186" s="37"/>
      <c r="I186" s="34"/>
    </row>
    <row r="187" spans="1:9" x14ac:dyDescent="0.2">
      <c r="A187" s="8"/>
      <c r="B187" s="22">
        <v>42381</v>
      </c>
      <c r="C187" s="77" t="s">
        <v>13</v>
      </c>
      <c r="D187" s="37"/>
      <c r="E187" s="37"/>
      <c r="F187" s="37"/>
      <c r="G187" s="37"/>
      <c r="H187" s="37"/>
      <c r="I187" s="34"/>
    </row>
    <row r="188" spans="1:9" x14ac:dyDescent="0.2">
      <c r="A188" s="8"/>
      <c r="B188" s="22">
        <v>42381</v>
      </c>
      <c r="C188" s="78" t="s">
        <v>14</v>
      </c>
      <c r="D188" s="37"/>
      <c r="E188" s="37"/>
      <c r="F188" s="37"/>
      <c r="G188" s="37"/>
      <c r="H188" s="37"/>
      <c r="I188" s="34"/>
    </row>
    <row r="189" spans="1:9" x14ac:dyDescent="0.2">
      <c r="A189" s="10"/>
      <c r="B189" s="22">
        <v>42479</v>
      </c>
      <c r="C189" s="27" t="s">
        <v>9</v>
      </c>
      <c r="D189" s="37"/>
      <c r="E189" s="37"/>
      <c r="F189" s="37">
        <v>8</v>
      </c>
      <c r="G189" s="37">
        <v>242</v>
      </c>
      <c r="H189" s="37"/>
      <c r="I189" s="34"/>
    </row>
    <row r="190" spans="1:9" x14ac:dyDescent="0.2">
      <c r="A190" s="9"/>
      <c r="B190" s="22">
        <v>42479</v>
      </c>
      <c r="C190" s="74" t="s">
        <v>10</v>
      </c>
      <c r="D190" s="37"/>
      <c r="E190" s="37"/>
      <c r="F190" s="37">
        <v>12</v>
      </c>
      <c r="G190" s="37">
        <v>338</v>
      </c>
      <c r="H190" s="37"/>
      <c r="I190" s="34"/>
    </row>
    <row r="191" spans="1:9" x14ac:dyDescent="0.2">
      <c r="A191" s="8"/>
      <c r="B191" s="22">
        <v>42479</v>
      </c>
      <c r="C191" s="75" t="s">
        <v>11</v>
      </c>
      <c r="D191" s="37"/>
      <c r="E191" s="37"/>
      <c r="F191" s="37">
        <v>9</v>
      </c>
      <c r="G191" s="37">
        <v>277</v>
      </c>
      <c r="H191" s="37"/>
      <c r="I191" s="34"/>
    </row>
    <row r="192" spans="1:9" x14ac:dyDescent="0.2">
      <c r="A192" s="8"/>
      <c r="B192" s="22">
        <v>42479</v>
      </c>
      <c r="C192" s="76" t="s">
        <v>12</v>
      </c>
      <c r="D192" s="37"/>
      <c r="E192" s="37"/>
      <c r="F192" s="37">
        <v>42</v>
      </c>
      <c r="G192" s="37">
        <v>359</v>
      </c>
      <c r="H192" s="37"/>
      <c r="I192" s="34"/>
    </row>
    <row r="193" spans="1:9" x14ac:dyDescent="0.2">
      <c r="A193" s="8"/>
      <c r="B193" s="22">
        <v>42479</v>
      </c>
      <c r="C193" s="77" t="s">
        <v>13</v>
      </c>
      <c r="D193" s="37"/>
      <c r="E193" s="37"/>
      <c r="F193" s="37">
        <v>8</v>
      </c>
      <c r="G193" s="37">
        <v>273</v>
      </c>
      <c r="H193" s="37"/>
      <c r="I193" s="34"/>
    </row>
    <row r="194" spans="1:9" x14ac:dyDescent="0.2">
      <c r="A194" s="8"/>
      <c r="B194" s="22">
        <v>42479</v>
      </c>
      <c r="C194" s="78" t="s">
        <v>14</v>
      </c>
      <c r="D194" s="37"/>
      <c r="E194" s="37"/>
      <c r="F194" s="31">
        <v>6</v>
      </c>
      <c r="G194" s="37">
        <v>550</v>
      </c>
      <c r="H194" s="37"/>
      <c r="I194" s="34"/>
    </row>
    <row r="195" spans="1:9" x14ac:dyDescent="0.2">
      <c r="A195" s="10"/>
      <c r="B195" s="22">
        <v>42570</v>
      </c>
      <c r="C195" s="27" t="s">
        <v>9</v>
      </c>
      <c r="D195" s="37"/>
      <c r="E195" s="37"/>
      <c r="F195" s="37"/>
      <c r="G195" s="37"/>
      <c r="H195" s="37"/>
      <c r="I195" s="34"/>
    </row>
    <row r="196" spans="1:9" x14ac:dyDescent="0.2">
      <c r="A196" s="9"/>
      <c r="B196" s="21">
        <v>42570</v>
      </c>
      <c r="C196" s="74" t="s">
        <v>10</v>
      </c>
      <c r="D196" s="37"/>
      <c r="E196" s="37"/>
      <c r="F196" s="37"/>
      <c r="G196" s="37"/>
      <c r="H196" s="37"/>
      <c r="I196" s="34"/>
    </row>
    <row r="197" spans="1:9" x14ac:dyDescent="0.2">
      <c r="A197" s="8"/>
      <c r="B197" s="21">
        <v>42570</v>
      </c>
      <c r="C197" s="75" t="s">
        <v>11</v>
      </c>
      <c r="D197" s="37"/>
      <c r="E197" s="37"/>
      <c r="F197" s="37"/>
      <c r="G197" s="37"/>
      <c r="H197" s="37"/>
      <c r="I197" s="34"/>
    </row>
    <row r="198" spans="1:9" x14ac:dyDescent="0.2">
      <c r="A198" s="8"/>
      <c r="B198" s="21">
        <v>42570</v>
      </c>
      <c r="C198" s="76" t="s">
        <v>12</v>
      </c>
      <c r="D198" s="37"/>
      <c r="E198" s="37"/>
      <c r="F198" s="37"/>
      <c r="G198" s="37"/>
      <c r="H198" s="37"/>
      <c r="I198" s="34"/>
    </row>
    <row r="199" spans="1:9" x14ac:dyDescent="0.2">
      <c r="A199" s="8"/>
      <c r="B199" s="21">
        <v>42570</v>
      </c>
      <c r="C199" s="77" t="s">
        <v>13</v>
      </c>
      <c r="D199" s="37"/>
      <c r="E199" s="37"/>
      <c r="F199" s="37"/>
      <c r="G199" s="37"/>
      <c r="H199" s="37"/>
      <c r="I199" s="34"/>
    </row>
    <row r="200" spans="1:9" x14ac:dyDescent="0.2">
      <c r="A200" s="8"/>
      <c r="B200" s="21">
        <v>42570</v>
      </c>
      <c r="C200" s="78" t="s">
        <v>14</v>
      </c>
      <c r="D200" s="37"/>
      <c r="E200" s="37"/>
      <c r="F200" s="37"/>
      <c r="G200" s="37"/>
      <c r="H200" s="37"/>
      <c r="I200" s="34"/>
    </row>
    <row r="201" spans="1:9" x14ac:dyDescent="0.2">
      <c r="A201" s="10"/>
      <c r="B201" s="21">
        <v>42654</v>
      </c>
      <c r="C201" s="27" t="s">
        <v>9</v>
      </c>
      <c r="D201" s="37"/>
      <c r="E201" s="37"/>
      <c r="F201" s="37">
        <v>6</v>
      </c>
      <c r="G201" s="37">
        <v>393</v>
      </c>
      <c r="H201" s="37"/>
      <c r="I201" s="34"/>
    </row>
    <row r="202" spans="1:9" x14ac:dyDescent="0.2">
      <c r="A202" s="9"/>
      <c r="B202" s="21">
        <v>42654</v>
      </c>
      <c r="C202" s="74" t="s">
        <v>10</v>
      </c>
      <c r="D202" s="37"/>
      <c r="E202" s="37"/>
      <c r="F202" s="37">
        <v>6</v>
      </c>
      <c r="G202" s="37">
        <v>381</v>
      </c>
      <c r="H202" s="37"/>
      <c r="I202" s="34"/>
    </row>
    <row r="203" spans="1:9" x14ac:dyDescent="0.2">
      <c r="A203" s="8"/>
      <c r="B203" s="21">
        <v>42654</v>
      </c>
      <c r="C203" s="75" t="s">
        <v>11</v>
      </c>
      <c r="D203" s="37"/>
      <c r="E203" s="37"/>
      <c r="F203" s="37">
        <v>6</v>
      </c>
      <c r="G203" s="37">
        <v>376</v>
      </c>
      <c r="H203" s="37"/>
      <c r="I203" s="34"/>
    </row>
    <row r="204" spans="1:9" x14ac:dyDescent="0.2">
      <c r="A204" s="8"/>
      <c r="B204" s="21">
        <v>42654</v>
      </c>
      <c r="C204" s="76" t="s">
        <v>12</v>
      </c>
      <c r="D204" s="37"/>
      <c r="E204" s="37"/>
      <c r="F204" s="37">
        <v>6</v>
      </c>
      <c r="G204" s="37">
        <v>387</v>
      </c>
      <c r="H204" s="37"/>
      <c r="I204" s="34"/>
    </row>
    <row r="205" spans="1:9" x14ac:dyDescent="0.2">
      <c r="A205" s="8"/>
      <c r="B205" s="21">
        <v>42654</v>
      </c>
      <c r="C205" s="77" t="s">
        <v>13</v>
      </c>
      <c r="D205" s="37"/>
      <c r="E205" s="37"/>
      <c r="F205" s="37">
        <v>6</v>
      </c>
      <c r="G205" s="37">
        <v>382</v>
      </c>
      <c r="H205" s="37"/>
      <c r="I205" s="34"/>
    </row>
    <row r="206" spans="1:9" x14ac:dyDescent="0.2">
      <c r="A206" s="8"/>
      <c r="B206" s="21">
        <v>42654</v>
      </c>
      <c r="C206" s="78" t="s">
        <v>14</v>
      </c>
      <c r="D206" s="37"/>
      <c r="E206" s="37"/>
      <c r="F206" s="37">
        <v>6</v>
      </c>
      <c r="G206" s="37">
        <v>556</v>
      </c>
      <c r="H206" s="37"/>
      <c r="I206" s="34"/>
    </row>
    <row r="207" spans="1:9" x14ac:dyDescent="0.2">
      <c r="A207" s="10">
        <v>2017</v>
      </c>
      <c r="B207" s="21">
        <v>42745</v>
      </c>
      <c r="C207" s="27" t="s">
        <v>9</v>
      </c>
      <c r="D207" s="37"/>
      <c r="E207" s="37"/>
      <c r="F207" s="37"/>
      <c r="G207" s="37"/>
      <c r="H207" s="37"/>
      <c r="I207" s="34"/>
    </row>
    <row r="208" spans="1:9" x14ac:dyDescent="0.2">
      <c r="A208" s="9"/>
      <c r="B208" s="21">
        <v>42745</v>
      </c>
      <c r="C208" s="74" t="s">
        <v>10</v>
      </c>
      <c r="D208" s="37"/>
      <c r="E208" s="37"/>
      <c r="F208" s="37"/>
      <c r="G208" s="37"/>
      <c r="H208" s="37"/>
      <c r="I208" s="34"/>
    </row>
    <row r="209" spans="1:9" x14ac:dyDescent="0.2">
      <c r="A209" s="8"/>
      <c r="B209" s="21">
        <v>42745</v>
      </c>
      <c r="C209" s="75" t="s">
        <v>11</v>
      </c>
      <c r="D209" s="37"/>
      <c r="E209" s="37"/>
      <c r="F209" s="37"/>
      <c r="G209" s="37"/>
      <c r="H209" s="37"/>
      <c r="I209" s="34"/>
    </row>
    <row r="210" spans="1:9" x14ac:dyDescent="0.2">
      <c r="A210" s="8"/>
      <c r="B210" s="21">
        <v>42745</v>
      </c>
      <c r="C210" s="76" t="s">
        <v>12</v>
      </c>
      <c r="D210" s="37"/>
      <c r="E210" s="37"/>
      <c r="F210" s="37"/>
      <c r="G210" s="37"/>
      <c r="H210" s="37"/>
      <c r="I210" s="34"/>
    </row>
    <row r="211" spans="1:9" x14ac:dyDescent="0.2">
      <c r="A211" s="8"/>
      <c r="B211" s="21">
        <v>42745</v>
      </c>
      <c r="C211" s="77" t="s">
        <v>13</v>
      </c>
      <c r="D211" s="37"/>
      <c r="E211" s="37"/>
      <c r="F211" s="37"/>
      <c r="G211" s="37"/>
      <c r="H211" s="37"/>
      <c r="I211" s="34"/>
    </row>
    <row r="212" spans="1:9" x14ac:dyDescent="0.2">
      <c r="A212" s="8"/>
      <c r="B212" s="21">
        <v>42745</v>
      </c>
      <c r="C212" s="78" t="s">
        <v>14</v>
      </c>
      <c r="D212" s="37"/>
      <c r="E212" s="37"/>
      <c r="F212" s="37"/>
      <c r="G212" s="37"/>
      <c r="H212" s="37"/>
      <c r="I212" s="34"/>
    </row>
    <row r="213" spans="1:9" x14ac:dyDescent="0.2">
      <c r="A213" s="10"/>
      <c r="B213" s="21">
        <v>42843</v>
      </c>
      <c r="C213" s="27" t="s">
        <v>9</v>
      </c>
      <c r="D213" s="37"/>
      <c r="E213" s="37"/>
      <c r="F213" s="37">
        <v>7</v>
      </c>
      <c r="G213" s="37">
        <v>271</v>
      </c>
      <c r="H213" s="37"/>
      <c r="I213" s="34"/>
    </row>
    <row r="214" spans="1:9" x14ac:dyDescent="0.2">
      <c r="A214" s="9"/>
      <c r="B214" s="22">
        <v>42843</v>
      </c>
      <c r="C214" s="74" t="s">
        <v>10</v>
      </c>
      <c r="D214" s="37"/>
      <c r="E214" s="37"/>
      <c r="F214" s="37">
        <v>10</v>
      </c>
      <c r="G214" s="37">
        <v>271</v>
      </c>
      <c r="H214" s="37"/>
      <c r="I214" s="34"/>
    </row>
    <row r="215" spans="1:9" x14ac:dyDescent="0.2">
      <c r="A215" s="8"/>
      <c r="B215" s="22">
        <v>42843</v>
      </c>
      <c r="C215" s="75" t="s">
        <v>11</v>
      </c>
      <c r="D215" s="37"/>
      <c r="E215" s="37"/>
      <c r="F215" s="37">
        <v>11</v>
      </c>
      <c r="G215" s="37">
        <v>297</v>
      </c>
      <c r="H215" s="37"/>
      <c r="I215" s="34"/>
    </row>
    <row r="216" spans="1:9" x14ac:dyDescent="0.2">
      <c r="A216" s="8"/>
      <c r="B216" s="22">
        <v>42843</v>
      </c>
      <c r="C216" s="76" t="s">
        <v>12</v>
      </c>
      <c r="D216" s="37"/>
      <c r="E216" s="37"/>
      <c r="F216" s="37">
        <v>20</v>
      </c>
      <c r="G216" s="37">
        <v>329</v>
      </c>
      <c r="H216" s="37"/>
      <c r="I216" s="34"/>
    </row>
    <row r="217" spans="1:9" x14ac:dyDescent="0.2">
      <c r="A217" s="8"/>
      <c r="B217" s="22">
        <v>42843</v>
      </c>
      <c r="C217" s="77" t="s">
        <v>13</v>
      </c>
      <c r="D217" s="37"/>
      <c r="E217" s="37"/>
      <c r="F217" s="37">
        <v>18</v>
      </c>
      <c r="G217" s="37">
        <v>294</v>
      </c>
      <c r="H217" s="37"/>
      <c r="I217" s="34"/>
    </row>
    <row r="218" spans="1:9" x14ac:dyDescent="0.2">
      <c r="A218" s="8"/>
      <c r="B218" s="22">
        <v>42843</v>
      </c>
      <c r="C218" s="78" t="s">
        <v>14</v>
      </c>
      <c r="D218" s="37"/>
      <c r="E218" s="37"/>
      <c r="F218" s="37">
        <v>4</v>
      </c>
      <c r="G218" s="37">
        <v>502</v>
      </c>
      <c r="H218" s="37"/>
      <c r="I218" s="34"/>
    </row>
    <row r="219" spans="1:9" x14ac:dyDescent="0.2">
      <c r="A219" s="10"/>
      <c r="B219" s="22">
        <v>42934</v>
      </c>
      <c r="C219" s="27" t="s">
        <v>9</v>
      </c>
      <c r="D219" s="37"/>
      <c r="E219" s="37"/>
      <c r="F219" s="37"/>
      <c r="G219" s="37"/>
      <c r="H219" s="37"/>
      <c r="I219" s="34"/>
    </row>
    <row r="220" spans="1:9" x14ac:dyDescent="0.2">
      <c r="A220" s="9"/>
      <c r="B220" s="22">
        <v>42934</v>
      </c>
      <c r="C220" s="74" t="s">
        <v>10</v>
      </c>
      <c r="D220" s="37"/>
      <c r="E220" s="37"/>
      <c r="F220" s="37"/>
      <c r="G220" s="37"/>
      <c r="H220" s="37"/>
      <c r="I220" s="34"/>
    </row>
    <row r="221" spans="1:9" x14ac:dyDescent="0.2">
      <c r="A221" s="8"/>
      <c r="B221" s="22">
        <v>42934</v>
      </c>
      <c r="C221" s="75" t="s">
        <v>11</v>
      </c>
      <c r="D221" s="37"/>
      <c r="E221" s="37"/>
      <c r="F221" s="37"/>
      <c r="G221" s="37"/>
      <c r="H221" s="37"/>
      <c r="I221" s="34"/>
    </row>
    <row r="222" spans="1:9" x14ac:dyDescent="0.2">
      <c r="A222" s="8"/>
      <c r="B222" s="22">
        <v>42934</v>
      </c>
      <c r="C222" s="76" t="s">
        <v>12</v>
      </c>
      <c r="D222" s="37"/>
      <c r="E222" s="37"/>
      <c r="F222" s="37"/>
      <c r="G222" s="37"/>
      <c r="H222" s="37"/>
      <c r="I222" s="34"/>
    </row>
    <row r="223" spans="1:9" x14ac:dyDescent="0.2">
      <c r="A223" s="8"/>
      <c r="B223" s="22">
        <v>42934</v>
      </c>
      <c r="C223" s="77" t="s">
        <v>13</v>
      </c>
      <c r="D223" s="37"/>
      <c r="E223" s="37"/>
      <c r="F223" s="37"/>
      <c r="G223" s="37"/>
      <c r="H223" s="37"/>
      <c r="I223" s="34"/>
    </row>
    <row r="224" spans="1:9" x14ac:dyDescent="0.2">
      <c r="A224" s="8"/>
      <c r="B224" s="22">
        <v>42934</v>
      </c>
      <c r="C224" s="78" t="s">
        <v>14</v>
      </c>
      <c r="D224" s="37"/>
      <c r="E224" s="37"/>
      <c r="F224" s="37"/>
      <c r="G224" s="37"/>
      <c r="H224" s="37"/>
      <c r="I224" s="34"/>
    </row>
    <row r="225" spans="1:9" x14ac:dyDescent="0.2">
      <c r="A225" s="10"/>
      <c r="B225" s="22">
        <v>43025</v>
      </c>
      <c r="C225" s="27" t="s">
        <v>9</v>
      </c>
      <c r="D225" s="31"/>
      <c r="E225" s="31"/>
      <c r="F225" s="31">
        <v>6</v>
      </c>
      <c r="G225" s="31">
        <v>442</v>
      </c>
      <c r="H225" s="31"/>
      <c r="I225" s="31"/>
    </row>
    <row r="226" spans="1:9" x14ac:dyDescent="0.2">
      <c r="A226" s="9"/>
      <c r="B226" s="22">
        <v>43025</v>
      </c>
      <c r="C226" s="74" t="s">
        <v>10</v>
      </c>
      <c r="D226" s="31"/>
      <c r="E226" s="31"/>
      <c r="F226" s="31">
        <v>7</v>
      </c>
      <c r="G226" s="31">
        <v>455</v>
      </c>
      <c r="H226" s="31"/>
      <c r="I226" s="31"/>
    </row>
    <row r="227" spans="1:9" x14ac:dyDescent="0.2">
      <c r="A227" s="8"/>
      <c r="B227" s="22">
        <v>43025</v>
      </c>
      <c r="C227" s="75" t="s">
        <v>11</v>
      </c>
      <c r="D227" s="31"/>
      <c r="E227" s="31"/>
      <c r="F227" s="31">
        <v>6</v>
      </c>
      <c r="G227" s="31">
        <v>459</v>
      </c>
      <c r="H227" s="31"/>
      <c r="I227" s="31"/>
    </row>
    <row r="228" spans="1:9" x14ac:dyDescent="0.2">
      <c r="A228" s="8"/>
      <c r="B228" s="22">
        <v>43025</v>
      </c>
      <c r="C228" s="76" t="s">
        <v>12</v>
      </c>
      <c r="D228" s="31"/>
      <c r="E228" s="31"/>
      <c r="F228" s="31">
        <v>6</v>
      </c>
      <c r="G228" s="31">
        <v>482</v>
      </c>
      <c r="H228" s="31"/>
      <c r="I228" s="31"/>
    </row>
    <row r="229" spans="1:9" x14ac:dyDescent="0.2">
      <c r="A229" s="8"/>
      <c r="B229" s="22">
        <v>43025</v>
      </c>
      <c r="C229" s="77" t="s">
        <v>13</v>
      </c>
      <c r="D229" s="31"/>
      <c r="E229" s="31"/>
      <c r="F229" s="31">
        <v>6</v>
      </c>
      <c r="G229" s="31">
        <v>445</v>
      </c>
      <c r="H229" s="31"/>
      <c r="I229" s="31"/>
    </row>
    <row r="230" spans="1:9" x14ac:dyDescent="0.2">
      <c r="A230" s="8"/>
      <c r="B230" s="22">
        <v>43025</v>
      </c>
      <c r="C230" s="78" t="s">
        <v>14</v>
      </c>
      <c r="D230" s="31"/>
      <c r="E230" s="31"/>
      <c r="F230" s="31">
        <v>6</v>
      </c>
      <c r="G230" s="31">
        <v>510</v>
      </c>
      <c r="H230" s="31"/>
      <c r="I230" s="31"/>
    </row>
    <row r="231" spans="1:9" x14ac:dyDescent="0.2">
      <c r="A231" s="10">
        <v>2018</v>
      </c>
      <c r="B231" s="22">
        <v>43109</v>
      </c>
      <c r="C231" s="27" t="s">
        <v>9</v>
      </c>
      <c r="D231" s="31"/>
      <c r="E231" s="31"/>
      <c r="F231" s="31">
        <v>9</v>
      </c>
      <c r="G231" s="31">
        <v>324</v>
      </c>
      <c r="H231" s="31"/>
      <c r="I231" s="31"/>
    </row>
    <row r="232" spans="1:9" x14ac:dyDescent="0.2">
      <c r="A232" s="9"/>
      <c r="B232" s="22">
        <v>43109</v>
      </c>
      <c r="C232" s="74" t="s">
        <v>10</v>
      </c>
      <c r="D232" s="31"/>
      <c r="E232" s="31"/>
      <c r="F232" s="31">
        <v>8</v>
      </c>
      <c r="G232" s="31">
        <v>344</v>
      </c>
      <c r="H232" s="31"/>
      <c r="I232" s="31"/>
    </row>
    <row r="233" spans="1:9" x14ac:dyDescent="0.2">
      <c r="A233" s="8"/>
      <c r="B233" s="22">
        <v>43109</v>
      </c>
      <c r="C233" s="75" t="s">
        <v>11</v>
      </c>
      <c r="D233" s="31"/>
      <c r="E233" s="31"/>
      <c r="F233" s="31">
        <v>11</v>
      </c>
      <c r="G233" s="31">
        <v>383</v>
      </c>
      <c r="H233" s="31"/>
      <c r="I233" s="31"/>
    </row>
    <row r="234" spans="1:9" x14ac:dyDescent="0.2">
      <c r="A234" s="8"/>
      <c r="B234" s="22">
        <v>43109</v>
      </c>
      <c r="C234" s="76" t="s">
        <v>12</v>
      </c>
      <c r="D234" s="31"/>
      <c r="E234" s="31"/>
      <c r="F234" s="31">
        <v>22</v>
      </c>
      <c r="G234" s="31">
        <v>411</v>
      </c>
      <c r="H234" s="31"/>
      <c r="I234" s="31"/>
    </row>
    <row r="235" spans="1:9" x14ac:dyDescent="0.2">
      <c r="A235" s="8"/>
      <c r="B235" s="22">
        <v>43109</v>
      </c>
      <c r="C235" s="77" t="s">
        <v>13</v>
      </c>
      <c r="D235" s="31"/>
      <c r="E235" s="31"/>
      <c r="F235" s="31">
        <v>17</v>
      </c>
      <c r="G235" s="31">
        <v>367</v>
      </c>
      <c r="H235" s="31"/>
      <c r="I235" s="31"/>
    </row>
    <row r="236" spans="1:9" x14ac:dyDescent="0.2">
      <c r="A236" s="8"/>
      <c r="B236" s="22">
        <v>43109</v>
      </c>
      <c r="C236" s="78" t="s">
        <v>14</v>
      </c>
      <c r="D236" s="31"/>
      <c r="E236" s="31"/>
      <c r="F236" s="31">
        <v>8</v>
      </c>
      <c r="G236" s="31">
        <v>549</v>
      </c>
      <c r="H236" s="31"/>
      <c r="I236" s="31"/>
    </row>
    <row r="237" spans="1:9" x14ac:dyDescent="0.2">
      <c r="A237" s="10"/>
      <c r="B237" s="22">
        <v>43193</v>
      </c>
      <c r="C237" s="27" t="s">
        <v>9</v>
      </c>
      <c r="D237" s="31"/>
      <c r="E237" s="31"/>
      <c r="F237" s="31">
        <v>230</v>
      </c>
      <c r="G237" s="31">
        <v>515</v>
      </c>
      <c r="H237" s="31"/>
      <c r="I237" s="31"/>
    </row>
    <row r="238" spans="1:9" x14ac:dyDescent="0.2">
      <c r="A238" s="9"/>
      <c r="B238" s="22">
        <v>43193</v>
      </c>
      <c r="C238" s="74" t="s">
        <v>10</v>
      </c>
      <c r="D238" s="31"/>
      <c r="E238" s="31"/>
      <c r="F238" s="31">
        <v>198</v>
      </c>
      <c r="G238" s="31">
        <v>496</v>
      </c>
      <c r="H238" s="31"/>
      <c r="I238" s="31"/>
    </row>
    <row r="239" spans="1:9" x14ac:dyDescent="0.2">
      <c r="A239" s="8"/>
      <c r="B239" s="22">
        <v>43193</v>
      </c>
      <c r="C239" s="75" t="s">
        <v>11</v>
      </c>
      <c r="D239" s="31"/>
      <c r="E239" s="31"/>
      <c r="F239" s="31">
        <v>180</v>
      </c>
      <c r="G239" s="31">
        <v>501</v>
      </c>
      <c r="H239" s="31"/>
      <c r="I239" s="31"/>
    </row>
    <row r="240" spans="1:9" x14ac:dyDescent="0.2">
      <c r="A240" s="8"/>
      <c r="B240" s="22">
        <v>43193</v>
      </c>
      <c r="C240" s="76" t="s">
        <v>12</v>
      </c>
      <c r="D240" s="31"/>
      <c r="E240" s="31"/>
      <c r="F240" s="31">
        <v>290</v>
      </c>
      <c r="G240" s="31">
        <v>571</v>
      </c>
      <c r="H240" s="31"/>
      <c r="I240" s="31"/>
    </row>
    <row r="241" spans="1:9" x14ac:dyDescent="0.2">
      <c r="A241" s="8"/>
      <c r="B241" s="22">
        <v>43193</v>
      </c>
      <c r="C241" s="77" t="s">
        <v>13</v>
      </c>
      <c r="D241" s="31"/>
      <c r="E241" s="31"/>
      <c r="F241" s="31">
        <v>198</v>
      </c>
      <c r="G241" s="31">
        <v>510</v>
      </c>
      <c r="H241" s="31"/>
      <c r="I241" s="31"/>
    </row>
    <row r="242" spans="1:9" x14ac:dyDescent="0.2">
      <c r="A242" s="8"/>
      <c r="B242" s="22">
        <v>43193</v>
      </c>
      <c r="C242" s="78" t="s">
        <v>14</v>
      </c>
      <c r="D242" s="31"/>
      <c r="E242" s="31"/>
      <c r="F242" s="31">
        <v>15</v>
      </c>
      <c r="G242" s="31">
        <v>417</v>
      </c>
      <c r="H242" s="31"/>
      <c r="I242" s="31"/>
    </row>
    <row r="243" spans="1:9" x14ac:dyDescent="0.2">
      <c r="A243" s="10"/>
      <c r="B243" s="22">
        <v>43298</v>
      </c>
      <c r="C243" s="27" t="s">
        <v>9</v>
      </c>
      <c r="D243" s="31"/>
      <c r="E243" s="31"/>
      <c r="F243" s="31"/>
      <c r="G243" s="31"/>
      <c r="H243" s="31"/>
      <c r="I243" s="31"/>
    </row>
    <row r="244" spans="1:9" x14ac:dyDescent="0.2">
      <c r="A244" s="9"/>
      <c r="B244" s="22">
        <v>43298</v>
      </c>
      <c r="C244" s="74" t="s">
        <v>10</v>
      </c>
      <c r="D244" s="31"/>
      <c r="E244" s="31"/>
      <c r="F244" s="31"/>
      <c r="G244" s="31"/>
      <c r="H244" s="31"/>
      <c r="I244" s="31"/>
    </row>
    <row r="245" spans="1:9" x14ac:dyDescent="0.2">
      <c r="A245" s="8"/>
      <c r="B245" s="22">
        <v>43298</v>
      </c>
      <c r="C245" s="75" t="s">
        <v>11</v>
      </c>
      <c r="D245" s="31"/>
      <c r="E245" s="31"/>
      <c r="F245" s="31"/>
      <c r="G245" s="31"/>
      <c r="H245" s="31"/>
      <c r="I245" s="31"/>
    </row>
    <row r="246" spans="1:9" x14ac:dyDescent="0.2">
      <c r="A246" s="8"/>
      <c r="B246" s="22">
        <v>43298</v>
      </c>
      <c r="C246" s="76" t="s">
        <v>12</v>
      </c>
      <c r="D246" s="31"/>
      <c r="E246" s="31"/>
      <c r="F246" s="31"/>
      <c r="G246" s="31"/>
      <c r="H246" s="31"/>
      <c r="I246" s="31"/>
    </row>
    <row r="247" spans="1:9" x14ac:dyDescent="0.2">
      <c r="A247" s="8"/>
      <c r="B247" s="22">
        <v>43298</v>
      </c>
      <c r="C247" s="77" t="s">
        <v>13</v>
      </c>
      <c r="D247" s="31"/>
      <c r="E247" s="31"/>
      <c r="F247" s="31"/>
      <c r="G247" s="31"/>
      <c r="H247" s="31"/>
      <c r="I247" s="31"/>
    </row>
    <row r="248" spans="1:9" x14ac:dyDescent="0.2">
      <c r="A248" s="8"/>
      <c r="B248" s="22">
        <v>43298</v>
      </c>
      <c r="C248" s="78" t="s">
        <v>14</v>
      </c>
      <c r="D248" s="31"/>
      <c r="E248" s="31"/>
      <c r="F248" s="31"/>
      <c r="G248" s="31"/>
      <c r="H248" s="31"/>
      <c r="I248" s="31"/>
    </row>
    <row r="249" spans="1:9" x14ac:dyDescent="0.2">
      <c r="A249" s="10"/>
      <c r="B249" s="22">
        <v>43403</v>
      </c>
      <c r="C249" s="27" t="s">
        <v>9</v>
      </c>
      <c r="D249" s="31"/>
      <c r="E249" s="31"/>
      <c r="F249" s="31">
        <v>18</v>
      </c>
      <c r="G249" s="31">
        <v>517</v>
      </c>
      <c r="H249" s="31"/>
      <c r="I249" s="31"/>
    </row>
    <row r="250" spans="1:9" x14ac:dyDescent="0.2">
      <c r="A250" s="9"/>
      <c r="B250" s="22">
        <v>43403</v>
      </c>
      <c r="C250" s="74" t="s">
        <v>10</v>
      </c>
      <c r="D250" s="31"/>
      <c r="E250" s="31"/>
      <c r="F250" s="31">
        <v>31</v>
      </c>
      <c r="G250" s="31">
        <v>532</v>
      </c>
      <c r="H250" s="31"/>
      <c r="I250" s="31"/>
    </row>
    <row r="251" spans="1:9" x14ac:dyDescent="0.2">
      <c r="A251" s="8"/>
      <c r="B251" s="22">
        <v>43403</v>
      </c>
      <c r="C251" s="75" t="s">
        <v>11</v>
      </c>
      <c r="D251" s="31"/>
      <c r="E251" s="31"/>
      <c r="F251" s="31">
        <v>19</v>
      </c>
      <c r="G251" s="31">
        <v>514</v>
      </c>
      <c r="H251" s="31"/>
      <c r="I251" s="31"/>
    </row>
    <row r="252" spans="1:9" x14ac:dyDescent="0.2">
      <c r="A252" s="8"/>
      <c r="B252" s="22">
        <v>43403</v>
      </c>
      <c r="C252" s="76" t="s">
        <v>12</v>
      </c>
      <c r="D252" s="31"/>
      <c r="E252" s="31"/>
      <c r="F252" s="31">
        <v>22</v>
      </c>
      <c r="G252" s="31">
        <v>536</v>
      </c>
      <c r="H252" s="31"/>
      <c r="I252" s="31"/>
    </row>
    <row r="253" spans="1:9" x14ac:dyDescent="0.2">
      <c r="A253" s="8"/>
      <c r="B253" s="22">
        <v>43403</v>
      </c>
      <c r="C253" s="77" t="s">
        <v>13</v>
      </c>
      <c r="D253" s="31"/>
      <c r="E253" s="31"/>
      <c r="F253" s="31">
        <v>27</v>
      </c>
      <c r="G253" s="31">
        <v>531</v>
      </c>
      <c r="H253" s="31"/>
      <c r="I253" s="31"/>
    </row>
    <row r="254" spans="1:9" x14ac:dyDescent="0.2">
      <c r="A254" s="8"/>
      <c r="B254" s="22">
        <v>43403</v>
      </c>
      <c r="C254" s="78" t="s">
        <v>14</v>
      </c>
      <c r="D254" s="31"/>
      <c r="E254" s="31"/>
      <c r="F254" s="31">
        <v>6</v>
      </c>
      <c r="G254" s="31">
        <v>571</v>
      </c>
      <c r="H254" s="31"/>
      <c r="I254" s="31"/>
    </row>
    <row r="255" spans="1:9" x14ac:dyDescent="0.2">
      <c r="A255" s="8">
        <v>2019</v>
      </c>
      <c r="B255" s="22">
        <v>43487</v>
      </c>
      <c r="C255" s="27" t="s">
        <v>9</v>
      </c>
      <c r="D255" s="31"/>
      <c r="E255" s="31"/>
      <c r="F255" s="31"/>
      <c r="G255" s="31"/>
      <c r="H255" s="31"/>
      <c r="I255" s="31"/>
    </row>
    <row r="256" spans="1:9" x14ac:dyDescent="0.2">
      <c r="A256" s="9"/>
      <c r="B256" s="22">
        <v>43487</v>
      </c>
      <c r="C256" s="74" t="s">
        <v>10</v>
      </c>
      <c r="D256" s="31"/>
      <c r="E256" s="31"/>
      <c r="F256" s="31"/>
      <c r="G256" s="31"/>
      <c r="H256" s="31"/>
      <c r="I256" s="31"/>
    </row>
    <row r="257" spans="1:9" x14ac:dyDescent="0.2">
      <c r="A257" s="8" t="s">
        <v>5</v>
      </c>
      <c r="B257" s="22">
        <v>43487</v>
      </c>
      <c r="C257" s="75" t="s">
        <v>11</v>
      </c>
      <c r="D257" s="31"/>
      <c r="E257" s="31"/>
      <c r="F257" s="31"/>
      <c r="G257" s="31"/>
      <c r="H257" s="31"/>
      <c r="I257" s="31"/>
    </row>
    <row r="258" spans="1:9" x14ac:dyDescent="0.2">
      <c r="A258" s="8"/>
      <c r="B258" s="22">
        <v>43487</v>
      </c>
      <c r="C258" s="77" t="s">
        <v>13</v>
      </c>
      <c r="D258" s="31"/>
      <c r="E258" s="31"/>
      <c r="F258" s="31"/>
      <c r="G258" s="31"/>
      <c r="H258" s="31"/>
      <c r="I258" s="31"/>
    </row>
    <row r="259" spans="1:9" x14ac:dyDescent="0.2">
      <c r="A259" s="8"/>
      <c r="B259" s="22">
        <v>43487</v>
      </c>
      <c r="C259" s="78" t="s">
        <v>14</v>
      </c>
      <c r="D259" s="31"/>
      <c r="E259" s="31"/>
      <c r="F259" s="31"/>
      <c r="G259" s="31"/>
      <c r="H259" s="31"/>
      <c r="I259" s="31"/>
    </row>
    <row r="260" spans="1:9" x14ac:dyDescent="0.2">
      <c r="A260" s="8"/>
      <c r="B260" s="24">
        <v>43578</v>
      </c>
      <c r="C260" s="27" t="s">
        <v>9</v>
      </c>
      <c r="D260" s="31"/>
      <c r="E260" s="31"/>
      <c r="F260" s="31">
        <v>113</v>
      </c>
      <c r="G260" s="31">
        <v>459</v>
      </c>
      <c r="H260" s="31"/>
      <c r="I260" s="31"/>
    </row>
    <row r="261" spans="1:9" x14ac:dyDescent="0.2">
      <c r="A261" s="9"/>
      <c r="B261" s="24">
        <v>43578</v>
      </c>
      <c r="C261" s="74" t="s">
        <v>10</v>
      </c>
      <c r="D261" s="31"/>
      <c r="E261" s="31"/>
      <c r="F261" s="31">
        <v>176</v>
      </c>
      <c r="G261" s="31">
        <v>476</v>
      </c>
      <c r="H261" s="31"/>
      <c r="I261" s="31"/>
    </row>
    <row r="262" spans="1:9" x14ac:dyDescent="0.2">
      <c r="A262" s="8"/>
      <c r="B262" s="24">
        <v>43578</v>
      </c>
      <c r="C262" s="75" t="s">
        <v>11</v>
      </c>
      <c r="D262" s="31"/>
      <c r="E262" s="31"/>
      <c r="F262" s="31">
        <v>120</v>
      </c>
      <c r="G262" s="31">
        <v>461</v>
      </c>
      <c r="H262" s="31"/>
      <c r="I262" s="31"/>
    </row>
    <row r="263" spans="1:9" x14ac:dyDescent="0.2">
      <c r="A263" s="8"/>
      <c r="B263" s="24">
        <v>43578</v>
      </c>
      <c r="C263" s="76" t="s">
        <v>12</v>
      </c>
      <c r="D263" s="31"/>
      <c r="E263" s="31"/>
      <c r="F263" s="31">
        <v>194</v>
      </c>
      <c r="G263" s="31">
        <v>514</v>
      </c>
      <c r="H263" s="31"/>
      <c r="I263" s="31"/>
    </row>
    <row r="264" spans="1:9" x14ac:dyDescent="0.2">
      <c r="A264" s="8"/>
      <c r="B264" s="24">
        <v>43578</v>
      </c>
      <c r="C264" s="77" t="s">
        <v>13</v>
      </c>
      <c r="D264" s="31"/>
      <c r="E264" s="31"/>
      <c r="F264" s="31">
        <v>6</v>
      </c>
      <c r="G264" s="31">
        <v>549</v>
      </c>
      <c r="H264" s="31"/>
      <c r="I264" s="31"/>
    </row>
    <row r="265" spans="1:9" x14ac:dyDescent="0.2">
      <c r="A265" s="8"/>
      <c r="B265" s="24">
        <v>43578</v>
      </c>
      <c r="C265" s="78" t="s">
        <v>14</v>
      </c>
      <c r="D265" s="31"/>
      <c r="E265" s="31"/>
      <c r="F265" s="31">
        <v>177</v>
      </c>
      <c r="G265" s="31">
        <v>472</v>
      </c>
      <c r="H265" s="31"/>
      <c r="I265" s="31"/>
    </row>
    <row r="266" spans="1:9" x14ac:dyDescent="0.2">
      <c r="A266" s="10"/>
      <c r="B266" s="22">
        <v>43704</v>
      </c>
      <c r="C266" s="27" t="s">
        <v>9</v>
      </c>
      <c r="D266" s="31"/>
      <c r="E266" s="31"/>
      <c r="F266" s="31"/>
      <c r="G266" s="31"/>
      <c r="H266" s="31"/>
      <c r="I266" s="31"/>
    </row>
    <row r="267" spans="1:9" x14ac:dyDescent="0.2">
      <c r="A267" s="9"/>
      <c r="B267" s="22">
        <v>43704</v>
      </c>
      <c r="C267" s="74" t="s">
        <v>10</v>
      </c>
      <c r="D267" s="31"/>
      <c r="E267" s="31"/>
      <c r="F267" s="31"/>
      <c r="G267" s="31"/>
      <c r="H267" s="31"/>
      <c r="I267" s="31"/>
    </row>
    <row r="268" spans="1:9" x14ac:dyDescent="0.2">
      <c r="A268" s="8"/>
      <c r="B268" s="22">
        <v>43704</v>
      </c>
      <c r="C268" s="75" t="s">
        <v>11</v>
      </c>
      <c r="D268" s="31"/>
      <c r="E268" s="31"/>
      <c r="F268" s="31"/>
      <c r="G268" s="31"/>
      <c r="H268" s="31"/>
      <c r="I268" s="31"/>
    </row>
    <row r="269" spans="1:9" x14ac:dyDescent="0.2">
      <c r="A269" s="8"/>
      <c r="B269" s="22">
        <v>43704</v>
      </c>
      <c r="C269" s="76" t="s">
        <v>12</v>
      </c>
      <c r="D269" s="31"/>
      <c r="E269" s="31"/>
      <c r="F269" s="31"/>
      <c r="G269" s="31"/>
      <c r="H269" s="31"/>
      <c r="I269" s="31"/>
    </row>
    <row r="270" spans="1:9" x14ac:dyDescent="0.2">
      <c r="A270" s="8"/>
      <c r="B270" s="22">
        <v>43704</v>
      </c>
      <c r="C270" s="77" t="s">
        <v>13</v>
      </c>
      <c r="D270" s="31"/>
      <c r="E270" s="31"/>
      <c r="F270" s="31"/>
      <c r="G270" s="31"/>
      <c r="H270" s="31"/>
      <c r="I270" s="31"/>
    </row>
    <row r="271" spans="1:9" x14ac:dyDescent="0.2">
      <c r="A271" s="8"/>
      <c r="B271" s="22">
        <v>43704</v>
      </c>
      <c r="C271" s="78" t="s">
        <v>14</v>
      </c>
      <c r="D271" s="31"/>
      <c r="E271" s="31"/>
      <c r="F271" s="31"/>
      <c r="G271" s="31"/>
      <c r="H271" s="31"/>
      <c r="I271" s="31"/>
    </row>
    <row r="272" spans="1:9" x14ac:dyDescent="0.2">
      <c r="A272" s="10"/>
      <c r="B272" s="22">
        <v>43760</v>
      </c>
      <c r="C272" s="27" t="s">
        <v>9</v>
      </c>
      <c r="D272" s="31"/>
      <c r="E272" s="31"/>
      <c r="F272" s="31">
        <v>12</v>
      </c>
      <c r="G272" s="31">
        <v>306</v>
      </c>
      <c r="H272" s="31"/>
      <c r="I272" s="31"/>
    </row>
    <row r="273" spans="1:9" x14ac:dyDescent="0.2">
      <c r="A273" s="9"/>
      <c r="B273" s="22">
        <v>43760</v>
      </c>
      <c r="C273" s="74" t="s">
        <v>10</v>
      </c>
      <c r="D273" s="31"/>
      <c r="E273" s="31"/>
      <c r="F273" s="31">
        <v>30</v>
      </c>
      <c r="G273" s="31">
        <v>302</v>
      </c>
      <c r="H273" s="31"/>
      <c r="I273" s="31"/>
    </row>
    <row r="274" spans="1:9" x14ac:dyDescent="0.2">
      <c r="A274" s="8"/>
      <c r="B274" s="22">
        <v>43760</v>
      </c>
      <c r="C274" s="75" t="s">
        <v>11</v>
      </c>
      <c r="D274" s="31"/>
      <c r="E274" s="31"/>
      <c r="F274" s="31">
        <v>11</v>
      </c>
      <c r="G274" s="31">
        <v>300</v>
      </c>
      <c r="H274" s="31"/>
      <c r="I274" s="31"/>
    </row>
    <row r="275" spans="1:9" x14ac:dyDescent="0.2">
      <c r="A275" s="8"/>
      <c r="B275" s="22">
        <v>43760</v>
      </c>
      <c r="C275" s="76" t="s">
        <v>12</v>
      </c>
      <c r="D275" s="31"/>
      <c r="E275" s="31"/>
      <c r="F275" s="31">
        <v>40</v>
      </c>
      <c r="G275" s="31">
        <v>383</v>
      </c>
      <c r="H275" s="31"/>
      <c r="I275" s="31"/>
    </row>
    <row r="276" spans="1:9" x14ac:dyDescent="0.2">
      <c r="A276" s="8"/>
      <c r="B276" s="25">
        <v>43760</v>
      </c>
      <c r="C276" s="77" t="s">
        <v>13</v>
      </c>
      <c r="D276" s="31"/>
      <c r="E276" s="31"/>
      <c r="F276" s="31">
        <v>6</v>
      </c>
      <c r="G276" s="31">
        <v>309</v>
      </c>
      <c r="H276" s="31"/>
      <c r="I276" s="31"/>
    </row>
    <row r="277" spans="1:9" x14ac:dyDescent="0.2">
      <c r="A277" s="8"/>
      <c r="B277" s="25">
        <v>43760</v>
      </c>
      <c r="C277" s="78" t="s">
        <v>14</v>
      </c>
      <c r="D277" s="31"/>
      <c r="E277" s="31"/>
      <c r="F277" s="31">
        <v>6</v>
      </c>
      <c r="G277" s="31">
        <v>420</v>
      </c>
      <c r="H277" s="31"/>
      <c r="I277" s="31"/>
    </row>
    <row r="278" spans="1:9" x14ac:dyDescent="0.2">
      <c r="A278" s="10">
        <v>2020</v>
      </c>
      <c r="B278" s="25">
        <v>44021</v>
      </c>
      <c r="C278" s="27" t="s">
        <v>9</v>
      </c>
      <c r="D278" s="31"/>
      <c r="E278" s="34"/>
      <c r="F278" s="34">
        <v>6</v>
      </c>
      <c r="G278" s="34">
        <v>359</v>
      </c>
      <c r="H278" s="34"/>
      <c r="I278" s="34"/>
    </row>
    <row r="279" spans="1:9" x14ac:dyDescent="0.2">
      <c r="A279" s="9"/>
      <c r="B279" s="25">
        <v>44021</v>
      </c>
      <c r="C279" s="74" t="s">
        <v>10</v>
      </c>
      <c r="D279" s="31"/>
      <c r="E279" s="34"/>
      <c r="F279" s="34">
        <v>6</v>
      </c>
      <c r="G279" s="34">
        <v>371</v>
      </c>
      <c r="H279" s="34"/>
      <c r="I279" s="34"/>
    </row>
    <row r="280" spans="1:9" x14ac:dyDescent="0.2">
      <c r="A280" s="8"/>
      <c r="B280" s="25">
        <v>44021</v>
      </c>
      <c r="C280" s="75" t="s">
        <v>11</v>
      </c>
      <c r="D280" s="31"/>
      <c r="E280" s="34"/>
      <c r="F280" s="34">
        <v>7</v>
      </c>
      <c r="G280" s="34">
        <v>384</v>
      </c>
      <c r="H280" s="34"/>
      <c r="I280" s="34"/>
    </row>
    <row r="281" spans="1:9" x14ac:dyDescent="0.2">
      <c r="A281" s="8"/>
      <c r="B281" s="25">
        <v>44021</v>
      </c>
      <c r="C281" s="76" t="s">
        <v>12</v>
      </c>
      <c r="D281" s="31"/>
      <c r="E281" s="34"/>
      <c r="F281" s="34">
        <v>12</v>
      </c>
      <c r="G281" s="34">
        <v>408</v>
      </c>
      <c r="H281" s="34"/>
      <c r="I281" s="34"/>
    </row>
    <row r="282" spans="1:9" x14ac:dyDescent="0.2">
      <c r="A282" s="8"/>
      <c r="B282" s="25">
        <v>44021</v>
      </c>
      <c r="C282" s="77" t="s">
        <v>13</v>
      </c>
      <c r="D282" s="31"/>
      <c r="E282" s="34"/>
      <c r="F282" s="34">
        <v>11</v>
      </c>
      <c r="G282" s="34">
        <v>368</v>
      </c>
      <c r="H282" s="34"/>
      <c r="I282" s="34"/>
    </row>
    <row r="283" spans="1:9" x14ac:dyDescent="0.2">
      <c r="A283" s="8"/>
      <c r="B283" s="25">
        <v>44021</v>
      </c>
      <c r="C283" s="78" t="s">
        <v>14</v>
      </c>
      <c r="D283" s="31"/>
      <c r="E283" s="34"/>
      <c r="F283" s="31">
        <v>6</v>
      </c>
      <c r="G283" s="34">
        <v>464</v>
      </c>
      <c r="H283" s="34"/>
      <c r="I283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118"/>
  <sheetViews>
    <sheetView topLeftCell="A37" workbookViewId="0">
      <selection activeCell="E1" sqref="E1"/>
    </sheetView>
  </sheetViews>
  <sheetFormatPr defaultColWidth="11.42578125" defaultRowHeight="12.75" x14ac:dyDescent="0.2"/>
  <cols>
    <col min="2" max="2" width="14.140625" bestFit="1" customWidth="1"/>
  </cols>
  <sheetData>
    <row r="1" spans="1:43" x14ac:dyDescent="0.2">
      <c r="AQ1" s="72"/>
    </row>
    <row r="2" spans="1:43" x14ac:dyDescent="0.2">
      <c r="AQ2" s="72"/>
    </row>
    <row r="3" spans="1:43" x14ac:dyDescent="0.2">
      <c r="AQ3" s="72"/>
    </row>
    <row r="4" spans="1:43" x14ac:dyDescent="0.2">
      <c r="AQ4" s="72"/>
    </row>
    <row r="5" spans="1:43" x14ac:dyDescent="0.2">
      <c r="AQ5" s="72"/>
    </row>
    <row r="6" spans="1:43" x14ac:dyDescent="0.2">
      <c r="AQ6" s="72"/>
    </row>
    <row r="7" spans="1:43" ht="18" x14ac:dyDescent="0.25">
      <c r="A7" s="1" t="s">
        <v>0</v>
      </c>
      <c r="AQ7" s="72"/>
    </row>
    <row r="8" spans="1:43" x14ac:dyDescent="0.2">
      <c r="A8" s="2" t="s">
        <v>1</v>
      </c>
    </row>
    <row r="9" spans="1:43" x14ac:dyDescent="0.2">
      <c r="A9" s="2" t="s">
        <v>103</v>
      </c>
      <c r="B9" s="3"/>
    </row>
    <row r="11" spans="1:43" x14ac:dyDescent="0.2">
      <c r="A11" s="34"/>
      <c r="B11" s="36" t="s">
        <v>55</v>
      </c>
    </row>
    <row r="12" spans="1:43" x14ac:dyDescent="0.2">
      <c r="A12" s="34"/>
      <c r="B12" s="29" t="s">
        <v>22</v>
      </c>
    </row>
    <row r="13" spans="1:43" x14ac:dyDescent="0.2">
      <c r="A13" s="12" t="s">
        <v>7</v>
      </c>
      <c r="B13" s="27" t="s">
        <v>9</v>
      </c>
      <c r="C13" s="74" t="s">
        <v>10</v>
      </c>
      <c r="D13" s="75" t="s">
        <v>11</v>
      </c>
      <c r="E13" s="76" t="s">
        <v>12</v>
      </c>
      <c r="F13" s="77" t="s">
        <v>13</v>
      </c>
      <c r="G13" s="78" t="s">
        <v>14</v>
      </c>
    </row>
    <row r="14" spans="1:43" x14ac:dyDescent="0.2">
      <c r="A14" s="18">
        <v>37046</v>
      </c>
      <c r="B14" s="34">
        <v>41</v>
      </c>
      <c r="C14" s="34">
        <v>185</v>
      </c>
      <c r="D14" s="34">
        <v>209</v>
      </c>
      <c r="E14" s="34">
        <v>74</v>
      </c>
      <c r="F14" s="34"/>
      <c r="G14" s="34"/>
    </row>
    <row r="15" spans="1:43" x14ac:dyDescent="0.2">
      <c r="A15" s="18">
        <v>37076</v>
      </c>
      <c r="B15" s="34">
        <v>0</v>
      </c>
      <c r="C15" s="34">
        <v>3</v>
      </c>
      <c r="D15" s="34">
        <v>7</v>
      </c>
      <c r="E15" s="34">
        <v>4</v>
      </c>
      <c r="F15" s="34"/>
      <c r="G15" s="34"/>
    </row>
    <row r="16" spans="1:43" x14ac:dyDescent="0.2">
      <c r="A16" s="18">
        <v>37335</v>
      </c>
      <c r="B16" s="34">
        <v>11</v>
      </c>
      <c r="C16" s="34">
        <v>11</v>
      </c>
      <c r="D16" s="34">
        <v>22</v>
      </c>
      <c r="E16" s="34">
        <v>81</v>
      </c>
      <c r="F16" s="34"/>
      <c r="G16" s="34"/>
    </row>
    <row r="17" spans="1:7" x14ac:dyDescent="0.2">
      <c r="A17" s="18">
        <v>37566</v>
      </c>
      <c r="B17" s="34"/>
      <c r="C17" s="34"/>
      <c r="D17" s="34"/>
      <c r="E17" s="34"/>
      <c r="F17" s="34"/>
      <c r="G17" s="34"/>
    </row>
    <row r="18" spans="1:7" x14ac:dyDescent="0.2">
      <c r="A18" s="18">
        <v>37594</v>
      </c>
      <c r="B18" s="34"/>
      <c r="C18" s="34"/>
      <c r="D18" s="34"/>
      <c r="E18" s="34"/>
      <c r="F18" s="34"/>
      <c r="G18" s="34"/>
    </row>
    <row r="19" spans="1:7" x14ac:dyDescent="0.2">
      <c r="A19" s="18">
        <v>37711</v>
      </c>
      <c r="B19" s="34"/>
      <c r="C19" s="34"/>
      <c r="D19" s="34"/>
      <c r="E19" s="34"/>
      <c r="F19" s="34"/>
      <c r="G19" s="34"/>
    </row>
    <row r="20" spans="1:7" x14ac:dyDescent="0.2">
      <c r="A20" s="18">
        <v>37739</v>
      </c>
      <c r="B20" s="34"/>
      <c r="C20" s="34"/>
      <c r="D20" s="34"/>
      <c r="E20" s="34"/>
      <c r="F20" s="34"/>
      <c r="G20" s="34"/>
    </row>
    <row r="21" spans="1:7" x14ac:dyDescent="0.2">
      <c r="A21" s="18">
        <v>37825</v>
      </c>
      <c r="B21" s="34">
        <v>0</v>
      </c>
      <c r="C21" s="34">
        <v>0</v>
      </c>
      <c r="D21" s="34">
        <v>0</v>
      </c>
      <c r="E21" s="34">
        <v>22</v>
      </c>
      <c r="F21" s="34"/>
      <c r="G21" s="34"/>
    </row>
    <row r="22" spans="1:7" x14ac:dyDescent="0.2">
      <c r="A22" s="18">
        <v>37888</v>
      </c>
      <c r="B22" s="34"/>
      <c r="C22" s="34"/>
      <c r="D22" s="34"/>
      <c r="E22" s="34"/>
      <c r="F22" s="34"/>
      <c r="G22" s="34"/>
    </row>
    <row r="23" spans="1:7" x14ac:dyDescent="0.2">
      <c r="A23" s="18">
        <v>37963</v>
      </c>
      <c r="B23" s="34"/>
      <c r="C23" s="34"/>
      <c r="D23" s="34"/>
      <c r="E23" s="34"/>
      <c r="F23" s="34"/>
      <c r="G23" s="34"/>
    </row>
    <row r="24" spans="1:7" x14ac:dyDescent="0.2">
      <c r="A24" s="18">
        <v>38012</v>
      </c>
      <c r="B24" s="34"/>
      <c r="C24" s="34"/>
      <c r="D24" s="34"/>
      <c r="E24" s="34"/>
      <c r="F24" s="34"/>
      <c r="G24" s="34"/>
    </row>
    <row r="25" spans="1:7" x14ac:dyDescent="0.2">
      <c r="A25" s="18">
        <v>38033</v>
      </c>
      <c r="B25" s="34"/>
      <c r="C25" s="34"/>
      <c r="D25" s="34"/>
      <c r="E25" s="34"/>
      <c r="F25" s="34"/>
      <c r="G25" s="34"/>
    </row>
    <row r="26" spans="1:7" x14ac:dyDescent="0.2">
      <c r="A26" s="18">
        <v>38271</v>
      </c>
      <c r="B26" s="34">
        <v>0</v>
      </c>
      <c r="C26" s="34">
        <v>0</v>
      </c>
      <c r="D26" s="34">
        <v>0</v>
      </c>
      <c r="E26" s="34">
        <v>33</v>
      </c>
      <c r="F26" s="34"/>
      <c r="G26" s="34"/>
    </row>
    <row r="27" spans="1:7" x14ac:dyDescent="0.2">
      <c r="A27" s="18">
        <v>38474</v>
      </c>
      <c r="B27" s="34"/>
      <c r="C27" s="34"/>
      <c r="D27" s="34"/>
      <c r="E27" s="34"/>
      <c r="F27" s="34"/>
      <c r="G27" s="34"/>
    </row>
    <row r="28" spans="1:7" x14ac:dyDescent="0.2">
      <c r="A28" s="18">
        <v>38896</v>
      </c>
      <c r="B28" s="34">
        <v>0</v>
      </c>
      <c r="C28" s="34">
        <v>1</v>
      </c>
      <c r="D28" s="34">
        <v>1</v>
      </c>
      <c r="E28" s="34">
        <v>4</v>
      </c>
      <c r="F28" s="34"/>
      <c r="G28" s="34"/>
    </row>
    <row r="29" spans="1:7" x14ac:dyDescent="0.2">
      <c r="A29" s="18">
        <v>40625</v>
      </c>
      <c r="B29" s="34">
        <v>38</v>
      </c>
      <c r="C29" s="34">
        <v>22</v>
      </c>
      <c r="D29" s="34">
        <v>28</v>
      </c>
      <c r="E29" s="34">
        <v>193</v>
      </c>
      <c r="F29" s="34">
        <v>37</v>
      </c>
      <c r="G29" s="34">
        <v>37</v>
      </c>
    </row>
    <row r="30" spans="1:7" x14ac:dyDescent="0.2">
      <c r="A30" s="18">
        <v>40716</v>
      </c>
      <c r="B30" s="34"/>
      <c r="C30" s="34"/>
      <c r="D30" s="34"/>
      <c r="E30" s="34"/>
      <c r="F30" s="34"/>
      <c r="G30" s="34"/>
    </row>
    <row r="31" spans="1:7" x14ac:dyDescent="0.2">
      <c r="A31" s="18">
        <v>40821</v>
      </c>
      <c r="B31" s="34">
        <v>105</v>
      </c>
      <c r="C31" s="34">
        <v>116</v>
      </c>
      <c r="D31" s="34">
        <v>101</v>
      </c>
      <c r="E31" s="34">
        <v>143</v>
      </c>
      <c r="F31" s="34">
        <v>103</v>
      </c>
      <c r="G31" s="34">
        <v>9</v>
      </c>
    </row>
    <row r="32" spans="1:7" x14ac:dyDescent="0.2">
      <c r="A32" s="18">
        <v>40897</v>
      </c>
      <c r="B32" s="34"/>
      <c r="C32" s="34"/>
      <c r="D32" s="34"/>
      <c r="E32" s="34"/>
      <c r="F32" s="34"/>
      <c r="G32" s="34"/>
    </row>
    <row r="33" spans="1:7" x14ac:dyDescent="0.2">
      <c r="A33" s="18">
        <v>41008</v>
      </c>
      <c r="B33" s="34">
        <v>13</v>
      </c>
      <c r="C33" s="34">
        <v>153</v>
      </c>
      <c r="D33" s="34">
        <v>2320</v>
      </c>
      <c r="E33" s="34">
        <v>180</v>
      </c>
      <c r="F33" s="34">
        <v>170</v>
      </c>
      <c r="G33" s="34">
        <v>9</v>
      </c>
    </row>
    <row r="34" spans="1:7" x14ac:dyDescent="0.2">
      <c r="A34" s="18">
        <v>41086</v>
      </c>
      <c r="B34" s="34"/>
      <c r="C34" s="34"/>
      <c r="D34" s="34"/>
      <c r="E34" s="34"/>
      <c r="F34" s="34"/>
      <c r="G34" s="34"/>
    </row>
    <row r="35" spans="1:7" x14ac:dyDescent="0.2">
      <c r="A35" s="18">
        <v>41179</v>
      </c>
      <c r="B35" s="34">
        <v>6.4</v>
      </c>
      <c r="C35" s="34">
        <v>6.4</v>
      </c>
      <c r="D35" s="34">
        <v>6.4</v>
      </c>
      <c r="E35" s="34">
        <v>6.4</v>
      </c>
      <c r="F35" s="34">
        <v>6.4</v>
      </c>
      <c r="G35" s="34">
        <v>6.4</v>
      </c>
    </row>
    <row r="36" spans="1:7" x14ac:dyDescent="0.2">
      <c r="A36" s="18">
        <v>41247</v>
      </c>
      <c r="B36" s="34"/>
      <c r="C36" s="34"/>
      <c r="D36" s="34"/>
      <c r="E36" s="34"/>
      <c r="F36" s="34"/>
      <c r="G36" s="34"/>
    </row>
    <row r="37" spans="1:7" x14ac:dyDescent="0.2">
      <c r="A37" s="18">
        <v>41352</v>
      </c>
      <c r="B37" s="34">
        <v>128</v>
      </c>
      <c r="C37" s="34">
        <v>124</v>
      </c>
      <c r="D37" s="34">
        <v>116</v>
      </c>
      <c r="E37" s="34">
        <v>155</v>
      </c>
      <c r="F37" s="34">
        <v>130</v>
      </c>
      <c r="G37" s="34">
        <v>6.4</v>
      </c>
    </row>
    <row r="38" spans="1:7" x14ac:dyDescent="0.2">
      <c r="A38" s="18">
        <v>41445</v>
      </c>
      <c r="B38" s="34"/>
      <c r="C38" s="34"/>
      <c r="D38" s="34"/>
      <c r="E38" s="34"/>
      <c r="F38" s="34"/>
      <c r="G38" s="34"/>
    </row>
    <row r="39" spans="1:7" x14ac:dyDescent="0.2">
      <c r="A39" s="18">
        <v>41528</v>
      </c>
      <c r="B39" s="34">
        <v>6</v>
      </c>
      <c r="C39" s="34">
        <v>6</v>
      </c>
      <c r="D39" s="34">
        <v>6</v>
      </c>
      <c r="E39" s="34">
        <v>6</v>
      </c>
      <c r="F39" s="34">
        <v>6</v>
      </c>
      <c r="G39" s="34">
        <v>6</v>
      </c>
    </row>
    <row r="40" spans="1:7" x14ac:dyDescent="0.2">
      <c r="A40" s="18">
        <v>41670</v>
      </c>
      <c r="B40" s="34"/>
      <c r="C40" s="34"/>
      <c r="D40" s="34"/>
      <c r="E40" s="34"/>
      <c r="F40" s="34"/>
      <c r="G40" s="34"/>
    </row>
    <row r="41" spans="1:7" x14ac:dyDescent="0.2">
      <c r="A41" s="18">
        <v>41758</v>
      </c>
      <c r="B41" s="34">
        <v>15</v>
      </c>
      <c r="C41" s="34">
        <v>22</v>
      </c>
      <c r="D41" s="34">
        <v>28</v>
      </c>
      <c r="E41" s="34">
        <v>134</v>
      </c>
      <c r="F41" s="34">
        <v>48</v>
      </c>
      <c r="G41" s="34">
        <v>47</v>
      </c>
    </row>
    <row r="42" spans="1:7" x14ac:dyDescent="0.2">
      <c r="A42" s="18">
        <v>41835</v>
      </c>
      <c r="B42" s="34"/>
      <c r="C42" s="34"/>
      <c r="D42" s="34"/>
      <c r="E42" s="34"/>
      <c r="F42" s="34"/>
      <c r="G42" s="34"/>
    </row>
    <row r="43" spans="1:7" x14ac:dyDescent="0.2">
      <c r="A43" s="18">
        <v>42031</v>
      </c>
      <c r="B43" s="34"/>
      <c r="C43" s="34"/>
      <c r="D43" s="34"/>
      <c r="E43" s="34"/>
      <c r="F43" s="34"/>
      <c r="G43" s="34"/>
    </row>
    <row r="44" spans="1:7" x14ac:dyDescent="0.2">
      <c r="A44" s="18">
        <v>42094</v>
      </c>
      <c r="B44" s="34">
        <v>85</v>
      </c>
      <c r="C44" s="34">
        <v>180</v>
      </c>
      <c r="D44" s="34">
        <v>180</v>
      </c>
      <c r="E44" s="34">
        <v>420</v>
      </c>
      <c r="F44" s="34">
        <v>98</v>
      </c>
      <c r="G44" s="34">
        <v>115</v>
      </c>
    </row>
    <row r="45" spans="1:7" x14ac:dyDescent="0.2">
      <c r="A45" s="18">
        <v>42192</v>
      </c>
      <c r="B45" s="34"/>
      <c r="C45" s="34"/>
      <c r="D45" s="34"/>
      <c r="E45" s="34"/>
      <c r="F45" s="34"/>
      <c r="G45" s="34"/>
    </row>
    <row r="46" spans="1:7" x14ac:dyDescent="0.2">
      <c r="A46" s="18">
        <v>42290</v>
      </c>
      <c r="B46" s="34">
        <v>6</v>
      </c>
      <c r="C46" s="34">
        <v>6</v>
      </c>
      <c r="D46" s="34">
        <v>6</v>
      </c>
      <c r="E46" s="34">
        <v>6</v>
      </c>
      <c r="F46" s="34">
        <v>6</v>
      </c>
      <c r="G46" s="34"/>
    </row>
    <row r="47" spans="1:7" x14ac:dyDescent="0.2">
      <c r="A47" s="18">
        <v>42381</v>
      </c>
      <c r="B47" s="34"/>
      <c r="C47" s="34"/>
      <c r="D47" s="34"/>
      <c r="E47" s="34"/>
      <c r="F47" s="34"/>
      <c r="G47" s="34"/>
    </row>
    <row r="48" spans="1:7" x14ac:dyDescent="0.2">
      <c r="A48" s="18">
        <v>42479</v>
      </c>
      <c r="B48" s="34">
        <v>8</v>
      </c>
      <c r="C48" s="34">
        <v>12</v>
      </c>
      <c r="D48" s="34">
        <v>9</v>
      </c>
      <c r="E48" s="34">
        <v>42</v>
      </c>
      <c r="F48" s="34">
        <v>8</v>
      </c>
      <c r="G48" s="34">
        <v>6</v>
      </c>
    </row>
    <row r="49" spans="1:7" x14ac:dyDescent="0.2">
      <c r="A49" s="18">
        <v>42570</v>
      </c>
      <c r="B49" s="34"/>
      <c r="C49" s="34"/>
      <c r="D49" s="34"/>
      <c r="E49" s="34"/>
      <c r="F49" s="34"/>
      <c r="G49" s="34"/>
    </row>
    <row r="50" spans="1:7" x14ac:dyDescent="0.2">
      <c r="A50" s="18">
        <v>42654</v>
      </c>
      <c r="B50" s="34">
        <v>6</v>
      </c>
      <c r="C50" s="34">
        <v>6</v>
      </c>
      <c r="D50" s="34">
        <v>6</v>
      </c>
      <c r="E50" s="34">
        <v>6</v>
      </c>
      <c r="F50" s="34">
        <v>6</v>
      </c>
      <c r="G50" s="34">
        <v>6</v>
      </c>
    </row>
    <row r="51" spans="1:7" x14ac:dyDescent="0.2">
      <c r="A51" s="18">
        <v>42745</v>
      </c>
      <c r="B51" s="34"/>
      <c r="C51" s="34"/>
      <c r="D51" s="34"/>
      <c r="E51" s="34"/>
      <c r="F51" s="34"/>
      <c r="G51" s="34"/>
    </row>
    <row r="52" spans="1:7" x14ac:dyDescent="0.2">
      <c r="A52" s="18">
        <v>42843</v>
      </c>
      <c r="B52" s="34">
        <v>7</v>
      </c>
      <c r="C52" s="34">
        <v>10</v>
      </c>
      <c r="D52" s="34">
        <v>11</v>
      </c>
      <c r="E52" s="34">
        <v>20</v>
      </c>
      <c r="F52" s="34">
        <v>18</v>
      </c>
      <c r="G52" s="34">
        <v>4</v>
      </c>
    </row>
    <row r="53" spans="1:7" x14ac:dyDescent="0.2">
      <c r="A53" s="18">
        <v>42934</v>
      </c>
      <c r="B53" s="34"/>
      <c r="C53" s="34"/>
      <c r="D53" s="34"/>
      <c r="E53" s="34"/>
      <c r="F53" s="34"/>
      <c r="G53" s="34"/>
    </row>
    <row r="54" spans="1:7" x14ac:dyDescent="0.2">
      <c r="A54" s="18">
        <v>43025</v>
      </c>
      <c r="B54" s="34">
        <v>6</v>
      </c>
      <c r="C54" s="34">
        <v>7</v>
      </c>
      <c r="D54" s="34">
        <v>6</v>
      </c>
      <c r="E54" s="34">
        <v>6</v>
      </c>
      <c r="F54" s="34">
        <v>6</v>
      </c>
      <c r="G54" s="34">
        <v>6</v>
      </c>
    </row>
    <row r="55" spans="1:7" x14ac:dyDescent="0.2">
      <c r="A55" s="18">
        <v>43109</v>
      </c>
      <c r="B55" s="34">
        <v>9</v>
      </c>
      <c r="C55" s="34">
        <v>8</v>
      </c>
      <c r="D55" s="34">
        <v>11</v>
      </c>
      <c r="E55" s="34">
        <v>22</v>
      </c>
      <c r="F55" s="34">
        <v>17</v>
      </c>
      <c r="G55" s="34">
        <v>8</v>
      </c>
    </row>
    <row r="56" spans="1:7" x14ac:dyDescent="0.2">
      <c r="A56" s="18">
        <v>43193</v>
      </c>
      <c r="B56" s="34">
        <v>230</v>
      </c>
      <c r="C56" s="34">
        <v>198</v>
      </c>
      <c r="D56" s="34">
        <v>180</v>
      </c>
      <c r="E56" s="34">
        <v>290</v>
      </c>
      <c r="F56" s="34">
        <v>198</v>
      </c>
      <c r="G56" s="34">
        <v>15</v>
      </c>
    </row>
    <row r="57" spans="1:7" x14ac:dyDescent="0.2">
      <c r="A57" s="18">
        <v>43298</v>
      </c>
      <c r="B57" s="34"/>
      <c r="C57" s="34"/>
      <c r="D57" s="34"/>
      <c r="E57" s="34"/>
      <c r="F57" s="34"/>
      <c r="G57" s="34"/>
    </row>
    <row r="58" spans="1:7" x14ac:dyDescent="0.2">
      <c r="A58" s="18">
        <v>43403</v>
      </c>
      <c r="B58" s="34">
        <v>18</v>
      </c>
      <c r="C58" s="34">
        <v>31</v>
      </c>
      <c r="D58" s="34">
        <v>19</v>
      </c>
      <c r="E58" s="34">
        <v>22</v>
      </c>
      <c r="F58" s="34">
        <v>27</v>
      </c>
      <c r="G58" s="34">
        <v>6</v>
      </c>
    </row>
    <row r="59" spans="1:7" x14ac:dyDescent="0.2">
      <c r="A59" s="18">
        <v>43487</v>
      </c>
      <c r="B59" s="34"/>
      <c r="C59" s="34"/>
      <c r="D59" s="34"/>
      <c r="E59" s="34"/>
      <c r="F59" s="34"/>
      <c r="G59" s="34"/>
    </row>
    <row r="60" spans="1:7" x14ac:dyDescent="0.2">
      <c r="A60" s="18">
        <v>43578</v>
      </c>
      <c r="B60" s="34">
        <v>113</v>
      </c>
      <c r="C60" s="34">
        <v>176</v>
      </c>
      <c r="D60" s="34">
        <v>120</v>
      </c>
      <c r="E60" s="34">
        <v>194</v>
      </c>
      <c r="F60" s="34">
        <v>6</v>
      </c>
      <c r="G60" s="34">
        <v>177</v>
      </c>
    </row>
    <row r="61" spans="1:7" x14ac:dyDescent="0.2">
      <c r="A61" s="18">
        <v>43704</v>
      </c>
      <c r="B61" s="34"/>
      <c r="C61" s="34"/>
      <c r="D61" s="34"/>
      <c r="E61" s="34"/>
      <c r="F61" s="34"/>
      <c r="G61" s="34"/>
    </row>
    <row r="62" spans="1:7" x14ac:dyDescent="0.2">
      <c r="A62" s="18">
        <v>43760</v>
      </c>
      <c r="B62" s="34">
        <v>12</v>
      </c>
      <c r="C62" s="34">
        <v>30</v>
      </c>
      <c r="D62" s="34">
        <v>11</v>
      </c>
      <c r="E62" s="34">
        <v>40</v>
      </c>
      <c r="F62" s="34">
        <v>6</v>
      </c>
      <c r="G62" s="34">
        <v>6</v>
      </c>
    </row>
    <row r="63" spans="1:7" x14ac:dyDescent="0.2">
      <c r="A63" s="18">
        <v>44021</v>
      </c>
      <c r="B63" s="34">
        <v>6</v>
      </c>
      <c r="C63" s="34">
        <v>6</v>
      </c>
      <c r="D63" s="34">
        <v>7</v>
      </c>
      <c r="E63" s="34">
        <v>12</v>
      </c>
      <c r="F63" s="34">
        <v>11</v>
      </c>
      <c r="G63" s="34">
        <v>6</v>
      </c>
    </row>
    <row r="66" spans="1:7" x14ac:dyDescent="0.2">
      <c r="A66" s="34"/>
      <c r="B66" s="36" t="s">
        <v>58</v>
      </c>
    </row>
    <row r="67" spans="1:7" x14ac:dyDescent="0.2">
      <c r="A67" s="34"/>
      <c r="B67" s="29" t="s">
        <v>22</v>
      </c>
    </row>
    <row r="68" spans="1:7" x14ac:dyDescent="0.2">
      <c r="A68" s="12" t="s">
        <v>7</v>
      </c>
      <c r="B68" s="27" t="s">
        <v>9</v>
      </c>
      <c r="C68" s="74" t="s">
        <v>10</v>
      </c>
      <c r="D68" s="75" t="s">
        <v>11</v>
      </c>
      <c r="E68" s="76" t="s">
        <v>12</v>
      </c>
      <c r="F68" s="77" t="s">
        <v>13</v>
      </c>
      <c r="G68" s="78" t="s">
        <v>14</v>
      </c>
    </row>
    <row r="69" spans="1:7" x14ac:dyDescent="0.2">
      <c r="A69" s="18">
        <v>37046</v>
      </c>
      <c r="B69" s="34">
        <v>313</v>
      </c>
      <c r="C69" s="34">
        <v>453</v>
      </c>
      <c r="D69" s="34">
        <v>470</v>
      </c>
      <c r="E69" s="34">
        <v>350</v>
      </c>
      <c r="F69" s="34"/>
      <c r="G69" s="34"/>
    </row>
    <row r="70" spans="1:7" x14ac:dyDescent="0.2">
      <c r="A70" s="18">
        <v>37076</v>
      </c>
      <c r="B70" s="34">
        <v>293</v>
      </c>
      <c r="C70" s="34">
        <v>297</v>
      </c>
      <c r="D70" s="34">
        <v>305</v>
      </c>
      <c r="E70" s="34">
        <v>322</v>
      </c>
      <c r="F70" s="34"/>
      <c r="G70" s="34"/>
    </row>
    <row r="71" spans="1:7" x14ac:dyDescent="0.2">
      <c r="A71" s="18">
        <v>37335</v>
      </c>
      <c r="B71" s="34">
        <v>426</v>
      </c>
      <c r="C71" s="34">
        <v>439</v>
      </c>
      <c r="D71" s="34">
        <v>477</v>
      </c>
      <c r="E71" s="34">
        <v>534</v>
      </c>
      <c r="F71" s="34"/>
      <c r="G71" s="34"/>
    </row>
    <row r="72" spans="1:7" x14ac:dyDescent="0.2">
      <c r="A72" s="18">
        <v>37566</v>
      </c>
      <c r="B72" s="34">
        <v>927.8</v>
      </c>
      <c r="C72" s="34">
        <v>969</v>
      </c>
      <c r="D72" s="34">
        <v>1118</v>
      </c>
      <c r="E72" s="34">
        <v>1876</v>
      </c>
      <c r="F72" s="34"/>
      <c r="G72" s="34"/>
    </row>
    <row r="73" spans="1:7" x14ac:dyDescent="0.2">
      <c r="A73" s="18">
        <v>37594</v>
      </c>
      <c r="B73" s="34">
        <v>438</v>
      </c>
      <c r="C73" s="34">
        <v>463</v>
      </c>
      <c r="D73" s="34">
        <v>453</v>
      </c>
      <c r="E73" s="34">
        <v>460</v>
      </c>
      <c r="F73" s="34"/>
      <c r="G73" s="34"/>
    </row>
    <row r="74" spans="1:7" x14ac:dyDescent="0.2">
      <c r="A74" s="18">
        <v>37711</v>
      </c>
      <c r="B74" s="34">
        <v>306</v>
      </c>
      <c r="C74" s="34">
        <v>305</v>
      </c>
      <c r="D74" s="34"/>
      <c r="E74" s="34"/>
      <c r="F74" s="34"/>
      <c r="G74" s="34"/>
    </row>
    <row r="75" spans="1:7" x14ac:dyDescent="0.2">
      <c r="A75" s="18">
        <v>37739</v>
      </c>
      <c r="B75" s="34">
        <v>813</v>
      </c>
      <c r="C75" s="34">
        <v>977</v>
      </c>
      <c r="D75" s="34">
        <v>794</v>
      </c>
      <c r="E75" s="34">
        <v>1084</v>
      </c>
      <c r="F75" s="34"/>
      <c r="G75" s="34"/>
    </row>
    <row r="76" spans="1:7" x14ac:dyDescent="0.2">
      <c r="A76" s="18">
        <v>37825</v>
      </c>
      <c r="B76" s="34">
        <v>338</v>
      </c>
      <c r="C76" s="34">
        <v>364</v>
      </c>
      <c r="D76" s="34">
        <v>341</v>
      </c>
      <c r="E76" s="34">
        <v>329</v>
      </c>
      <c r="F76" s="34"/>
      <c r="G76" s="34"/>
    </row>
    <row r="77" spans="1:7" x14ac:dyDescent="0.2">
      <c r="A77" s="18">
        <v>37888</v>
      </c>
      <c r="B77" s="34">
        <v>449</v>
      </c>
      <c r="C77" s="34">
        <v>469</v>
      </c>
      <c r="D77" s="34">
        <v>426</v>
      </c>
      <c r="E77" s="34">
        <v>459</v>
      </c>
      <c r="F77" s="34"/>
      <c r="G77" s="34"/>
    </row>
    <row r="78" spans="1:7" x14ac:dyDescent="0.2">
      <c r="A78" s="18">
        <v>37963</v>
      </c>
      <c r="B78" s="34">
        <v>396</v>
      </c>
      <c r="C78" s="34">
        <v>408</v>
      </c>
      <c r="D78" s="34">
        <v>426</v>
      </c>
      <c r="E78" s="34">
        <v>434</v>
      </c>
      <c r="F78" s="34"/>
      <c r="G78" s="34"/>
    </row>
    <row r="79" spans="1:7" x14ac:dyDescent="0.2">
      <c r="A79" s="18">
        <v>38012</v>
      </c>
      <c r="B79" s="34">
        <v>429</v>
      </c>
      <c r="C79" s="34">
        <v>454</v>
      </c>
      <c r="D79" s="34">
        <v>452</v>
      </c>
      <c r="E79" s="34">
        <v>460</v>
      </c>
      <c r="F79" s="34"/>
      <c r="G79" s="34"/>
    </row>
    <row r="80" spans="1:7" x14ac:dyDescent="0.2">
      <c r="A80" s="18">
        <v>38033</v>
      </c>
      <c r="B80" s="34">
        <v>432</v>
      </c>
      <c r="C80" s="34">
        <v>468</v>
      </c>
      <c r="D80" s="34">
        <v>399</v>
      </c>
      <c r="E80" s="34">
        <v>478</v>
      </c>
      <c r="F80" s="34"/>
      <c r="G80" s="34"/>
    </row>
    <row r="81" spans="1:7" x14ac:dyDescent="0.2">
      <c r="A81" s="18">
        <v>38271</v>
      </c>
      <c r="B81" s="34">
        <v>411</v>
      </c>
      <c r="C81" s="34">
        <v>420</v>
      </c>
      <c r="D81" s="34">
        <v>428</v>
      </c>
      <c r="E81" s="34">
        <v>461</v>
      </c>
      <c r="F81" s="34"/>
      <c r="G81" s="34"/>
    </row>
    <row r="82" spans="1:7" x14ac:dyDescent="0.2">
      <c r="A82" s="18">
        <v>38474</v>
      </c>
      <c r="B82" s="34">
        <v>461</v>
      </c>
      <c r="C82" s="34">
        <v>481</v>
      </c>
      <c r="D82" s="34">
        <v>497</v>
      </c>
      <c r="E82" s="34">
        <v>593</v>
      </c>
      <c r="F82" s="34"/>
      <c r="G82" s="34"/>
    </row>
    <row r="83" spans="1:7" x14ac:dyDescent="0.2">
      <c r="A83" s="18">
        <v>38896</v>
      </c>
      <c r="B83" s="34">
        <v>349</v>
      </c>
      <c r="C83" s="34">
        <v>358</v>
      </c>
      <c r="D83" s="34">
        <v>359</v>
      </c>
      <c r="E83" s="34">
        <v>405</v>
      </c>
      <c r="F83" s="34"/>
      <c r="G83" s="34"/>
    </row>
    <row r="84" spans="1:7" x14ac:dyDescent="0.2">
      <c r="A84" s="18">
        <v>40625</v>
      </c>
      <c r="B84" s="34">
        <v>320</v>
      </c>
      <c r="C84" s="34">
        <v>328</v>
      </c>
      <c r="D84" s="34">
        <v>337</v>
      </c>
      <c r="E84" s="34">
        <v>513</v>
      </c>
      <c r="F84" s="34">
        <v>342</v>
      </c>
      <c r="G84" s="34">
        <v>455</v>
      </c>
    </row>
    <row r="85" spans="1:7" x14ac:dyDescent="0.2">
      <c r="A85" s="18">
        <v>40716</v>
      </c>
      <c r="B85" s="34"/>
      <c r="C85" s="34"/>
      <c r="D85" s="34"/>
      <c r="E85" s="34"/>
      <c r="F85" s="34"/>
      <c r="G85" s="34"/>
    </row>
    <row r="86" spans="1:7" x14ac:dyDescent="0.2">
      <c r="A86" s="18">
        <v>40821</v>
      </c>
      <c r="B86" s="34">
        <v>366</v>
      </c>
      <c r="C86" s="34">
        <v>412</v>
      </c>
      <c r="D86" s="34">
        <v>430</v>
      </c>
      <c r="E86" s="34">
        <v>438</v>
      </c>
      <c r="F86" s="34">
        <v>399</v>
      </c>
      <c r="G86" s="34">
        <v>367</v>
      </c>
    </row>
    <row r="87" spans="1:7" x14ac:dyDescent="0.2">
      <c r="A87" s="18">
        <v>40897</v>
      </c>
      <c r="B87" s="34"/>
      <c r="C87" s="34"/>
      <c r="D87" s="34"/>
      <c r="E87" s="34"/>
      <c r="F87" s="34"/>
      <c r="G87" s="34"/>
    </row>
    <row r="88" spans="1:7" x14ac:dyDescent="0.2">
      <c r="A88" s="18">
        <v>41008</v>
      </c>
      <c r="B88" s="34">
        <v>255</v>
      </c>
      <c r="C88" s="34">
        <v>367</v>
      </c>
      <c r="D88" s="34">
        <v>2968</v>
      </c>
      <c r="E88" s="34">
        <v>458</v>
      </c>
      <c r="F88" s="34">
        <v>398</v>
      </c>
      <c r="G88" s="34">
        <v>403</v>
      </c>
    </row>
    <row r="89" spans="1:7" x14ac:dyDescent="0.2">
      <c r="A89" s="18">
        <v>41086</v>
      </c>
      <c r="B89" s="34"/>
      <c r="C89" s="34"/>
      <c r="D89" s="34"/>
      <c r="E89" s="34"/>
      <c r="F89" s="34"/>
      <c r="G89" s="34"/>
    </row>
    <row r="90" spans="1:7" x14ac:dyDescent="0.2">
      <c r="A90" s="18">
        <v>41179</v>
      </c>
      <c r="B90" s="34">
        <v>401</v>
      </c>
      <c r="C90" s="34">
        <v>382</v>
      </c>
      <c r="D90" s="34">
        <v>375</v>
      </c>
      <c r="E90" s="34">
        <v>464</v>
      </c>
      <c r="F90" s="34">
        <v>435</v>
      </c>
      <c r="G90" s="34">
        <v>458</v>
      </c>
    </row>
    <row r="91" spans="1:7" x14ac:dyDescent="0.2">
      <c r="A91" s="18">
        <v>41247</v>
      </c>
      <c r="B91" s="34"/>
      <c r="C91" s="34"/>
      <c r="D91" s="34"/>
      <c r="E91" s="34"/>
      <c r="F91" s="34"/>
      <c r="G91" s="34"/>
    </row>
    <row r="92" spans="1:7" x14ac:dyDescent="0.2">
      <c r="A92" s="18">
        <v>41352</v>
      </c>
      <c r="B92" s="34">
        <v>439</v>
      </c>
      <c r="C92" s="34">
        <v>435</v>
      </c>
      <c r="D92" s="34">
        <v>425</v>
      </c>
      <c r="E92" s="34">
        <v>479</v>
      </c>
      <c r="F92" s="34">
        <v>445</v>
      </c>
      <c r="G92" s="34">
        <v>430</v>
      </c>
    </row>
    <row r="93" spans="1:7" x14ac:dyDescent="0.2">
      <c r="A93" s="18">
        <v>41445</v>
      </c>
      <c r="B93" s="34"/>
      <c r="C93" s="34"/>
      <c r="D93" s="34"/>
      <c r="E93" s="34"/>
      <c r="F93" s="34"/>
      <c r="G93" s="34"/>
    </row>
    <row r="94" spans="1:7" x14ac:dyDescent="0.2">
      <c r="A94" s="18">
        <v>41528</v>
      </c>
      <c r="B94" s="34">
        <v>433</v>
      </c>
      <c r="C94" s="34">
        <v>418</v>
      </c>
      <c r="D94" s="34">
        <v>411</v>
      </c>
      <c r="E94" s="34">
        <v>419</v>
      </c>
      <c r="F94" s="34">
        <v>420</v>
      </c>
      <c r="G94" s="34">
        <v>473</v>
      </c>
    </row>
    <row r="95" spans="1:7" x14ac:dyDescent="0.2">
      <c r="A95" s="18">
        <v>41670</v>
      </c>
      <c r="B95" s="34"/>
      <c r="C95" s="34"/>
      <c r="D95" s="34"/>
      <c r="E95" s="34"/>
      <c r="F95" s="34"/>
      <c r="G95" s="34"/>
    </row>
    <row r="96" spans="1:7" x14ac:dyDescent="0.2">
      <c r="A96" s="18">
        <v>41758</v>
      </c>
      <c r="B96" s="34">
        <v>280</v>
      </c>
      <c r="C96" s="34">
        <v>328</v>
      </c>
      <c r="D96" s="34">
        <v>347</v>
      </c>
      <c r="E96" s="34">
        <v>497</v>
      </c>
      <c r="F96" s="34">
        <v>390</v>
      </c>
      <c r="G96" s="34">
        <v>513</v>
      </c>
    </row>
    <row r="97" spans="1:7" x14ac:dyDescent="0.2">
      <c r="A97" s="18">
        <v>41835</v>
      </c>
      <c r="B97" s="34"/>
      <c r="C97" s="34"/>
      <c r="D97" s="34"/>
      <c r="E97" s="34"/>
      <c r="F97" s="34"/>
      <c r="G97" s="34"/>
    </row>
    <row r="98" spans="1:7" x14ac:dyDescent="0.2">
      <c r="A98" s="18">
        <v>42031</v>
      </c>
      <c r="B98" s="34"/>
      <c r="C98" s="34"/>
      <c r="D98" s="34"/>
      <c r="E98" s="34"/>
      <c r="F98" s="34"/>
      <c r="G98" s="34"/>
    </row>
    <row r="99" spans="1:7" x14ac:dyDescent="0.2">
      <c r="A99" s="18">
        <v>42094</v>
      </c>
      <c r="B99" s="34">
        <v>385</v>
      </c>
      <c r="C99" s="34">
        <v>374</v>
      </c>
      <c r="D99" s="34">
        <v>4780</v>
      </c>
      <c r="E99" s="34">
        <v>667</v>
      </c>
      <c r="F99" s="34">
        <v>403</v>
      </c>
      <c r="G99" s="34">
        <v>567</v>
      </c>
    </row>
    <row r="100" spans="1:7" x14ac:dyDescent="0.2">
      <c r="A100" s="18">
        <v>42192</v>
      </c>
      <c r="B100" s="34"/>
      <c r="C100" s="34"/>
      <c r="D100" s="34"/>
      <c r="E100" s="34"/>
      <c r="F100" s="34"/>
      <c r="G100" s="34"/>
    </row>
    <row r="101" spans="1:7" x14ac:dyDescent="0.2">
      <c r="A101" s="18">
        <v>42290</v>
      </c>
      <c r="B101" s="34">
        <v>422</v>
      </c>
      <c r="C101" s="34">
        <v>449</v>
      </c>
      <c r="D101" s="34">
        <v>450</v>
      </c>
      <c r="E101" s="34">
        <v>466</v>
      </c>
      <c r="F101" s="34">
        <v>438</v>
      </c>
      <c r="G101" s="34"/>
    </row>
    <row r="102" spans="1:7" x14ac:dyDescent="0.2">
      <c r="A102" s="18">
        <v>42381</v>
      </c>
      <c r="B102" s="34"/>
      <c r="C102" s="34"/>
      <c r="D102" s="34"/>
      <c r="E102" s="34"/>
      <c r="F102" s="34"/>
      <c r="G102" s="34"/>
    </row>
    <row r="103" spans="1:7" x14ac:dyDescent="0.2">
      <c r="A103" s="18">
        <v>42479</v>
      </c>
      <c r="B103" s="34">
        <v>242</v>
      </c>
      <c r="C103" s="34">
        <v>338</v>
      </c>
      <c r="D103" s="34">
        <v>277</v>
      </c>
      <c r="E103" s="34">
        <v>359</v>
      </c>
      <c r="F103" s="34">
        <v>273</v>
      </c>
      <c r="G103" s="34">
        <v>550</v>
      </c>
    </row>
    <row r="104" spans="1:7" x14ac:dyDescent="0.2">
      <c r="A104" s="18">
        <v>42570</v>
      </c>
      <c r="B104" s="34"/>
      <c r="C104" s="34"/>
      <c r="D104" s="34"/>
      <c r="E104" s="34"/>
      <c r="F104" s="34"/>
      <c r="G104" s="34"/>
    </row>
    <row r="105" spans="1:7" x14ac:dyDescent="0.2">
      <c r="A105" s="18">
        <v>42654</v>
      </c>
      <c r="B105" s="34">
        <v>393</v>
      </c>
      <c r="C105" s="34">
        <v>381</v>
      </c>
      <c r="D105" s="34">
        <v>376</v>
      </c>
      <c r="E105" s="34">
        <v>387</v>
      </c>
      <c r="F105" s="34">
        <v>382</v>
      </c>
      <c r="G105" s="34">
        <v>556</v>
      </c>
    </row>
    <row r="106" spans="1:7" x14ac:dyDescent="0.2">
      <c r="A106" s="18">
        <v>42745</v>
      </c>
      <c r="B106" s="34"/>
      <c r="C106" s="34"/>
      <c r="D106" s="34"/>
      <c r="E106" s="34"/>
      <c r="F106" s="34"/>
      <c r="G106" s="34"/>
    </row>
    <row r="107" spans="1:7" x14ac:dyDescent="0.2">
      <c r="A107" s="18">
        <v>42843</v>
      </c>
      <c r="B107" s="34">
        <v>271</v>
      </c>
      <c r="C107" s="34">
        <v>271</v>
      </c>
      <c r="D107" s="34">
        <v>297</v>
      </c>
      <c r="E107" s="34">
        <v>329</v>
      </c>
      <c r="F107" s="34">
        <v>294</v>
      </c>
      <c r="G107" s="34">
        <v>502</v>
      </c>
    </row>
    <row r="108" spans="1:7" x14ac:dyDescent="0.2">
      <c r="A108" s="18">
        <v>42934</v>
      </c>
      <c r="B108" s="34"/>
      <c r="C108" s="34"/>
      <c r="D108" s="34"/>
      <c r="E108" s="34"/>
      <c r="F108" s="34"/>
      <c r="G108" s="34"/>
    </row>
    <row r="109" spans="1:7" x14ac:dyDescent="0.2">
      <c r="A109" s="18">
        <v>43025</v>
      </c>
      <c r="B109" s="34">
        <v>442</v>
      </c>
      <c r="C109" s="34">
        <v>455</v>
      </c>
      <c r="D109" s="34">
        <v>459</v>
      </c>
      <c r="E109" s="34">
        <v>482</v>
      </c>
      <c r="F109" s="34">
        <v>445</v>
      </c>
      <c r="G109" s="34">
        <v>510</v>
      </c>
    </row>
    <row r="110" spans="1:7" x14ac:dyDescent="0.2">
      <c r="A110" s="18">
        <v>43109</v>
      </c>
      <c r="B110" s="34">
        <v>324</v>
      </c>
      <c r="C110" s="34">
        <v>344</v>
      </c>
      <c r="D110" s="34">
        <v>383</v>
      </c>
      <c r="E110" s="34">
        <v>411</v>
      </c>
      <c r="F110" s="34">
        <v>367</v>
      </c>
      <c r="G110" s="34">
        <v>549</v>
      </c>
    </row>
    <row r="111" spans="1:7" x14ac:dyDescent="0.2">
      <c r="A111" s="18">
        <v>43193</v>
      </c>
      <c r="B111" s="34">
        <v>515</v>
      </c>
      <c r="C111" s="34">
        <v>496</v>
      </c>
      <c r="D111" s="34">
        <v>501</v>
      </c>
      <c r="E111" s="34">
        <v>571</v>
      </c>
      <c r="F111" s="34">
        <v>510</v>
      </c>
      <c r="G111" s="34">
        <v>417</v>
      </c>
    </row>
    <row r="112" spans="1:7" x14ac:dyDescent="0.2">
      <c r="A112" s="18">
        <v>43298</v>
      </c>
      <c r="B112" s="34"/>
      <c r="C112" s="34"/>
      <c r="D112" s="34"/>
      <c r="E112" s="34"/>
      <c r="F112" s="34"/>
      <c r="G112" s="34"/>
    </row>
    <row r="113" spans="1:7" x14ac:dyDescent="0.2">
      <c r="A113" s="18">
        <v>43403</v>
      </c>
      <c r="B113" s="34">
        <v>517</v>
      </c>
      <c r="C113" s="34">
        <v>532</v>
      </c>
      <c r="D113" s="34">
        <v>514</v>
      </c>
      <c r="E113" s="34">
        <v>536</v>
      </c>
      <c r="F113" s="34">
        <v>531</v>
      </c>
      <c r="G113" s="34">
        <v>571</v>
      </c>
    </row>
    <row r="114" spans="1:7" x14ac:dyDescent="0.2">
      <c r="A114" s="18">
        <v>43487</v>
      </c>
      <c r="B114" s="34"/>
      <c r="C114" s="34"/>
      <c r="D114" s="34"/>
      <c r="E114" s="34"/>
      <c r="F114" s="34"/>
      <c r="G114" s="34"/>
    </row>
    <row r="115" spans="1:7" x14ac:dyDescent="0.2">
      <c r="A115" s="18">
        <v>43578</v>
      </c>
      <c r="B115" s="34">
        <v>459</v>
      </c>
      <c r="C115" s="34">
        <v>476</v>
      </c>
      <c r="D115" s="34">
        <v>461</v>
      </c>
      <c r="E115" s="34">
        <v>514</v>
      </c>
      <c r="F115" s="34">
        <v>549</v>
      </c>
      <c r="G115" s="34">
        <v>472</v>
      </c>
    </row>
    <row r="116" spans="1:7" x14ac:dyDescent="0.2">
      <c r="A116" s="18">
        <v>43704</v>
      </c>
      <c r="B116" s="34"/>
      <c r="C116" s="34"/>
      <c r="D116" s="34"/>
      <c r="E116" s="34"/>
      <c r="F116" s="34"/>
      <c r="G116" s="34"/>
    </row>
    <row r="117" spans="1:7" x14ac:dyDescent="0.2">
      <c r="A117" s="18">
        <v>43760</v>
      </c>
      <c r="B117" s="34">
        <v>306</v>
      </c>
      <c r="C117" s="34">
        <v>302</v>
      </c>
      <c r="D117" s="34">
        <v>300</v>
      </c>
      <c r="E117" s="34">
        <v>383</v>
      </c>
      <c r="F117" s="34">
        <v>309</v>
      </c>
      <c r="G117" s="34">
        <v>420</v>
      </c>
    </row>
    <row r="118" spans="1:7" x14ac:dyDescent="0.2">
      <c r="A118" s="18">
        <v>44021</v>
      </c>
      <c r="B118" s="34">
        <v>359</v>
      </c>
      <c r="C118" s="34">
        <v>371</v>
      </c>
      <c r="D118" s="34">
        <v>384</v>
      </c>
      <c r="E118" s="34">
        <v>408</v>
      </c>
      <c r="F118" s="34">
        <v>368</v>
      </c>
      <c r="G118" s="34">
        <v>464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283"/>
  <sheetViews>
    <sheetView workbookViewId="0"/>
  </sheetViews>
  <sheetFormatPr defaultColWidth="11.42578125" defaultRowHeight="12.75" x14ac:dyDescent="0.2"/>
  <cols>
    <col min="4" max="4" width="12.28515625" bestFit="1" customWidth="1"/>
    <col min="5" max="5" width="18.140625" bestFit="1" customWidth="1"/>
  </cols>
  <sheetData>
    <row r="1" spans="1:43" x14ac:dyDescent="0.2">
      <c r="AQ1" s="72"/>
    </row>
    <row r="2" spans="1:43" x14ac:dyDescent="0.2">
      <c r="AQ2" s="72"/>
    </row>
    <row r="3" spans="1:43" x14ac:dyDescent="0.2">
      <c r="AQ3" s="72"/>
    </row>
    <row r="4" spans="1:43" x14ac:dyDescent="0.2">
      <c r="AQ4" s="72"/>
    </row>
    <row r="5" spans="1:43" x14ac:dyDescent="0.2">
      <c r="AQ5" s="72"/>
    </row>
    <row r="6" spans="1:43" x14ac:dyDescent="0.2">
      <c r="AQ6" s="72"/>
    </row>
    <row r="7" spans="1:43" ht="18" x14ac:dyDescent="0.25">
      <c r="A7" s="1" t="s">
        <v>0</v>
      </c>
      <c r="AQ7" s="72"/>
    </row>
    <row r="8" spans="1:43" x14ac:dyDescent="0.2">
      <c r="A8" s="2" t="s">
        <v>1</v>
      </c>
    </row>
    <row r="9" spans="1:43" x14ac:dyDescent="0.2">
      <c r="A9" s="2" t="s">
        <v>104</v>
      </c>
      <c r="B9" s="3"/>
    </row>
    <row r="11" spans="1:43" x14ac:dyDescent="0.2">
      <c r="A11" s="69" t="s">
        <v>101</v>
      </c>
      <c r="B11" s="11" t="s">
        <v>6</v>
      </c>
      <c r="C11" s="11" t="s">
        <v>6</v>
      </c>
      <c r="D11" s="53" t="s">
        <v>66</v>
      </c>
      <c r="E11" s="53" t="s">
        <v>71</v>
      </c>
    </row>
    <row r="12" spans="1:43" x14ac:dyDescent="0.2">
      <c r="A12" s="79" t="s">
        <v>101</v>
      </c>
      <c r="B12" s="11" t="s">
        <v>7</v>
      </c>
      <c r="C12" s="81" t="s">
        <v>8</v>
      </c>
      <c r="D12" s="87" t="s">
        <v>67</v>
      </c>
      <c r="E12" s="87" t="s">
        <v>67</v>
      </c>
    </row>
    <row r="13" spans="1:43" ht="13.5" thickBot="1" x14ac:dyDescent="0.25">
      <c r="A13" s="9" t="s">
        <v>4</v>
      </c>
      <c r="B13" s="14">
        <v>37046</v>
      </c>
      <c r="C13" s="27" t="s">
        <v>9</v>
      </c>
      <c r="D13" s="86">
        <v>3000</v>
      </c>
      <c r="E13" s="86">
        <v>3000</v>
      </c>
    </row>
    <row r="14" spans="1:43" ht="13.5" thickBot="1" x14ac:dyDescent="0.25">
      <c r="A14" s="5" t="s">
        <v>4</v>
      </c>
      <c r="B14" s="13">
        <v>37046</v>
      </c>
      <c r="C14" s="74" t="s">
        <v>10</v>
      </c>
      <c r="D14" s="55">
        <v>7000</v>
      </c>
      <c r="E14" s="55">
        <v>2200</v>
      </c>
    </row>
    <row r="15" spans="1:43" ht="13.5" thickBot="1" x14ac:dyDescent="0.25">
      <c r="A15" s="6" t="s">
        <v>4</v>
      </c>
      <c r="B15" s="14">
        <v>37046</v>
      </c>
      <c r="C15" s="75" t="s">
        <v>11</v>
      </c>
      <c r="D15" s="52">
        <v>17000</v>
      </c>
      <c r="E15" s="52">
        <v>7000</v>
      </c>
    </row>
    <row r="16" spans="1:43" ht="13.5" thickBot="1" x14ac:dyDescent="0.25">
      <c r="A16" s="6" t="s">
        <v>4</v>
      </c>
      <c r="B16" s="14">
        <v>37046</v>
      </c>
      <c r="C16" s="76" t="s">
        <v>12</v>
      </c>
      <c r="D16" s="52">
        <v>11000</v>
      </c>
      <c r="E16" s="52">
        <v>11000</v>
      </c>
    </row>
    <row r="17" spans="1:5" x14ac:dyDescent="0.2">
      <c r="A17" s="7">
        <v>2001</v>
      </c>
      <c r="B17" s="15">
        <v>37076</v>
      </c>
      <c r="C17" s="27" t="s">
        <v>9</v>
      </c>
      <c r="D17" s="56">
        <v>13000</v>
      </c>
      <c r="E17" s="56">
        <v>13000</v>
      </c>
    </row>
    <row r="18" spans="1:5" x14ac:dyDescent="0.2">
      <c r="A18" s="8"/>
      <c r="B18" s="16">
        <v>37076</v>
      </c>
      <c r="C18" s="74" t="s">
        <v>10</v>
      </c>
      <c r="D18" s="57">
        <v>3000</v>
      </c>
      <c r="E18" s="57">
        <v>3000</v>
      </c>
    </row>
    <row r="19" spans="1:5" x14ac:dyDescent="0.2">
      <c r="A19" s="8"/>
      <c r="B19" s="17">
        <v>37076</v>
      </c>
      <c r="C19" s="75" t="s">
        <v>11</v>
      </c>
      <c r="D19" s="52">
        <v>2200</v>
      </c>
      <c r="E19" s="52">
        <v>2200</v>
      </c>
    </row>
    <row r="20" spans="1:5" x14ac:dyDescent="0.2">
      <c r="A20" s="8"/>
      <c r="B20" s="17">
        <v>37076</v>
      </c>
      <c r="C20" s="76" t="s">
        <v>12</v>
      </c>
      <c r="D20" s="52">
        <v>17000</v>
      </c>
      <c r="E20" s="52">
        <v>17000</v>
      </c>
    </row>
    <row r="21" spans="1:5" x14ac:dyDescent="0.2">
      <c r="A21" s="8">
        <v>2002</v>
      </c>
      <c r="B21" s="17">
        <v>37335</v>
      </c>
      <c r="C21" s="27" t="s">
        <v>9</v>
      </c>
      <c r="D21" s="52">
        <v>50000</v>
      </c>
      <c r="E21" s="52">
        <v>800</v>
      </c>
    </row>
    <row r="22" spans="1:5" x14ac:dyDescent="0.2">
      <c r="A22" s="9"/>
      <c r="B22" s="18">
        <v>37335</v>
      </c>
      <c r="C22" s="74" t="s">
        <v>10</v>
      </c>
      <c r="D22" s="52">
        <v>30000</v>
      </c>
      <c r="E22" s="52">
        <v>1700</v>
      </c>
    </row>
    <row r="23" spans="1:5" x14ac:dyDescent="0.2">
      <c r="A23" s="8"/>
      <c r="B23" s="14">
        <v>37335</v>
      </c>
      <c r="C23" s="75" t="s">
        <v>11</v>
      </c>
      <c r="D23" s="52">
        <v>8000</v>
      </c>
      <c r="E23" s="52">
        <v>2200</v>
      </c>
    </row>
    <row r="24" spans="1:5" x14ac:dyDescent="0.2">
      <c r="A24" s="8"/>
      <c r="B24" s="14">
        <v>37335</v>
      </c>
      <c r="C24" s="76" t="s">
        <v>12</v>
      </c>
      <c r="D24" s="52">
        <v>17000</v>
      </c>
      <c r="E24" s="52">
        <v>8000</v>
      </c>
    </row>
    <row r="25" spans="1:5" x14ac:dyDescent="0.2">
      <c r="A25" s="8"/>
      <c r="B25" s="14">
        <v>37566</v>
      </c>
      <c r="C25" s="27" t="s">
        <v>9</v>
      </c>
      <c r="D25" s="52">
        <v>50000</v>
      </c>
      <c r="E25" s="52">
        <v>1700</v>
      </c>
    </row>
    <row r="26" spans="1:5" x14ac:dyDescent="0.2">
      <c r="A26" s="9"/>
      <c r="B26" s="14">
        <v>37566</v>
      </c>
      <c r="C26" s="74" t="s">
        <v>10</v>
      </c>
      <c r="D26" s="52">
        <v>30000</v>
      </c>
      <c r="E26" s="52">
        <v>5000</v>
      </c>
    </row>
    <row r="27" spans="1:5" x14ac:dyDescent="0.2">
      <c r="A27" s="8"/>
      <c r="B27" s="14">
        <v>37566</v>
      </c>
      <c r="C27" s="75" t="s">
        <v>11</v>
      </c>
      <c r="D27" s="52">
        <v>24000</v>
      </c>
      <c r="E27" s="52">
        <v>8000</v>
      </c>
    </row>
    <row r="28" spans="1:5" x14ac:dyDescent="0.2">
      <c r="A28" s="8"/>
      <c r="B28" s="14">
        <v>37566</v>
      </c>
      <c r="C28" s="76" t="s">
        <v>12</v>
      </c>
      <c r="D28" s="52">
        <v>30000</v>
      </c>
      <c r="E28" s="52">
        <v>3000</v>
      </c>
    </row>
    <row r="29" spans="1:5" x14ac:dyDescent="0.2">
      <c r="A29" s="10"/>
      <c r="B29" s="14">
        <v>37594</v>
      </c>
      <c r="C29" s="27" t="s">
        <v>9</v>
      </c>
      <c r="D29" s="52">
        <v>5000</v>
      </c>
      <c r="E29" s="52">
        <v>3000</v>
      </c>
    </row>
    <row r="30" spans="1:5" x14ac:dyDescent="0.2">
      <c r="A30" s="9"/>
      <c r="B30" s="14">
        <v>37594</v>
      </c>
      <c r="C30" s="74" t="s">
        <v>10</v>
      </c>
      <c r="D30" s="52">
        <v>1300</v>
      </c>
      <c r="E30" s="52">
        <v>800</v>
      </c>
    </row>
    <row r="31" spans="1:5" x14ac:dyDescent="0.2">
      <c r="A31" s="8"/>
      <c r="B31" s="14">
        <v>37594</v>
      </c>
      <c r="C31" s="75" t="s">
        <v>11</v>
      </c>
      <c r="D31" s="52">
        <v>50000</v>
      </c>
      <c r="E31" s="52">
        <v>1700</v>
      </c>
    </row>
    <row r="32" spans="1:5" x14ac:dyDescent="0.2">
      <c r="A32" s="8"/>
      <c r="B32" s="14">
        <v>37594</v>
      </c>
      <c r="C32" s="76" t="s">
        <v>12</v>
      </c>
      <c r="D32" s="52">
        <v>8000</v>
      </c>
      <c r="E32" s="52">
        <v>5000</v>
      </c>
    </row>
    <row r="33" spans="1:5" x14ac:dyDescent="0.2">
      <c r="A33" s="10">
        <v>2003</v>
      </c>
      <c r="B33" s="14">
        <v>37711</v>
      </c>
      <c r="C33" s="27" t="s">
        <v>9</v>
      </c>
      <c r="D33" s="52">
        <v>17000</v>
      </c>
      <c r="E33" s="52">
        <v>5000</v>
      </c>
    </row>
    <row r="34" spans="1:5" x14ac:dyDescent="0.2">
      <c r="A34" s="9"/>
      <c r="B34" s="18">
        <v>37711</v>
      </c>
      <c r="C34" s="74" t="s">
        <v>10</v>
      </c>
      <c r="D34" s="52">
        <v>7000</v>
      </c>
      <c r="E34" s="52">
        <v>2400</v>
      </c>
    </row>
    <row r="35" spans="1:5" x14ac:dyDescent="0.2">
      <c r="A35" s="8"/>
      <c r="B35" s="18">
        <v>37711</v>
      </c>
      <c r="C35" s="75" t="s">
        <v>11</v>
      </c>
      <c r="D35" s="52"/>
      <c r="E35" s="52"/>
    </row>
    <row r="36" spans="1:5" x14ac:dyDescent="0.2">
      <c r="A36" s="8"/>
      <c r="B36" s="18">
        <v>37711</v>
      </c>
      <c r="C36" s="76" t="s">
        <v>12</v>
      </c>
      <c r="D36" s="52"/>
      <c r="E36" s="52"/>
    </row>
    <row r="37" spans="1:5" x14ac:dyDescent="0.2">
      <c r="A37" s="10"/>
      <c r="B37" s="18">
        <v>37739</v>
      </c>
      <c r="C37" s="27" t="s">
        <v>9</v>
      </c>
      <c r="D37" s="52">
        <v>90000</v>
      </c>
      <c r="E37" s="52">
        <v>30000</v>
      </c>
    </row>
    <row r="38" spans="1:5" x14ac:dyDescent="0.2">
      <c r="A38" s="9"/>
      <c r="B38" s="18">
        <v>37739</v>
      </c>
      <c r="C38" s="74" t="s">
        <v>10</v>
      </c>
      <c r="D38" s="52">
        <v>130000</v>
      </c>
      <c r="E38" s="52">
        <v>30000</v>
      </c>
    </row>
    <row r="39" spans="1:5" x14ac:dyDescent="0.2">
      <c r="A39" s="8"/>
      <c r="B39" s="18">
        <v>37739</v>
      </c>
      <c r="C39" s="75" t="s">
        <v>11</v>
      </c>
      <c r="D39" s="52">
        <v>30000</v>
      </c>
      <c r="E39" s="52">
        <v>30000</v>
      </c>
    </row>
    <row r="40" spans="1:5" x14ac:dyDescent="0.2">
      <c r="A40" s="8"/>
      <c r="B40" s="19">
        <v>37739</v>
      </c>
      <c r="C40" s="76" t="s">
        <v>12</v>
      </c>
      <c r="D40" s="58">
        <v>80000</v>
      </c>
      <c r="E40" s="58">
        <v>8000</v>
      </c>
    </row>
    <row r="41" spans="1:5" x14ac:dyDescent="0.2">
      <c r="A41" s="10"/>
      <c r="B41" s="19">
        <v>37825</v>
      </c>
      <c r="C41" s="27" t="s">
        <v>9</v>
      </c>
      <c r="D41" s="52">
        <v>3000</v>
      </c>
      <c r="E41" s="52">
        <v>1300</v>
      </c>
    </row>
    <row r="42" spans="1:5" x14ac:dyDescent="0.2">
      <c r="A42" s="9"/>
      <c r="B42" s="19">
        <v>37825</v>
      </c>
      <c r="C42" s="74" t="s">
        <v>10</v>
      </c>
      <c r="D42" s="52">
        <v>50000</v>
      </c>
      <c r="E42" s="52">
        <v>1100</v>
      </c>
    </row>
    <row r="43" spans="1:5" x14ac:dyDescent="0.2">
      <c r="A43" s="8"/>
      <c r="B43" s="19">
        <v>37825</v>
      </c>
      <c r="C43" s="75" t="s">
        <v>11</v>
      </c>
      <c r="D43" s="52">
        <v>5000</v>
      </c>
      <c r="E43" s="52">
        <v>1100</v>
      </c>
    </row>
    <row r="44" spans="1:5" x14ac:dyDescent="0.2">
      <c r="A44" s="8"/>
      <c r="B44" s="19">
        <v>37825</v>
      </c>
      <c r="C44" s="76" t="s">
        <v>12</v>
      </c>
      <c r="D44" s="52">
        <v>5000</v>
      </c>
      <c r="E44" s="52">
        <v>300</v>
      </c>
    </row>
    <row r="45" spans="1:5" x14ac:dyDescent="0.2">
      <c r="A45" s="10"/>
      <c r="B45" s="20">
        <v>37888</v>
      </c>
      <c r="C45" s="27" t="s">
        <v>9</v>
      </c>
      <c r="D45" s="52">
        <v>5000</v>
      </c>
      <c r="E45" s="58">
        <v>1300</v>
      </c>
    </row>
    <row r="46" spans="1:5" x14ac:dyDescent="0.2">
      <c r="A46" s="9"/>
      <c r="B46" s="20">
        <v>37888</v>
      </c>
      <c r="C46" s="74" t="s">
        <v>10</v>
      </c>
      <c r="D46" s="58">
        <v>11000</v>
      </c>
      <c r="E46" s="52">
        <v>800</v>
      </c>
    </row>
    <row r="47" spans="1:5" x14ac:dyDescent="0.2">
      <c r="A47" s="8"/>
      <c r="B47" s="20">
        <v>37888</v>
      </c>
      <c r="C47" s="75" t="s">
        <v>11</v>
      </c>
      <c r="D47" s="52">
        <v>2200</v>
      </c>
      <c r="E47" s="52">
        <v>800</v>
      </c>
    </row>
    <row r="48" spans="1:5" x14ac:dyDescent="0.2">
      <c r="A48" s="8"/>
      <c r="B48" s="20">
        <v>37888</v>
      </c>
      <c r="C48" s="76" t="s">
        <v>12</v>
      </c>
      <c r="D48" s="52">
        <v>2800</v>
      </c>
      <c r="E48" s="52">
        <v>230</v>
      </c>
    </row>
    <row r="49" spans="1:5" x14ac:dyDescent="0.2">
      <c r="A49" s="10"/>
      <c r="B49" s="19">
        <v>37963</v>
      </c>
      <c r="C49" s="27" t="s">
        <v>9</v>
      </c>
      <c r="D49" s="52">
        <v>5000</v>
      </c>
      <c r="E49" s="52">
        <v>1100</v>
      </c>
    </row>
    <row r="50" spans="1:5" x14ac:dyDescent="0.2">
      <c r="A50" s="9"/>
      <c r="B50" s="19">
        <v>37963</v>
      </c>
      <c r="C50" s="74" t="s">
        <v>10</v>
      </c>
      <c r="D50" s="52">
        <v>3000</v>
      </c>
      <c r="E50" s="52">
        <v>1700</v>
      </c>
    </row>
    <row r="51" spans="1:5" x14ac:dyDescent="0.2">
      <c r="A51" s="8"/>
      <c r="B51" s="19">
        <v>37963</v>
      </c>
      <c r="C51" s="75" t="s">
        <v>11</v>
      </c>
      <c r="D51" s="52">
        <v>2400</v>
      </c>
      <c r="E51" s="52">
        <v>1300</v>
      </c>
    </row>
    <row r="52" spans="1:5" x14ac:dyDescent="0.2">
      <c r="A52" s="8"/>
      <c r="B52" s="16">
        <v>37963</v>
      </c>
      <c r="C52" s="76" t="s">
        <v>12</v>
      </c>
      <c r="D52" s="52">
        <v>8000</v>
      </c>
      <c r="E52" s="52">
        <v>2800</v>
      </c>
    </row>
    <row r="53" spans="1:5" x14ac:dyDescent="0.2">
      <c r="A53" s="10">
        <v>2004</v>
      </c>
      <c r="B53" s="16">
        <v>38012</v>
      </c>
      <c r="C53" s="27" t="s">
        <v>9</v>
      </c>
      <c r="D53" s="52">
        <v>17000</v>
      </c>
      <c r="E53" s="52">
        <v>5000</v>
      </c>
    </row>
    <row r="54" spans="1:5" x14ac:dyDescent="0.2">
      <c r="A54" s="9"/>
      <c r="B54" s="16">
        <v>38012</v>
      </c>
      <c r="C54" s="74" t="s">
        <v>10</v>
      </c>
      <c r="D54" s="52">
        <v>13000</v>
      </c>
      <c r="E54" s="52">
        <v>1700</v>
      </c>
    </row>
    <row r="55" spans="1:5" x14ac:dyDescent="0.2">
      <c r="A55" s="8"/>
      <c r="B55" s="16">
        <v>38012</v>
      </c>
      <c r="C55" s="75" t="s">
        <v>11</v>
      </c>
      <c r="D55" s="52">
        <v>5000</v>
      </c>
      <c r="E55" s="58">
        <v>3000</v>
      </c>
    </row>
    <row r="56" spans="1:5" x14ac:dyDescent="0.2">
      <c r="A56" s="8"/>
      <c r="B56" s="16">
        <v>38012</v>
      </c>
      <c r="C56" s="76" t="s">
        <v>12</v>
      </c>
      <c r="D56" s="52">
        <v>5000</v>
      </c>
      <c r="E56" s="52">
        <v>1100</v>
      </c>
    </row>
    <row r="57" spans="1:5" x14ac:dyDescent="0.2">
      <c r="A57" s="10"/>
      <c r="B57" s="16">
        <v>38033</v>
      </c>
      <c r="C57" s="27" t="s">
        <v>9</v>
      </c>
      <c r="D57" s="58">
        <v>2800</v>
      </c>
      <c r="E57" s="52">
        <v>500</v>
      </c>
    </row>
    <row r="58" spans="1:5" x14ac:dyDescent="0.2">
      <c r="A58" s="9"/>
      <c r="B58" s="19">
        <v>38033</v>
      </c>
      <c r="C58" s="74" t="s">
        <v>10</v>
      </c>
      <c r="D58" s="52">
        <v>3000</v>
      </c>
      <c r="E58" s="52">
        <v>1030</v>
      </c>
    </row>
    <row r="59" spans="1:5" x14ac:dyDescent="0.2">
      <c r="A59" s="8"/>
      <c r="B59" s="19">
        <v>38033</v>
      </c>
      <c r="C59" s="75" t="s">
        <v>11</v>
      </c>
      <c r="D59" s="52">
        <v>5000</v>
      </c>
      <c r="E59" s="52">
        <v>1300</v>
      </c>
    </row>
    <row r="60" spans="1:5" x14ac:dyDescent="0.2">
      <c r="A60" s="8"/>
      <c r="B60" s="19">
        <v>38033</v>
      </c>
      <c r="C60" s="76" t="s">
        <v>12</v>
      </c>
      <c r="D60" s="52">
        <v>1300</v>
      </c>
      <c r="E60" s="52">
        <v>1300</v>
      </c>
    </row>
    <row r="61" spans="1:5" x14ac:dyDescent="0.2">
      <c r="A61" s="10"/>
      <c r="B61" s="19">
        <v>38271</v>
      </c>
      <c r="C61" s="27" t="s">
        <v>9</v>
      </c>
      <c r="D61" s="52">
        <v>5000</v>
      </c>
      <c r="E61" s="52">
        <v>1700</v>
      </c>
    </row>
    <row r="62" spans="1:5" x14ac:dyDescent="0.2">
      <c r="A62" s="9"/>
      <c r="B62" s="19">
        <v>38271</v>
      </c>
      <c r="C62" s="74" t="s">
        <v>10</v>
      </c>
      <c r="D62" s="52">
        <v>1700</v>
      </c>
      <c r="E62" s="52">
        <v>500</v>
      </c>
    </row>
    <row r="63" spans="1:5" x14ac:dyDescent="0.2">
      <c r="A63" s="8"/>
      <c r="B63" s="19">
        <v>38271</v>
      </c>
      <c r="C63" s="75" t="s">
        <v>11</v>
      </c>
      <c r="D63" s="52">
        <v>13000</v>
      </c>
      <c r="E63" s="52">
        <v>10000</v>
      </c>
    </row>
    <row r="64" spans="1:5" x14ac:dyDescent="0.2">
      <c r="A64" s="8"/>
      <c r="B64" s="19">
        <v>38271</v>
      </c>
      <c r="C64" s="76" t="s">
        <v>12</v>
      </c>
      <c r="D64" s="52">
        <v>13000</v>
      </c>
      <c r="E64" s="52">
        <v>2400</v>
      </c>
    </row>
    <row r="65" spans="1:5" x14ac:dyDescent="0.2">
      <c r="A65" s="10">
        <v>2005</v>
      </c>
      <c r="B65" s="19">
        <v>38474</v>
      </c>
      <c r="C65" s="27" t="s">
        <v>9</v>
      </c>
      <c r="D65" s="52">
        <v>2200</v>
      </c>
      <c r="E65" s="52">
        <v>500</v>
      </c>
    </row>
    <row r="66" spans="1:5" x14ac:dyDescent="0.2">
      <c r="A66" s="9"/>
      <c r="B66" s="19">
        <v>38474</v>
      </c>
      <c r="C66" s="74" t="s">
        <v>10</v>
      </c>
      <c r="D66" s="52">
        <v>8000</v>
      </c>
      <c r="E66" s="52">
        <v>800</v>
      </c>
    </row>
    <row r="67" spans="1:5" x14ac:dyDescent="0.2">
      <c r="A67" s="8"/>
      <c r="B67" s="19">
        <v>38474</v>
      </c>
      <c r="C67" s="75" t="s">
        <v>11</v>
      </c>
      <c r="D67" s="52">
        <v>2200</v>
      </c>
      <c r="E67" s="52">
        <v>1300</v>
      </c>
    </row>
    <row r="68" spans="1:5" x14ac:dyDescent="0.2">
      <c r="A68" s="8"/>
      <c r="B68" s="19">
        <v>38474</v>
      </c>
      <c r="C68" s="76" t="s">
        <v>12</v>
      </c>
      <c r="D68" s="52">
        <v>5000</v>
      </c>
      <c r="E68" s="52">
        <v>800</v>
      </c>
    </row>
    <row r="69" spans="1:5" x14ac:dyDescent="0.2">
      <c r="A69" s="8">
        <v>2006</v>
      </c>
      <c r="B69" s="19">
        <v>38896</v>
      </c>
      <c r="C69" s="27" t="s">
        <v>9</v>
      </c>
      <c r="D69" s="52">
        <v>7900</v>
      </c>
      <c r="E69" s="52">
        <v>2400</v>
      </c>
    </row>
    <row r="70" spans="1:5" x14ac:dyDescent="0.2">
      <c r="A70" s="9"/>
      <c r="B70" s="19">
        <v>38896</v>
      </c>
      <c r="C70" s="74" t="s">
        <v>10</v>
      </c>
      <c r="D70" s="52">
        <v>240000</v>
      </c>
      <c r="E70" s="52">
        <v>130000</v>
      </c>
    </row>
    <row r="71" spans="1:5" x14ac:dyDescent="0.2">
      <c r="A71" s="8"/>
      <c r="B71" s="19">
        <v>38896</v>
      </c>
      <c r="C71" s="75" t="s">
        <v>11</v>
      </c>
      <c r="D71" s="52">
        <v>4600</v>
      </c>
      <c r="E71" s="52">
        <v>1700</v>
      </c>
    </row>
    <row r="72" spans="1:5" x14ac:dyDescent="0.2">
      <c r="A72" s="8"/>
      <c r="B72" s="19">
        <v>38896</v>
      </c>
      <c r="C72" s="76" t="s">
        <v>12</v>
      </c>
      <c r="D72" s="52">
        <v>2700</v>
      </c>
      <c r="E72" s="52">
        <v>2200</v>
      </c>
    </row>
    <row r="73" spans="1:5" x14ac:dyDescent="0.2">
      <c r="A73" s="8"/>
      <c r="B73" s="19">
        <v>38896</v>
      </c>
      <c r="C73" s="77" t="s">
        <v>13</v>
      </c>
      <c r="D73" s="52"/>
      <c r="E73" s="52"/>
    </row>
    <row r="74" spans="1:5" x14ac:dyDescent="0.2">
      <c r="A74" s="8"/>
      <c r="B74" s="19">
        <v>38896</v>
      </c>
      <c r="C74" s="78" t="s">
        <v>14</v>
      </c>
      <c r="D74" s="52"/>
      <c r="E74" s="52"/>
    </row>
    <row r="75" spans="1:5" x14ac:dyDescent="0.2">
      <c r="A75" s="10">
        <v>2011</v>
      </c>
      <c r="B75" s="23">
        <v>40625</v>
      </c>
      <c r="C75" s="27" t="s">
        <v>9</v>
      </c>
      <c r="D75" s="52">
        <v>22000</v>
      </c>
      <c r="E75" s="52">
        <v>2800</v>
      </c>
    </row>
    <row r="76" spans="1:5" x14ac:dyDescent="0.2">
      <c r="A76" s="9"/>
      <c r="B76" s="21">
        <v>40625</v>
      </c>
      <c r="C76" s="74" t="s">
        <v>10</v>
      </c>
      <c r="D76" s="52">
        <v>9400</v>
      </c>
      <c r="E76" s="52">
        <v>1300</v>
      </c>
    </row>
    <row r="77" spans="1:5" x14ac:dyDescent="0.2">
      <c r="A77" s="8"/>
      <c r="B77" s="21">
        <v>40625</v>
      </c>
      <c r="C77" s="75" t="s">
        <v>11</v>
      </c>
      <c r="D77" s="52">
        <v>24000</v>
      </c>
      <c r="E77" s="52">
        <v>4900</v>
      </c>
    </row>
    <row r="78" spans="1:5" x14ac:dyDescent="0.2">
      <c r="A78" s="8"/>
      <c r="B78" s="21">
        <v>40625</v>
      </c>
      <c r="C78" s="76" t="s">
        <v>12</v>
      </c>
      <c r="D78" s="52">
        <v>22000</v>
      </c>
      <c r="E78" s="52">
        <v>3300</v>
      </c>
    </row>
    <row r="79" spans="1:5" x14ac:dyDescent="0.2">
      <c r="A79" s="8"/>
      <c r="B79" s="21">
        <v>40625</v>
      </c>
      <c r="C79" s="77" t="s">
        <v>13</v>
      </c>
      <c r="D79" s="52">
        <v>17000</v>
      </c>
      <c r="E79" s="52">
        <v>1700</v>
      </c>
    </row>
    <row r="80" spans="1:5" x14ac:dyDescent="0.2">
      <c r="A80" s="8"/>
      <c r="B80" s="21">
        <v>40625</v>
      </c>
      <c r="C80" s="78" t="s">
        <v>14</v>
      </c>
      <c r="D80" s="58">
        <v>16000</v>
      </c>
      <c r="E80" s="58">
        <v>16000</v>
      </c>
    </row>
    <row r="81" spans="1:5" x14ac:dyDescent="0.2">
      <c r="A81" s="10"/>
      <c r="B81" s="21">
        <v>40716</v>
      </c>
      <c r="C81" s="27" t="s">
        <v>9</v>
      </c>
      <c r="D81" s="52">
        <v>2400</v>
      </c>
      <c r="E81" s="52">
        <v>790</v>
      </c>
    </row>
    <row r="82" spans="1:5" x14ac:dyDescent="0.2">
      <c r="A82" s="9"/>
      <c r="B82" s="22">
        <v>40716</v>
      </c>
      <c r="C82" s="74" t="s">
        <v>10</v>
      </c>
      <c r="D82" s="52">
        <v>2200</v>
      </c>
      <c r="E82" s="52">
        <v>1300</v>
      </c>
    </row>
    <row r="83" spans="1:5" x14ac:dyDescent="0.2">
      <c r="A83" s="8"/>
      <c r="B83" s="22">
        <v>40716</v>
      </c>
      <c r="C83" s="75" t="s">
        <v>11</v>
      </c>
      <c r="D83" s="52">
        <v>1100</v>
      </c>
      <c r="E83" s="52">
        <v>490</v>
      </c>
    </row>
    <row r="84" spans="1:5" x14ac:dyDescent="0.2">
      <c r="A84" s="8"/>
      <c r="B84" s="22">
        <v>40716</v>
      </c>
      <c r="C84" s="76" t="s">
        <v>12</v>
      </c>
      <c r="D84" s="52">
        <v>17000</v>
      </c>
      <c r="E84" s="52">
        <v>7900</v>
      </c>
    </row>
    <row r="85" spans="1:5" x14ac:dyDescent="0.2">
      <c r="A85" s="8"/>
      <c r="B85" s="22">
        <v>40716</v>
      </c>
      <c r="C85" s="77" t="s">
        <v>13</v>
      </c>
      <c r="D85" s="52">
        <v>940</v>
      </c>
      <c r="E85" s="52">
        <v>700</v>
      </c>
    </row>
    <row r="86" spans="1:5" x14ac:dyDescent="0.2">
      <c r="A86" s="8"/>
      <c r="B86" s="22">
        <v>40716</v>
      </c>
      <c r="C86" s="78" t="s">
        <v>14</v>
      </c>
      <c r="D86" s="52">
        <v>1300</v>
      </c>
      <c r="E86" s="52">
        <v>790</v>
      </c>
    </row>
    <row r="87" spans="1:5" x14ac:dyDescent="0.2">
      <c r="A87" s="10"/>
      <c r="B87" s="22">
        <v>40821</v>
      </c>
      <c r="C87" s="27" t="s">
        <v>9</v>
      </c>
      <c r="D87" s="52">
        <v>4900</v>
      </c>
      <c r="E87" s="52">
        <v>4900</v>
      </c>
    </row>
    <row r="88" spans="1:5" x14ac:dyDescent="0.2">
      <c r="A88" s="9"/>
      <c r="B88" s="21">
        <v>40821</v>
      </c>
      <c r="C88" s="74" t="s">
        <v>10</v>
      </c>
      <c r="D88" s="52">
        <v>13000</v>
      </c>
      <c r="E88" s="52">
        <v>13000</v>
      </c>
    </row>
    <row r="89" spans="1:5" x14ac:dyDescent="0.2">
      <c r="A89" s="8"/>
      <c r="B89" s="21">
        <v>40821</v>
      </c>
      <c r="C89" s="75" t="s">
        <v>11</v>
      </c>
      <c r="D89" s="52">
        <v>17000</v>
      </c>
      <c r="E89" s="52">
        <v>13000</v>
      </c>
    </row>
    <row r="90" spans="1:5" x14ac:dyDescent="0.2">
      <c r="A90" s="8"/>
      <c r="B90" s="21">
        <v>40821</v>
      </c>
      <c r="C90" s="76" t="s">
        <v>12</v>
      </c>
      <c r="D90" s="52">
        <v>17000</v>
      </c>
      <c r="E90" s="52">
        <v>4900</v>
      </c>
    </row>
    <row r="91" spans="1:5" x14ac:dyDescent="0.2">
      <c r="A91" s="8"/>
      <c r="B91" s="21">
        <v>40821</v>
      </c>
      <c r="C91" s="77" t="s">
        <v>13</v>
      </c>
      <c r="D91" s="52">
        <v>49000</v>
      </c>
      <c r="E91" s="52">
        <v>7900</v>
      </c>
    </row>
    <row r="92" spans="1:5" x14ac:dyDescent="0.2">
      <c r="A92" s="8"/>
      <c r="B92" s="21">
        <v>40821</v>
      </c>
      <c r="C92" s="78" t="s">
        <v>14</v>
      </c>
      <c r="D92" s="52">
        <v>4900</v>
      </c>
      <c r="E92" s="52">
        <v>1300</v>
      </c>
    </row>
    <row r="93" spans="1:5" x14ac:dyDescent="0.2">
      <c r="A93" s="10"/>
      <c r="B93" s="21">
        <v>40897</v>
      </c>
      <c r="C93" s="27" t="s">
        <v>9</v>
      </c>
      <c r="D93" s="52">
        <v>4000</v>
      </c>
      <c r="E93" s="52">
        <v>3500</v>
      </c>
    </row>
    <row r="94" spans="1:5" x14ac:dyDescent="0.2">
      <c r="A94" s="9"/>
      <c r="B94" s="21">
        <v>40897</v>
      </c>
      <c r="C94" s="74" t="s">
        <v>10</v>
      </c>
      <c r="D94" s="52">
        <v>11000</v>
      </c>
      <c r="E94" s="52">
        <v>3300</v>
      </c>
    </row>
    <row r="95" spans="1:5" x14ac:dyDescent="0.2">
      <c r="A95" s="8"/>
      <c r="B95" s="21">
        <v>40897</v>
      </c>
      <c r="C95" s="75" t="s">
        <v>11</v>
      </c>
      <c r="D95" s="52">
        <v>17000</v>
      </c>
      <c r="E95" s="52">
        <v>7000</v>
      </c>
    </row>
    <row r="96" spans="1:5" x14ac:dyDescent="0.2">
      <c r="A96" s="8"/>
      <c r="B96" s="21">
        <v>40897</v>
      </c>
      <c r="C96" s="76" t="s">
        <v>12</v>
      </c>
      <c r="D96" s="52">
        <v>11000</v>
      </c>
      <c r="E96" s="52">
        <v>3300</v>
      </c>
    </row>
    <row r="97" spans="1:5" x14ac:dyDescent="0.2">
      <c r="A97" s="8"/>
      <c r="B97" s="21">
        <v>40897</v>
      </c>
      <c r="C97" s="77" t="s">
        <v>13</v>
      </c>
      <c r="D97" s="52">
        <v>11000</v>
      </c>
      <c r="E97" s="52">
        <v>3300</v>
      </c>
    </row>
    <row r="98" spans="1:5" x14ac:dyDescent="0.2">
      <c r="A98" s="8"/>
      <c r="B98" s="21">
        <v>40897</v>
      </c>
      <c r="C98" s="78" t="s">
        <v>14</v>
      </c>
      <c r="D98" s="52">
        <v>4900</v>
      </c>
      <c r="E98" s="52">
        <v>1700</v>
      </c>
    </row>
    <row r="99" spans="1:5" x14ac:dyDescent="0.2">
      <c r="A99" s="10">
        <v>2012</v>
      </c>
      <c r="B99" s="21">
        <v>41008</v>
      </c>
      <c r="C99" s="27" t="s">
        <v>9</v>
      </c>
      <c r="D99" s="52">
        <v>7900</v>
      </c>
      <c r="E99" s="52">
        <v>3300</v>
      </c>
    </row>
    <row r="100" spans="1:5" x14ac:dyDescent="0.2">
      <c r="A100" s="9"/>
      <c r="B100" s="21">
        <v>41008</v>
      </c>
      <c r="C100" s="74" t="s">
        <v>10</v>
      </c>
      <c r="D100" s="52">
        <v>11000</v>
      </c>
      <c r="E100" s="52">
        <v>2200</v>
      </c>
    </row>
    <row r="101" spans="1:5" x14ac:dyDescent="0.2">
      <c r="A101" s="8"/>
      <c r="B101" s="21">
        <v>41008</v>
      </c>
      <c r="C101" s="75" t="s">
        <v>11</v>
      </c>
      <c r="D101" s="52">
        <v>170000</v>
      </c>
      <c r="E101" s="52">
        <v>11000</v>
      </c>
    </row>
    <row r="102" spans="1:5" x14ac:dyDescent="0.2">
      <c r="A102" s="8"/>
      <c r="B102" s="21">
        <v>41008</v>
      </c>
      <c r="C102" s="76" t="s">
        <v>12</v>
      </c>
      <c r="D102" s="52">
        <v>79000</v>
      </c>
      <c r="E102" s="52">
        <v>17000</v>
      </c>
    </row>
    <row r="103" spans="1:5" x14ac:dyDescent="0.2">
      <c r="A103" s="8"/>
      <c r="B103" s="21">
        <v>41008</v>
      </c>
      <c r="C103" s="77" t="s">
        <v>13</v>
      </c>
      <c r="D103" s="52">
        <v>790</v>
      </c>
      <c r="E103" s="52">
        <v>330</v>
      </c>
    </row>
    <row r="104" spans="1:5" x14ac:dyDescent="0.2">
      <c r="A104" s="8"/>
      <c r="B104" s="21">
        <v>41008</v>
      </c>
      <c r="C104" s="78" t="s">
        <v>14</v>
      </c>
      <c r="D104" s="52">
        <v>1700</v>
      </c>
      <c r="E104" s="52">
        <v>230</v>
      </c>
    </row>
    <row r="105" spans="1:5" x14ac:dyDescent="0.2">
      <c r="A105" s="10"/>
      <c r="B105" s="21">
        <v>41086</v>
      </c>
      <c r="C105" s="27" t="s">
        <v>9</v>
      </c>
      <c r="D105" s="58">
        <v>14000</v>
      </c>
      <c r="E105" s="58">
        <v>14000</v>
      </c>
    </row>
    <row r="106" spans="1:5" x14ac:dyDescent="0.2">
      <c r="A106" s="9"/>
      <c r="B106" s="21">
        <v>41086</v>
      </c>
      <c r="C106" s="74" t="s">
        <v>10</v>
      </c>
      <c r="D106" s="52">
        <v>17000</v>
      </c>
      <c r="E106" s="52">
        <v>13000</v>
      </c>
    </row>
    <row r="107" spans="1:5" x14ac:dyDescent="0.2">
      <c r="A107" s="8"/>
      <c r="B107" s="21">
        <v>41086</v>
      </c>
      <c r="C107" s="75" t="s">
        <v>11</v>
      </c>
      <c r="D107" s="52">
        <v>160000</v>
      </c>
      <c r="E107" s="52">
        <v>92000</v>
      </c>
    </row>
    <row r="108" spans="1:5" x14ac:dyDescent="0.2">
      <c r="A108" s="8"/>
      <c r="B108" s="21">
        <v>41086</v>
      </c>
      <c r="C108" s="76" t="s">
        <v>12</v>
      </c>
      <c r="D108" s="52">
        <v>24000</v>
      </c>
      <c r="E108" s="52">
        <v>13000</v>
      </c>
    </row>
    <row r="109" spans="1:5" x14ac:dyDescent="0.2">
      <c r="A109" s="8"/>
      <c r="B109" s="21">
        <v>41086</v>
      </c>
      <c r="C109" s="77" t="s">
        <v>13</v>
      </c>
      <c r="D109" s="52">
        <v>54000</v>
      </c>
      <c r="E109" s="52">
        <v>24000</v>
      </c>
    </row>
    <row r="110" spans="1:5" x14ac:dyDescent="0.2">
      <c r="A110" s="8"/>
      <c r="B110" s="21">
        <v>41086</v>
      </c>
      <c r="C110" s="78" t="s">
        <v>14</v>
      </c>
      <c r="D110" s="52">
        <v>700</v>
      </c>
      <c r="E110" s="52">
        <v>490</v>
      </c>
    </row>
    <row r="111" spans="1:5" x14ac:dyDescent="0.2">
      <c r="A111" s="10"/>
      <c r="B111" s="21">
        <v>41179</v>
      </c>
      <c r="C111" s="27" t="s">
        <v>9</v>
      </c>
      <c r="D111" s="52">
        <v>1700</v>
      </c>
      <c r="E111" s="52">
        <v>790</v>
      </c>
    </row>
    <row r="112" spans="1:5" x14ac:dyDescent="0.2">
      <c r="A112" s="9"/>
      <c r="B112" s="21">
        <v>41179</v>
      </c>
      <c r="C112" s="74" t="s">
        <v>10</v>
      </c>
      <c r="D112" s="52">
        <v>1400</v>
      </c>
      <c r="E112" s="52">
        <v>700</v>
      </c>
    </row>
    <row r="113" spans="1:5" x14ac:dyDescent="0.2">
      <c r="A113" s="8"/>
      <c r="B113" s="21">
        <v>41179</v>
      </c>
      <c r="C113" s="75" t="s">
        <v>11</v>
      </c>
      <c r="D113" s="52">
        <v>1100</v>
      </c>
      <c r="E113" s="52">
        <v>20</v>
      </c>
    </row>
    <row r="114" spans="1:5" x14ac:dyDescent="0.2">
      <c r="A114" s="8"/>
      <c r="B114" s="21">
        <v>41179</v>
      </c>
      <c r="C114" s="76" t="s">
        <v>12</v>
      </c>
      <c r="D114" s="52">
        <v>490</v>
      </c>
      <c r="E114" s="52">
        <v>45</v>
      </c>
    </row>
    <row r="115" spans="1:5" x14ac:dyDescent="0.2">
      <c r="A115" s="8"/>
      <c r="B115" s="21">
        <v>41179</v>
      </c>
      <c r="C115" s="77" t="s">
        <v>13</v>
      </c>
      <c r="D115" s="52">
        <v>700</v>
      </c>
      <c r="E115" s="52">
        <v>330</v>
      </c>
    </row>
    <row r="116" spans="1:5" x14ac:dyDescent="0.2">
      <c r="A116" s="8"/>
      <c r="B116" s="21">
        <v>41179</v>
      </c>
      <c r="C116" s="78" t="s">
        <v>14</v>
      </c>
      <c r="D116" s="52">
        <v>23</v>
      </c>
      <c r="E116" s="31">
        <v>1.8</v>
      </c>
    </row>
    <row r="117" spans="1:5" x14ac:dyDescent="0.2">
      <c r="A117" s="10"/>
      <c r="B117" s="21">
        <v>41247</v>
      </c>
      <c r="C117" s="27" t="s">
        <v>9</v>
      </c>
      <c r="D117" s="52">
        <v>3300</v>
      </c>
      <c r="E117" s="52">
        <v>790</v>
      </c>
    </row>
    <row r="118" spans="1:5" x14ac:dyDescent="0.2">
      <c r="A118" s="9"/>
      <c r="B118" s="21">
        <v>41247</v>
      </c>
      <c r="C118" s="74" t="s">
        <v>10</v>
      </c>
      <c r="D118" s="52">
        <v>1700</v>
      </c>
      <c r="E118" s="52">
        <v>1300</v>
      </c>
    </row>
    <row r="119" spans="1:5" x14ac:dyDescent="0.2">
      <c r="A119" s="8"/>
      <c r="B119" s="21">
        <v>41247</v>
      </c>
      <c r="C119" s="75" t="s">
        <v>11</v>
      </c>
      <c r="D119" s="52">
        <v>790</v>
      </c>
      <c r="E119" s="52">
        <v>490</v>
      </c>
    </row>
    <row r="120" spans="1:5" x14ac:dyDescent="0.2">
      <c r="A120" s="8"/>
      <c r="B120" s="21">
        <v>41247</v>
      </c>
      <c r="C120" s="76" t="s">
        <v>12</v>
      </c>
      <c r="D120" s="52">
        <v>1100</v>
      </c>
      <c r="E120" s="52">
        <v>790</v>
      </c>
    </row>
    <row r="121" spans="1:5" x14ac:dyDescent="0.2">
      <c r="A121" s="8"/>
      <c r="B121" s="21">
        <v>41247</v>
      </c>
      <c r="C121" s="77" t="s">
        <v>13</v>
      </c>
      <c r="D121" s="52">
        <v>490</v>
      </c>
      <c r="E121" s="52">
        <v>330</v>
      </c>
    </row>
    <row r="122" spans="1:5" x14ac:dyDescent="0.2">
      <c r="A122" s="8"/>
      <c r="B122" s="21">
        <v>41247</v>
      </c>
      <c r="C122" s="78" t="s">
        <v>14</v>
      </c>
      <c r="D122" s="52">
        <v>790</v>
      </c>
      <c r="E122" s="52">
        <v>170</v>
      </c>
    </row>
    <row r="123" spans="1:5" x14ac:dyDescent="0.2">
      <c r="A123" s="10">
        <v>2013</v>
      </c>
      <c r="B123" s="21">
        <v>41352</v>
      </c>
      <c r="C123" s="27" t="s">
        <v>9</v>
      </c>
      <c r="D123" s="52">
        <v>92000</v>
      </c>
      <c r="E123" s="52">
        <v>35000</v>
      </c>
    </row>
    <row r="124" spans="1:5" x14ac:dyDescent="0.2">
      <c r="A124" s="9"/>
      <c r="B124" s="21">
        <v>41352</v>
      </c>
      <c r="C124" s="74" t="s">
        <v>10</v>
      </c>
      <c r="D124" s="52">
        <v>92000</v>
      </c>
      <c r="E124" s="52">
        <v>13000</v>
      </c>
    </row>
    <row r="125" spans="1:5" x14ac:dyDescent="0.2">
      <c r="A125" s="8"/>
      <c r="B125" s="21">
        <v>41352</v>
      </c>
      <c r="C125" s="75" t="s">
        <v>11</v>
      </c>
      <c r="D125" s="58">
        <v>160000</v>
      </c>
      <c r="E125" s="52">
        <v>35000</v>
      </c>
    </row>
    <row r="126" spans="1:5" x14ac:dyDescent="0.2">
      <c r="A126" s="8"/>
      <c r="B126" s="21">
        <v>41352</v>
      </c>
      <c r="C126" s="76" t="s">
        <v>12</v>
      </c>
      <c r="D126" s="52">
        <v>92000</v>
      </c>
      <c r="E126" s="52">
        <v>35000</v>
      </c>
    </row>
    <row r="127" spans="1:5" x14ac:dyDescent="0.2">
      <c r="A127" s="8"/>
      <c r="B127" s="21">
        <v>41352</v>
      </c>
      <c r="C127" s="77" t="s">
        <v>13</v>
      </c>
      <c r="D127" s="52">
        <v>92000</v>
      </c>
      <c r="E127" s="52">
        <v>13000</v>
      </c>
    </row>
    <row r="128" spans="1:5" x14ac:dyDescent="0.2">
      <c r="A128" s="8"/>
      <c r="B128" s="23">
        <v>41352</v>
      </c>
      <c r="C128" s="78" t="s">
        <v>14</v>
      </c>
      <c r="D128" s="52">
        <v>3300</v>
      </c>
      <c r="E128" s="52">
        <v>3300</v>
      </c>
    </row>
    <row r="129" spans="1:5" x14ac:dyDescent="0.2">
      <c r="A129" s="10"/>
      <c r="B129" s="21">
        <v>41445</v>
      </c>
      <c r="C129" s="27" t="s">
        <v>9</v>
      </c>
      <c r="D129" s="58">
        <v>3500</v>
      </c>
      <c r="E129" s="52">
        <v>790</v>
      </c>
    </row>
    <row r="130" spans="1:5" x14ac:dyDescent="0.2">
      <c r="A130" s="9"/>
      <c r="B130" s="23">
        <v>41445</v>
      </c>
      <c r="C130" s="74" t="s">
        <v>10</v>
      </c>
      <c r="D130" s="52">
        <v>5400</v>
      </c>
      <c r="E130" s="52">
        <v>700</v>
      </c>
    </row>
    <row r="131" spans="1:5" x14ac:dyDescent="0.2">
      <c r="A131" s="8"/>
      <c r="B131" s="21">
        <v>41445</v>
      </c>
      <c r="C131" s="75" t="s">
        <v>11</v>
      </c>
      <c r="D131" s="52">
        <v>2200</v>
      </c>
      <c r="E131" s="52">
        <v>1100</v>
      </c>
    </row>
    <row r="132" spans="1:5" x14ac:dyDescent="0.2">
      <c r="A132" s="8"/>
      <c r="B132" s="21">
        <v>41445</v>
      </c>
      <c r="C132" s="76" t="s">
        <v>12</v>
      </c>
      <c r="D132" s="52">
        <v>5400</v>
      </c>
      <c r="E132" s="52">
        <v>490</v>
      </c>
    </row>
    <row r="133" spans="1:5" x14ac:dyDescent="0.2">
      <c r="A133" s="8"/>
      <c r="B133" s="21">
        <v>41445</v>
      </c>
      <c r="C133" s="77" t="s">
        <v>13</v>
      </c>
      <c r="D133" s="52">
        <v>1700</v>
      </c>
      <c r="E133" s="52">
        <v>790</v>
      </c>
    </row>
    <row r="134" spans="1:5" x14ac:dyDescent="0.2">
      <c r="A134" s="8"/>
      <c r="B134" s="21">
        <v>41445</v>
      </c>
      <c r="C134" s="78" t="s">
        <v>14</v>
      </c>
      <c r="D134" s="52">
        <v>790</v>
      </c>
      <c r="E134" s="52">
        <v>110</v>
      </c>
    </row>
    <row r="135" spans="1:5" x14ac:dyDescent="0.2">
      <c r="A135" s="10"/>
      <c r="B135" s="21">
        <v>41528</v>
      </c>
      <c r="C135" s="27" t="s">
        <v>9</v>
      </c>
      <c r="D135" s="52">
        <v>1300</v>
      </c>
      <c r="E135" s="52">
        <v>1300</v>
      </c>
    </row>
    <row r="136" spans="1:5" x14ac:dyDescent="0.2">
      <c r="A136" s="9"/>
      <c r="B136" s="23">
        <v>41528</v>
      </c>
      <c r="C136" s="74" t="s">
        <v>10</v>
      </c>
      <c r="D136" s="52">
        <v>490</v>
      </c>
      <c r="E136" s="52">
        <v>330</v>
      </c>
    </row>
    <row r="137" spans="1:5" x14ac:dyDescent="0.2">
      <c r="A137" s="8"/>
      <c r="B137" s="23">
        <v>41528</v>
      </c>
      <c r="C137" s="75" t="s">
        <v>11</v>
      </c>
      <c r="D137" s="52">
        <v>330</v>
      </c>
      <c r="E137" s="52">
        <v>330</v>
      </c>
    </row>
    <row r="138" spans="1:5" x14ac:dyDescent="0.2">
      <c r="A138" s="8"/>
      <c r="B138" s="23">
        <v>41528</v>
      </c>
      <c r="C138" s="76" t="s">
        <v>12</v>
      </c>
      <c r="D138" s="52">
        <v>540</v>
      </c>
      <c r="E138" s="52">
        <v>540</v>
      </c>
    </row>
    <row r="139" spans="1:5" x14ac:dyDescent="0.2">
      <c r="A139" s="8"/>
      <c r="B139" s="23">
        <v>41528</v>
      </c>
      <c r="C139" s="77" t="s">
        <v>13</v>
      </c>
      <c r="D139" s="52">
        <v>2400</v>
      </c>
      <c r="E139" s="52">
        <v>790</v>
      </c>
    </row>
    <row r="140" spans="1:5" x14ac:dyDescent="0.2">
      <c r="A140" s="8"/>
      <c r="B140" s="23">
        <v>41528</v>
      </c>
      <c r="C140" s="78" t="s">
        <v>14</v>
      </c>
      <c r="D140" s="52">
        <v>31</v>
      </c>
      <c r="E140" s="52">
        <v>13</v>
      </c>
    </row>
    <row r="141" spans="1:5" x14ac:dyDescent="0.2">
      <c r="A141" s="10">
        <v>2014</v>
      </c>
      <c r="B141" s="23">
        <v>41670</v>
      </c>
      <c r="C141" s="27" t="s">
        <v>9</v>
      </c>
      <c r="D141" s="52"/>
      <c r="E141" s="52"/>
    </row>
    <row r="142" spans="1:5" x14ac:dyDescent="0.2">
      <c r="A142" s="9"/>
      <c r="B142" s="23">
        <v>41670</v>
      </c>
      <c r="C142" s="74" t="s">
        <v>10</v>
      </c>
      <c r="D142" s="52"/>
      <c r="E142" s="52"/>
    </row>
    <row r="143" spans="1:5" x14ac:dyDescent="0.2">
      <c r="A143" s="8"/>
      <c r="B143" s="23">
        <v>41670</v>
      </c>
      <c r="C143" s="75" t="s">
        <v>11</v>
      </c>
      <c r="D143" s="52"/>
      <c r="E143" s="52"/>
    </row>
    <row r="144" spans="1:5" x14ac:dyDescent="0.2">
      <c r="A144" s="8"/>
      <c r="B144" s="23">
        <v>41670</v>
      </c>
      <c r="C144" s="76" t="s">
        <v>12</v>
      </c>
      <c r="D144" s="52"/>
      <c r="E144" s="52"/>
    </row>
    <row r="145" spans="1:5" x14ac:dyDescent="0.2">
      <c r="A145" s="8"/>
      <c r="B145" s="23">
        <v>41670</v>
      </c>
      <c r="C145" s="77" t="s">
        <v>13</v>
      </c>
      <c r="D145" s="52"/>
      <c r="E145" s="52"/>
    </row>
    <row r="146" spans="1:5" x14ac:dyDescent="0.2">
      <c r="A146" s="8"/>
      <c r="B146" s="23">
        <v>41670</v>
      </c>
      <c r="C146" s="78" t="s">
        <v>14</v>
      </c>
      <c r="D146" s="52"/>
      <c r="E146" s="52"/>
    </row>
    <row r="147" spans="1:5" x14ac:dyDescent="0.2">
      <c r="A147" s="10"/>
      <c r="B147" s="23">
        <v>41758</v>
      </c>
      <c r="C147" s="27" t="s">
        <v>9</v>
      </c>
      <c r="D147" s="52">
        <v>54000</v>
      </c>
      <c r="E147" s="52">
        <v>2200</v>
      </c>
    </row>
    <row r="148" spans="1:5" x14ac:dyDescent="0.2">
      <c r="A148" s="9"/>
      <c r="B148" s="23">
        <v>41758</v>
      </c>
      <c r="C148" s="74" t="s">
        <v>10</v>
      </c>
      <c r="D148" s="52">
        <v>7900</v>
      </c>
      <c r="E148" s="52">
        <v>3300</v>
      </c>
    </row>
    <row r="149" spans="1:5" x14ac:dyDescent="0.2">
      <c r="A149" s="8"/>
      <c r="B149" s="23">
        <v>41758</v>
      </c>
      <c r="C149" s="75" t="s">
        <v>11</v>
      </c>
      <c r="D149" s="52">
        <v>11000</v>
      </c>
      <c r="E149" s="52">
        <v>2300</v>
      </c>
    </row>
    <row r="150" spans="1:5" x14ac:dyDescent="0.2">
      <c r="A150" s="8"/>
      <c r="B150" s="23">
        <v>41758</v>
      </c>
      <c r="C150" s="76" t="s">
        <v>12</v>
      </c>
      <c r="D150" s="52">
        <v>54000</v>
      </c>
      <c r="E150" s="52">
        <v>9400</v>
      </c>
    </row>
    <row r="151" spans="1:5" x14ac:dyDescent="0.2">
      <c r="A151" s="8"/>
      <c r="B151" s="23">
        <v>41758</v>
      </c>
      <c r="C151" s="77" t="s">
        <v>13</v>
      </c>
      <c r="D151" s="52">
        <v>35000</v>
      </c>
      <c r="E151" s="52">
        <v>4900</v>
      </c>
    </row>
    <row r="152" spans="1:5" x14ac:dyDescent="0.2">
      <c r="A152" s="8"/>
      <c r="B152" s="23">
        <v>41758</v>
      </c>
      <c r="C152" s="78" t="s">
        <v>14</v>
      </c>
      <c r="D152" s="58">
        <v>790</v>
      </c>
      <c r="E152" s="52">
        <v>78</v>
      </c>
    </row>
    <row r="153" spans="1:5" x14ac:dyDescent="0.2">
      <c r="A153" s="10"/>
      <c r="B153" s="23">
        <v>41835</v>
      </c>
      <c r="C153" s="27" t="s">
        <v>9</v>
      </c>
      <c r="D153" s="52">
        <v>2400</v>
      </c>
      <c r="E153" s="52">
        <v>2400</v>
      </c>
    </row>
    <row r="154" spans="1:5" x14ac:dyDescent="0.2">
      <c r="A154" s="9"/>
      <c r="B154" s="23">
        <v>41835</v>
      </c>
      <c r="C154" s="74" t="s">
        <v>10</v>
      </c>
      <c r="D154" s="52">
        <v>170</v>
      </c>
      <c r="E154" s="52">
        <v>170</v>
      </c>
    </row>
    <row r="155" spans="1:5" x14ac:dyDescent="0.2">
      <c r="A155" s="8"/>
      <c r="B155" s="23">
        <v>41835</v>
      </c>
      <c r="C155" s="75" t="s">
        <v>11</v>
      </c>
      <c r="D155" s="52">
        <v>1700</v>
      </c>
      <c r="E155" s="52">
        <v>490</v>
      </c>
    </row>
    <row r="156" spans="1:5" x14ac:dyDescent="0.2">
      <c r="A156" s="8"/>
      <c r="B156" s="23">
        <v>41835</v>
      </c>
      <c r="C156" s="76" t="s">
        <v>12</v>
      </c>
      <c r="D156" s="52">
        <v>700</v>
      </c>
      <c r="E156" s="52">
        <v>330</v>
      </c>
    </row>
    <row r="157" spans="1:5" x14ac:dyDescent="0.2">
      <c r="A157" s="8"/>
      <c r="B157" s="23">
        <v>41835</v>
      </c>
      <c r="C157" s="77" t="s">
        <v>13</v>
      </c>
      <c r="D157" s="52">
        <v>490</v>
      </c>
      <c r="E157" s="52">
        <v>330</v>
      </c>
    </row>
    <row r="158" spans="1:5" x14ac:dyDescent="0.2">
      <c r="A158" s="8"/>
      <c r="B158" s="23">
        <v>41835</v>
      </c>
      <c r="C158" s="78" t="s">
        <v>14</v>
      </c>
      <c r="D158" s="52">
        <v>240</v>
      </c>
      <c r="E158" s="52">
        <v>240</v>
      </c>
    </row>
    <row r="159" spans="1:5" x14ac:dyDescent="0.2">
      <c r="A159" s="10">
        <v>2015</v>
      </c>
      <c r="B159" s="23">
        <v>42031</v>
      </c>
      <c r="C159" s="27" t="s">
        <v>9</v>
      </c>
      <c r="D159" s="52">
        <v>16000</v>
      </c>
      <c r="E159" s="52">
        <v>5400</v>
      </c>
    </row>
    <row r="160" spans="1:5" x14ac:dyDescent="0.2">
      <c r="A160" s="9"/>
      <c r="B160" s="23">
        <v>42031</v>
      </c>
      <c r="C160" s="74" t="s">
        <v>10</v>
      </c>
      <c r="D160" s="58">
        <v>16000</v>
      </c>
      <c r="E160" s="58">
        <v>3500</v>
      </c>
    </row>
    <row r="161" spans="1:5" x14ac:dyDescent="0.2">
      <c r="A161" s="8"/>
      <c r="B161" s="23">
        <v>42031</v>
      </c>
      <c r="C161" s="75" t="s">
        <v>11</v>
      </c>
      <c r="D161" s="52">
        <v>16000</v>
      </c>
      <c r="E161" s="52">
        <v>3500</v>
      </c>
    </row>
    <row r="162" spans="1:5" x14ac:dyDescent="0.2">
      <c r="A162" s="8"/>
      <c r="B162" s="23">
        <v>42031</v>
      </c>
      <c r="C162" s="76" t="s">
        <v>12</v>
      </c>
      <c r="D162" s="52">
        <v>35000</v>
      </c>
      <c r="E162" s="52">
        <v>13000</v>
      </c>
    </row>
    <row r="163" spans="1:5" x14ac:dyDescent="0.2">
      <c r="A163" s="8"/>
      <c r="B163" s="23">
        <v>42031</v>
      </c>
      <c r="C163" s="77" t="s">
        <v>13</v>
      </c>
      <c r="D163" s="52">
        <v>16000</v>
      </c>
      <c r="E163" s="52">
        <v>16000</v>
      </c>
    </row>
    <row r="164" spans="1:5" x14ac:dyDescent="0.2">
      <c r="A164" s="8"/>
      <c r="B164" s="23">
        <v>42031</v>
      </c>
      <c r="C164" s="78" t="s">
        <v>14</v>
      </c>
      <c r="D164" s="58">
        <v>240</v>
      </c>
      <c r="E164" s="58">
        <v>240</v>
      </c>
    </row>
    <row r="165" spans="1:5" x14ac:dyDescent="0.2">
      <c r="A165" s="10"/>
      <c r="B165" s="23">
        <v>42094</v>
      </c>
      <c r="C165" s="27" t="s">
        <v>9</v>
      </c>
      <c r="D165" s="58">
        <v>92000</v>
      </c>
      <c r="E165" s="52">
        <v>13000</v>
      </c>
    </row>
    <row r="166" spans="1:5" x14ac:dyDescent="0.2">
      <c r="A166" s="9"/>
      <c r="B166" s="22">
        <v>42094</v>
      </c>
      <c r="C166" s="74" t="s">
        <v>10</v>
      </c>
      <c r="D166" s="58">
        <v>35000</v>
      </c>
      <c r="E166" s="52">
        <v>17000</v>
      </c>
    </row>
    <row r="167" spans="1:5" x14ac:dyDescent="0.2">
      <c r="A167" s="8"/>
      <c r="B167" s="22">
        <v>42094</v>
      </c>
      <c r="C167" s="75" t="s">
        <v>11</v>
      </c>
      <c r="D167" s="52">
        <v>28000</v>
      </c>
      <c r="E167" s="52">
        <v>22000</v>
      </c>
    </row>
    <row r="168" spans="1:5" x14ac:dyDescent="0.2">
      <c r="A168" s="8"/>
      <c r="B168" s="22">
        <v>42094</v>
      </c>
      <c r="C168" s="76" t="s">
        <v>12</v>
      </c>
      <c r="D168" s="52">
        <v>54000</v>
      </c>
      <c r="E168" s="52">
        <v>13000</v>
      </c>
    </row>
    <row r="169" spans="1:5" x14ac:dyDescent="0.2">
      <c r="A169" s="8"/>
      <c r="B169" s="22">
        <v>42094</v>
      </c>
      <c r="C169" s="77" t="s">
        <v>13</v>
      </c>
      <c r="D169" s="52">
        <v>160000</v>
      </c>
      <c r="E169" s="52">
        <v>92000</v>
      </c>
    </row>
    <row r="170" spans="1:5" x14ac:dyDescent="0.2">
      <c r="A170" s="8"/>
      <c r="B170" s="22">
        <v>42094</v>
      </c>
      <c r="C170" s="78" t="s">
        <v>14</v>
      </c>
      <c r="D170" s="52">
        <v>4900</v>
      </c>
      <c r="E170" s="52">
        <v>2300</v>
      </c>
    </row>
    <row r="171" spans="1:5" x14ac:dyDescent="0.2">
      <c r="A171" s="10"/>
      <c r="B171" s="22">
        <v>42192</v>
      </c>
      <c r="C171" s="27" t="s">
        <v>9</v>
      </c>
      <c r="D171" s="52">
        <v>3300</v>
      </c>
      <c r="E171" s="52">
        <v>1300</v>
      </c>
    </row>
    <row r="172" spans="1:5" x14ac:dyDescent="0.2">
      <c r="A172" s="9"/>
      <c r="B172" s="21">
        <v>42192</v>
      </c>
      <c r="C172" s="74" t="s">
        <v>10</v>
      </c>
      <c r="D172" s="52">
        <v>1300</v>
      </c>
      <c r="E172" s="52">
        <v>1300</v>
      </c>
    </row>
    <row r="173" spans="1:5" x14ac:dyDescent="0.2">
      <c r="A173" s="8"/>
      <c r="B173" s="21">
        <v>42192</v>
      </c>
      <c r="C173" s="75" t="s">
        <v>11</v>
      </c>
      <c r="D173" s="52">
        <v>4900</v>
      </c>
      <c r="E173" s="52">
        <v>4900</v>
      </c>
    </row>
    <row r="174" spans="1:5" x14ac:dyDescent="0.2">
      <c r="A174" s="8"/>
      <c r="B174" s="21">
        <v>42192</v>
      </c>
      <c r="C174" s="76" t="s">
        <v>12</v>
      </c>
      <c r="D174" s="58">
        <v>3300</v>
      </c>
      <c r="E174" s="52">
        <v>1300</v>
      </c>
    </row>
    <row r="175" spans="1:5" x14ac:dyDescent="0.2">
      <c r="A175" s="8"/>
      <c r="B175" s="21">
        <v>42192</v>
      </c>
      <c r="C175" s="77" t="s">
        <v>13</v>
      </c>
      <c r="D175" s="52">
        <v>7900</v>
      </c>
      <c r="E175" s="52">
        <v>4900</v>
      </c>
    </row>
    <row r="176" spans="1:5" x14ac:dyDescent="0.2">
      <c r="A176" s="8"/>
      <c r="B176" s="21">
        <v>42192</v>
      </c>
      <c r="C176" s="78" t="s">
        <v>14</v>
      </c>
      <c r="D176" s="52">
        <v>2300</v>
      </c>
      <c r="E176" s="52">
        <v>3.3</v>
      </c>
    </row>
    <row r="177" spans="1:5" x14ac:dyDescent="0.2">
      <c r="A177" s="10"/>
      <c r="B177" s="21">
        <v>42290</v>
      </c>
      <c r="C177" s="27" t="s">
        <v>9</v>
      </c>
      <c r="D177" s="52">
        <v>1300</v>
      </c>
      <c r="E177" s="52">
        <v>330</v>
      </c>
    </row>
    <row r="178" spans="1:5" x14ac:dyDescent="0.2">
      <c r="A178" s="9"/>
      <c r="B178" s="22">
        <v>42290</v>
      </c>
      <c r="C178" s="74" t="s">
        <v>10</v>
      </c>
      <c r="D178" s="52">
        <v>46</v>
      </c>
      <c r="E178" s="52">
        <v>33</v>
      </c>
    </row>
    <row r="179" spans="1:5" x14ac:dyDescent="0.2">
      <c r="A179" s="8"/>
      <c r="B179" s="22">
        <v>42290</v>
      </c>
      <c r="C179" s="75" t="s">
        <v>11</v>
      </c>
      <c r="D179" s="52">
        <v>1100</v>
      </c>
      <c r="E179" s="52">
        <v>330</v>
      </c>
    </row>
    <row r="180" spans="1:5" x14ac:dyDescent="0.2">
      <c r="A180" s="8"/>
      <c r="B180" s="22">
        <v>42290</v>
      </c>
      <c r="C180" s="76" t="s">
        <v>12</v>
      </c>
      <c r="D180" s="52">
        <v>33</v>
      </c>
      <c r="E180" s="52">
        <v>17</v>
      </c>
    </row>
    <row r="181" spans="1:5" x14ac:dyDescent="0.2">
      <c r="A181" s="8"/>
      <c r="B181" s="22">
        <v>42290</v>
      </c>
      <c r="C181" s="77" t="s">
        <v>13</v>
      </c>
      <c r="D181" s="52">
        <v>17</v>
      </c>
      <c r="E181" s="52">
        <v>17</v>
      </c>
    </row>
    <row r="182" spans="1:5" x14ac:dyDescent="0.2">
      <c r="A182" s="8"/>
      <c r="B182" s="22">
        <v>42290</v>
      </c>
      <c r="C182" s="78" t="s">
        <v>14</v>
      </c>
      <c r="D182" s="52"/>
      <c r="E182" s="52"/>
    </row>
    <row r="183" spans="1:5" x14ac:dyDescent="0.2">
      <c r="A183" s="10">
        <v>2016</v>
      </c>
      <c r="B183" s="22">
        <v>42381</v>
      </c>
      <c r="C183" s="27" t="s">
        <v>9</v>
      </c>
      <c r="D183" s="52">
        <v>4600</v>
      </c>
      <c r="E183" s="52">
        <v>3300</v>
      </c>
    </row>
    <row r="184" spans="1:5" x14ac:dyDescent="0.2">
      <c r="A184" s="9"/>
      <c r="B184" s="22">
        <v>42381</v>
      </c>
      <c r="C184" s="74" t="s">
        <v>10</v>
      </c>
      <c r="D184" s="52">
        <v>7900</v>
      </c>
      <c r="E184" s="52">
        <v>4900</v>
      </c>
    </row>
    <row r="185" spans="1:5" x14ac:dyDescent="0.2">
      <c r="A185" s="8"/>
      <c r="B185" s="22">
        <v>42381</v>
      </c>
      <c r="C185" s="75" t="s">
        <v>11</v>
      </c>
      <c r="D185" s="52">
        <v>13000</v>
      </c>
      <c r="E185" s="52">
        <v>2800</v>
      </c>
    </row>
    <row r="186" spans="1:5" x14ac:dyDescent="0.2">
      <c r="A186" s="8"/>
      <c r="B186" s="22">
        <v>42381</v>
      </c>
      <c r="C186" s="76" t="s">
        <v>12</v>
      </c>
      <c r="D186" s="52">
        <v>22000</v>
      </c>
      <c r="E186" s="52">
        <v>7900</v>
      </c>
    </row>
    <row r="187" spans="1:5" x14ac:dyDescent="0.2">
      <c r="A187" s="8"/>
      <c r="B187" s="22">
        <v>42381</v>
      </c>
      <c r="C187" s="77" t="s">
        <v>13</v>
      </c>
      <c r="D187" s="52">
        <v>7900</v>
      </c>
      <c r="E187" s="52">
        <v>4900</v>
      </c>
    </row>
    <row r="188" spans="1:5" x14ac:dyDescent="0.2">
      <c r="A188" s="8"/>
      <c r="B188" s="22">
        <v>42381</v>
      </c>
      <c r="C188" s="78" t="s">
        <v>14</v>
      </c>
      <c r="D188" s="52"/>
      <c r="E188" s="52"/>
    </row>
    <row r="189" spans="1:5" x14ac:dyDescent="0.2">
      <c r="A189" s="10"/>
      <c r="B189" s="22">
        <v>42479</v>
      </c>
      <c r="C189" s="27" t="s">
        <v>9</v>
      </c>
      <c r="D189" s="52">
        <v>11000</v>
      </c>
      <c r="E189" s="52">
        <v>1100</v>
      </c>
    </row>
    <row r="190" spans="1:5" x14ac:dyDescent="0.2">
      <c r="A190" s="9"/>
      <c r="B190" s="22">
        <v>42479</v>
      </c>
      <c r="C190" s="74" t="s">
        <v>10</v>
      </c>
      <c r="D190" s="52">
        <v>2300</v>
      </c>
      <c r="E190" s="52">
        <v>1300</v>
      </c>
    </row>
    <row r="191" spans="1:5" x14ac:dyDescent="0.2">
      <c r="A191" s="8"/>
      <c r="B191" s="22">
        <v>42479</v>
      </c>
      <c r="C191" s="75" t="s">
        <v>11</v>
      </c>
      <c r="D191" s="52">
        <v>11000</v>
      </c>
      <c r="E191" s="52">
        <v>7000</v>
      </c>
    </row>
    <row r="192" spans="1:5" x14ac:dyDescent="0.2">
      <c r="A192" s="8"/>
      <c r="B192" s="22">
        <v>42479</v>
      </c>
      <c r="C192" s="76" t="s">
        <v>12</v>
      </c>
      <c r="D192" s="52">
        <v>4600</v>
      </c>
      <c r="E192" s="52">
        <v>1300</v>
      </c>
    </row>
    <row r="193" spans="1:5" x14ac:dyDescent="0.2">
      <c r="A193" s="8"/>
      <c r="B193" s="22">
        <v>42479</v>
      </c>
      <c r="C193" s="77" t="s">
        <v>13</v>
      </c>
      <c r="D193" s="52">
        <v>4900</v>
      </c>
      <c r="E193" s="52">
        <v>1300</v>
      </c>
    </row>
    <row r="194" spans="1:5" x14ac:dyDescent="0.2">
      <c r="A194" s="8"/>
      <c r="B194" s="22">
        <v>42479</v>
      </c>
      <c r="C194" s="78" t="s">
        <v>14</v>
      </c>
      <c r="D194" s="52">
        <v>1100</v>
      </c>
      <c r="E194" s="52">
        <v>790</v>
      </c>
    </row>
    <row r="195" spans="1:5" x14ac:dyDescent="0.2">
      <c r="A195" s="10"/>
      <c r="B195" s="22">
        <v>42570</v>
      </c>
      <c r="C195" s="27" t="s">
        <v>9</v>
      </c>
      <c r="D195" s="52">
        <v>1700</v>
      </c>
      <c r="E195" s="52">
        <v>680</v>
      </c>
    </row>
    <row r="196" spans="1:5" x14ac:dyDescent="0.2">
      <c r="A196" s="9"/>
      <c r="B196" s="21">
        <v>42570</v>
      </c>
      <c r="C196" s="74" t="s">
        <v>10</v>
      </c>
      <c r="D196" s="52">
        <v>1200</v>
      </c>
      <c r="E196" s="52">
        <v>610</v>
      </c>
    </row>
    <row r="197" spans="1:5" x14ac:dyDescent="0.2">
      <c r="A197" s="8"/>
      <c r="B197" s="21">
        <v>42570</v>
      </c>
      <c r="C197" s="75" t="s">
        <v>11</v>
      </c>
      <c r="D197" s="52">
        <v>450</v>
      </c>
      <c r="E197" s="52">
        <v>450</v>
      </c>
    </row>
    <row r="198" spans="1:5" x14ac:dyDescent="0.2">
      <c r="A198" s="8"/>
      <c r="B198" s="21">
        <v>42570</v>
      </c>
      <c r="C198" s="76" t="s">
        <v>12</v>
      </c>
      <c r="D198" s="52">
        <v>930</v>
      </c>
      <c r="E198" s="52">
        <v>680</v>
      </c>
    </row>
    <row r="199" spans="1:5" x14ac:dyDescent="0.2">
      <c r="A199" s="8"/>
      <c r="B199" s="21">
        <v>42570</v>
      </c>
      <c r="C199" s="77" t="s">
        <v>13</v>
      </c>
      <c r="D199" s="52">
        <v>450</v>
      </c>
      <c r="E199" s="52">
        <v>450</v>
      </c>
    </row>
    <row r="200" spans="1:5" x14ac:dyDescent="0.2">
      <c r="A200" s="8"/>
      <c r="B200" s="21">
        <v>42570</v>
      </c>
      <c r="C200" s="78" t="s">
        <v>14</v>
      </c>
      <c r="D200" s="52">
        <v>330</v>
      </c>
      <c r="E200" s="52">
        <v>330</v>
      </c>
    </row>
    <row r="201" spans="1:5" x14ac:dyDescent="0.2">
      <c r="A201" s="10"/>
      <c r="B201" s="21">
        <v>42654</v>
      </c>
      <c r="C201" s="27" t="s">
        <v>9</v>
      </c>
      <c r="D201" s="52">
        <v>1700</v>
      </c>
      <c r="E201" s="52">
        <v>1100</v>
      </c>
    </row>
    <row r="202" spans="1:5" x14ac:dyDescent="0.2">
      <c r="A202" s="9"/>
      <c r="B202" s="21">
        <v>42654</v>
      </c>
      <c r="C202" s="74" t="s">
        <v>10</v>
      </c>
      <c r="D202" s="52">
        <v>2300</v>
      </c>
      <c r="E202" s="52">
        <v>2300</v>
      </c>
    </row>
    <row r="203" spans="1:5" x14ac:dyDescent="0.2">
      <c r="A203" s="8"/>
      <c r="B203" s="21">
        <v>42654</v>
      </c>
      <c r="C203" s="75" t="s">
        <v>11</v>
      </c>
      <c r="D203" s="52">
        <v>2200</v>
      </c>
      <c r="E203" s="52">
        <v>400</v>
      </c>
    </row>
    <row r="204" spans="1:5" x14ac:dyDescent="0.2">
      <c r="A204" s="8"/>
      <c r="B204" s="21">
        <v>42654</v>
      </c>
      <c r="C204" s="76" t="s">
        <v>12</v>
      </c>
      <c r="D204" s="52">
        <v>1300</v>
      </c>
      <c r="E204" s="52">
        <v>1300</v>
      </c>
    </row>
    <row r="205" spans="1:5" x14ac:dyDescent="0.2">
      <c r="A205" s="8"/>
      <c r="B205" s="21">
        <v>42654</v>
      </c>
      <c r="C205" s="77" t="s">
        <v>13</v>
      </c>
      <c r="D205" s="52">
        <v>7900</v>
      </c>
      <c r="E205" s="52">
        <v>1700</v>
      </c>
    </row>
    <row r="206" spans="1:5" x14ac:dyDescent="0.2">
      <c r="A206" s="8"/>
      <c r="B206" s="21">
        <v>42654</v>
      </c>
      <c r="C206" s="78" t="s">
        <v>14</v>
      </c>
      <c r="D206" s="52">
        <v>130</v>
      </c>
      <c r="E206" s="52">
        <v>79</v>
      </c>
    </row>
    <row r="207" spans="1:5" x14ac:dyDescent="0.2">
      <c r="A207" s="10">
        <v>2017</v>
      </c>
      <c r="B207" s="21">
        <v>42745</v>
      </c>
      <c r="C207" s="27" t="s">
        <v>9</v>
      </c>
      <c r="D207" s="52">
        <v>33000</v>
      </c>
      <c r="E207" s="52">
        <v>13000</v>
      </c>
    </row>
    <row r="208" spans="1:5" x14ac:dyDescent="0.2">
      <c r="A208" s="9"/>
      <c r="B208" s="21">
        <v>42745</v>
      </c>
      <c r="C208" s="74" t="s">
        <v>10</v>
      </c>
      <c r="D208" s="52">
        <v>110000</v>
      </c>
      <c r="E208" s="52">
        <v>110000</v>
      </c>
    </row>
    <row r="209" spans="1:5" x14ac:dyDescent="0.2">
      <c r="A209" s="8"/>
      <c r="B209" s="21">
        <v>42745</v>
      </c>
      <c r="C209" s="75" t="s">
        <v>11</v>
      </c>
      <c r="D209" s="52">
        <v>110000</v>
      </c>
      <c r="E209" s="52">
        <v>70000</v>
      </c>
    </row>
    <row r="210" spans="1:5" x14ac:dyDescent="0.2">
      <c r="A210" s="8"/>
      <c r="B210" s="21">
        <v>42745</v>
      </c>
      <c r="C210" s="76" t="s">
        <v>12</v>
      </c>
      <c r="D210" s="52">
        <v>110000</v>
      </c>
      <c r="E210" s="52">
        <v>33000</v>
      </c>
    </row>
    <row r="211" spans="1:5" x14ac:dyDescent="0.2">
      <c r="A211" s="8"/>
      <c r="B211" s="21">
        <v>42745</v>
      </c>
      <c r="C211" s="77" t="s">
        <v>13</v>
      </c>
      <c r="D211" s="52">
        <v>13000</v>
      </c>
      <c r="E211" s="52">
        <v>13000</v>
      </c>
    </row>
    <row r="212" spans="1:5" x14ac:dyDescent="0.2">
      <c r="A212" s="8"/>
      <c r="B212" s="21">
        <v>42745</v>
      </c>
      <c r="C212" s="78" t="s">
        <v>14</v>
      </c>
      <c r="D212" s="52">
        <v>330</v>
      </c>
      <c r="E212" s="52">
        <v>330</v>
      </c>
    </row>
    <row r="213" spans="1:5" x14ac:dyDescent="0.2">
      <c r="A213" s="10"/>
      <c r="B213" s="21">
        <v>42843</v>
      </c>
      <c r="C213" s="27" t="s">
        <v>9</v>
      </c>
      <c r="D213" s="52">
        <v>3500</v>
      </c>
      <c r="E213" s="52">
        <v>790</v>
      </c>
    </row>
    <row r="214" spans="1:5" x14ac:dyDescent="0.2">
      <c r="A214" s="9"/>
      <c r="B214" s="22">
        <v>42843</v>
      </c>
      <c r="C214" s="74" t="s">
        <v>10</v>
      </c>
      <c r="D214" s="52">
        <v>490</v>
      </c>
      <c r="E214" s="52">
        <v>490</v>
      </c>
    </row>
    <row r="215" spans="1:5" x14ac:dyDescent="0.2">
      <c r="A215" s="8"/>
      <c r="B215" s="22">
        <v>42843</v>
      </c>
      <c r="C215" s="75" t="s">
        <v>11</v>
      </c>
      <c r="D215" s="52">
        <v>230</v>
      </c>
      <c r="E215" s="52">
        <v>230</v>
      </c>
    </row>
    <row r="216" spans="1:5" x14ac:dyDescent="0.2">
      <c r="A216" s="8"/>
      <c r="B216" s="22">
        <v>42843</v>
      </c>
      <c r="C216" s="76" t="s">
        <v>12</v>
      </c>
      <c r="D216" s="52">
        <v>490</v>
      </c>
      <c r="E216" s="52">
        <v>490</v>
      </c>
    </row>
    <row r="217" spans="1:5" x14ac:dyDescent="0.2">
      <c r="A217" s="8"/>
      <c r="B217" s="22">
        <v>42843</v>
      </c>
      <c r="C217" s="77" t="s">
        <v>13</v>
      </c>
      <c r="D217" s="52">
        <v>2400</v>
      </c>
      <c r="E217" s="52">
        <v>1300</v>
      </c>
    </row>
    <row r="218" spans="1:5" x14ac:dyDescent="0.2">
      <c r="A218" s="8"/>
      <c r="B218" s="22">
        <v>42843</v>
      </c>
      <c r="C218" s="78" t="s">
        <v>14</v>
      </c>
      <c r="D218" s="52">
        <v>790</v>
      </c>
      <c r="E218" s="52">
        <v>490</v>
      </c>
    </row>
    <row r="219" spans="1:5" x14ac:dyDescent="0.2">
      <c r="A219" s="10"/>
      <c r="B219" s="22">
        <v>42934</v>
      </c>
      <c r="C219" s="27" t="s">
        <v>9</v>
      </c>
      <c r="D219" s="52"/>
      <c r="E219" s="52"/>
    </row>
    <row r="220" spans="1:5" x14ac:dyDescent="0.2">
      <c r="A220" s="9"/>
      <c r="B220" s="22">
        <v>42934</v>
      </c>
      <c r="C220" s="74" t="s">
        <v>10</v>
      </c>
      <c r="D220" s="52"/>
      <c r="E220" s="52"/>
    </row>
    <row r="221" spans="1:5" x14ac:dyDescent="0.2">
      <c r="A221" s="8"/>
      <c r="B221" s="22">
        <v>42934</v>
      </c>
      <c r="C221" s="75" t="s">
        <v>11</v>
      </c>
      <c r="D221" s="52"/>
      <c r="E221" s="52"/>
    </row>
    <row r="222" spans="1:5" x14ac:dyDescent="0.2">
      <c r="A222" s="8"/>
      <c r="B222" s="22">
        <v>42934</v>
      </c>
      <c r="C222" s="76" t="s">
        <v>12</v>
      </c>
      <c r="D222" s="52"/>
      <c r="E222" s="52"/>
    </row>
    <row r="223" spans="1:5" x14ac:dyDescent="0.2">
      <c r="A223" s="8"/>
      <c r="B223" s="22">
        <v>42934</v>
      </c>
      <c r="C223" s="77" t="s">
        <v>13</v>
      </c>
      <c r="D223" s="52"/>
      <c r="E223" s="52"/>
    </row>
    <row r="224" spans="1:5" x14ac:dyDescent="0.2">
      <c r="A224" s="8"/>
      <c r="B224" s="22">
        <v>42934</v>
      </c>
      <c r="C224" s="78" t="s">
        <v>14</v>
      </c>
      <c r="D224" s="52"/>
      <c r="E224" s="52"/>
    </row>
    <row r="225" spans="1:5" x14ac:dyDescent="0.2">
      <c r="A225" s="10"/>
      <c r="B225" s="22">
        <v>43025</v>
      </c>
      <c r="C225" s="27" t="s">
        <v>9</v>
      </c>
      <c r="D225" s="58">
        <v>1100</v>
      </c>
      <c r="E225" s="58">
        <v>450</v>
      </c>
    </row>
    <row r="226" spans="1:5" x14ac:dyDescent="0.2">
      <c r="A226" s="9"/>
      <c r="B226" s="22">
        <v>43025</v>
      </c>
      <c r="C226" s="74" t="s">
        <v>10</v>
      </c>
      <c r="D226" s="58">
        <v>200</v>
      </c>
      <c r="E226" s="58">
        <v>200</v>
      </c>
    </row>
    <row r="227" spans="1:5" x14ac:dyDescent="0.2">
      <c r="A227" s="8"/>
      <c r="B227" s="22">
        <v>43025</v>
      </c>
      <c r="C227" s="75" t="s">
        <v>11</v>
      </c>
      <c r="D227" s="58">
        <v>1100</v>
      </c>
      <c r="E227" s="58">
        <v>780</v>
      </c>
    </row>
    <row r="228" spans="1:5" x14ac:dyDescent="0.2">
      <c r="A228" s="8"/>
      <c r="B228" s="22">
        <v>43025</v>
      </c>
      <c r="C228" s="76" t="s">
        <v>12</v>
      </c>
      <c r="D228" s="58">
        <v>1400</v>
      </c>
      <c r="E228" s="58">
        <v>1400</v>
      </c>
    </row>
    <row r="229" spans="1:5" x14ac:dyDescent="0.2">
      <c r="A229" s="8"/>
      <c r="B229" s="22">
        <v>43025</v>
      </c>
      <c r="C229" s="77" t="s">
        <v>13</v>
      </c>
      <c r="D229" s="58">
        <v>780</v>
      </c>
      <c r="E229" s="58">
        <v>780</v>
      </c>
    </row>
    <row r="230" spans="1:5" x14ac:dyDescent="0.2">
      <c r="A230" s="8"/>
      <c r="B230" s="22">
        <v>43025</v>
      </c>
      <c r="C230" s="78" t="s">
        <v>14</v>
      </c>
      <c r="D230" s="58">
        <v>5400</v>
      </c>
      <c r="E230" s="58">
        <v>490</v>
      </c>
    </row>
    <row r="231" spans="1:5" x14ac:dyDescent="0.2">
      <c r="A231" s="10">
        <v>2018</v>
      </c>
      <c r="B231" s="22">
        <v>43109</v>
      </c>
      <c r="C231" s="27" t="s">
        <v>9</v>
      </c>
      <c r="D231" s="58">
        <v>4900</v>
      </c>
      <c r="E231" s="58">
        <v>2200</v>
      </c>
    </row>
    <row r="232" spans="1:5" x14ac:dyDescent="0.2">
      <c r="A232" s="9"/>
      <c r="B232" s="22">
        <v>43109</v>
      </c>
      <c r="C232" s="74" t="s">
        <v>10</v>
      </c>
      <c r="D232" s="58">
        <v>7000</v>
      </c>
      <c r="E232" s="58">
        <v>4900</v>
      </c>
    </row>
    <row r="233" spans="1:5" x14ac:dyDescent="0.2">
      <c r="A233" s="8"/>
      <c r="B233" s="22">
        <v>43109</v>
      </c>
      <c r="C233" s="75" t="s">
        <v>11</v>
      </c>
      <c r="D233" s="58">
        <v>3300</v>
      </c>
      <c r="E233" s="58">
        <v>680</v>
      </c>
    </row>
    <row r="234" spans="1:5" x14ac:dyDescent="0.2">
      <c r="A234" s="8"/>
      <c r="B234" s="22">
        <v>43109</v>
      </c>
      <c r="C234" s="76" t="s">
        <v>12</v>
      </c>
      <c r="D234" s="58">
        <v>13000</v>
      </c>
      <c r="E234" s="58">
        <v>3300</v>
      </c>
    </row>
    <row r="235" spans="1:5" x14ac:dyDescent="0.2">
      <c r="A235" s="8"/>
      <c r="B235" s="22">
        <v>43109</v>
      </c>
      <c r="C235" s="77" t="s">
        <v>13</v>
      </c>
      <c r="D235" s="58">
        <v>3300</v>
      </c>
      <c r="E235" s="58">
        <v>790</v>
      </c>
    </row>
    <row r="236" spans="1:5" x14ac:dyDescent="0.2">
      <c r="A236" s="8"/>
      <c r="B236" s="22">
        <v>43109</v>
      </c>
      <c r="C236" s="78" t="s">
        <v>14</v>
      </c>
      <c r="D236" s="58">
        <v>1300</v>
      </c>
      <c r="E236" s="58">
        <v>1300</v>
      </c>
    </row>
    <row r="237" spans="1:5" x14ac:dyDescent="0.2">
      <c r="A237" s="10"/>
      <c r="B237" s="22">
        <v>43193</v>
      </c>
      <c r="C237" s="27" t="s">
        <v>9</v>
      </c>
      <c r="D237" s="58">
        <v>3300</v>
      </c>
      <c r="E237" s="58">
        <v>3300</v>
      </c>
    </row>
    <row r="238" spans="1:5" x14ac:dyDescent="0.2">
      <c r="A238" s="9"/>
      <c r="B238" s="22">
        <v>43193</v>
      </c>
      <c r="C238" s="74" t="s">
        <v>10</v>
      </c>
      <c r="D238" s="58">
        <v>17000</v>
      </c>
      <c r="E238" s="58">
        <v>17000</v>
      </c>
    </row>
    <row r="239" spans="1:5" x14ac:dyDescent="0.2">
      <c r="A239" s="8"/>
      <c r="B239" s="22">
        <v>43193</v>
      </c>
      <c r="C239" s="75" t="s">
        <v>11</v>
      </c>
      <c r="D239" s="58">
        <v>4900</v>
      </c>
      <c r="E239" s="58">
        <v>4900</v>
      </c>
    </row>
    <row r="240" spans="1:5" x14ac:dyDescent="0.2">
      <c r="A240" s="8"/>
      <c r="B240" s="22">
        <v>43193</v>
      </c>
      <c r="C240" s="76" t="s">
        <v>12</v>
      </c>
      <c r="D240" s="58">
        <v>1700</v>
      </c>
      <c r="E240" s="58">
        <v>1300</v>
      </c>
    </row>
    <row r="241" spans="1:5" x14ac:dyDescent="0.2">
      <c r="A241" s="8"/>
      <c r="B241" s="22">
        <v>43193</v>
      </c>
      <c r="C241" s="77" t="s">
        <v>13</v>
      </c>
      <c r="D241" s="58">
        <v>13000</v>
      </c>
      <c r="E241" s="58">
        <v>13000</v>
      </c>
    </row>
    <row r="242" spans="1:5" x14ac:dyDescent="0.2">
      <c r="A242" s="8"/>
      <c r="B242" s="22">
        <v>43193</v>
      </c>
      <c r="C242" s="78" t="s">
        <v>14</v>
      </c>
      <c r="D242" s="58">
        <v>2200</v>
      </c>
      <c r="E242" s="58">
        <v>2200</v>
      </c>
    </row>
    <row r="243" spans="1:5" x14ac:dyDescent="0.2">
      <c r="A243" s="10"/>
      <c r="B243" s="22">
        <v>43298</v>
      </c>
      <c r="C243" s="27" t="s">
        <v>9</v>
      </c>
      <c r="D243" s="58">
        <v>490</v>
      </c>
      <c r="E243" s="58">
        <v>330</v>
      </c>
    </row>
    <row r="244" spans="1:5" x14ac:dyDescent="0.2">
      <c r="A244" s="9"/>
      <c r="B244" s="22">
        <v>43298</v>
      </c>
      <c r="C244" s="74" t="s">
        <v>10</v>
      </c>
      <c r="D244" s="58">
        <v>490</v>
      </c>
      <c r="E244" s="58">
        <v>220</v>
      </c>
    </row>
    <row r="245" spans="1:5" x14ac:dyDescent="0.2">
      <c r="A245" s="8"/>
      <c r="B245" s="22">
        <v>43298</v>
      </c>
      <c r="C245" s="75" t="s">
        <v>11</v>
      </c>
      <c r="D245" s="58">
        <v>490</v>
      </c>
      <c r="E245" s="58">
        <v>490</v>
      </c>
    </row>
    <row r="246" spans="1:5" x14ac:dyDescent="0.2">
      <c r="A246" s="8"/>
      <c r="B246" s="22">
        <v>43298</v>
      </c>
      <c r="C246" s="76" t="s">
        <v>12</v>
      </c>
      <c r="D246" s="58">
        <v>2200</v>
      </c>
      <c r="E246" s="58">
        <v>2200</v>
      </c>
    </row>
    <row r="247" spans="1:5" x14ac:dyDescent="0.2">
      <c r="A247" s="8"/>
      <c r="B247" s="22">
        <v>43298</v>
      </c>
      <c r="C247" s="77" t="s">
        <v>13</v>
      </c>
      <c r="D247" s="58">
        <v>1100</v>
      </c>
      <c r="E247" s="58">
        <v>1100</v>
      </c>
    </row>
    <row r="248" spans="1:5" x14ac:dyDescent="0.2">
      <c r="A248" s="8"/>
      <c r="B248" s="22">
        <v>43298</v>
      </c>
      <c r="C248" s="78" t="s">
        <v>14</v>
      </c>
      <c r="D248" s="58">
        <v>1300</v>
      </c>
      <c r="E248" s="58">
        <v>330</v>
      </c>
    </row>
    <row r="249" spans="1:5" x14ac:dyDescent="0.2">
      <c r="A249" s="10"/>
      <c r="B249" s="22">
        <v>43403</v>
      </c>
      <c r="C249" s="27" t="s">
        <v>9</v>
      </c>
      <c r="D249" s="58">
        <v>1700</v>
      </c>
      <c r="E249" s="58">
        <v>1700</v>
      </c>
    </row>
    <row r="250" spans="1:5" x14ac:dyDescent="0.2">
      <c r="A250" s="9"/>
      <c r="B250" s="22">
        <v>43403</v>
      </c>
      <c r="C250" s="74" t="s">
        <v>10</v>
      </c>
      <c r="D250" s="58">
        <v>3500</v>
      </c>
      <c r="E250" s="58">
        <v>3500</v>
      </c>
    </row>
    <row r="251" spans="1:5" x14ac:dyDescent="0.2">
      <c r="A251" s="8"/>
      <c r="B251" s="22">
        <v>43403</v>
      </c>
      <c r="C251" s="75" t="s">
        <v>11</v>
      </c>
      <c r="D251" s="58">
        <v>5400</v>
      </c>
      <c r="E251" s="58">
        <v>5400</v>
      </c>
    </row>
    <row r="252" spans="1:5" x14ac:dyDescent="0.2">
      <c r="A252" s="8"/>
      <c r="B252" s="22">
        <v>43403</v>
      </c>
      <c r="C252" s="76" t="s">
        <v>12</v>
      </c>
      <c r="D252" s="58">
        <v>9200</v>
      </c>
      <c r="E252" s="58">
        <v>5400</v>
      </c>
    </row>
    <row r="253" spans="1:5" x14ac:dyDescent="0.2">
      <c r="A253" s="8"/>
      <c r="B253" s="22">
        <v>43403</v>
      </c>
      <c r="C253" s="77" t="s">
        <v>13</v>
      </c>
      <c r="D253" s="58">
        <v>79</v>
      </c>
      <c r="E253" s="58">
        <v>79</v>
      </c>
    </row>
    <row r="254" spans="1:5" x14ac:dyDescent="0.2">
      <c r="A254" s="8"/>
      <c r="B254" s="22">
        <v>43403</v>
      </c>
      <c r="C254" s="78" t="s">
        <v>14</v>
      </c>
      <c r="D254" s="58">
        <v>3500</v>
      </c>
      <c r="E254" s="58">
        <v>1700</v>
      </c>
    </row>
    <row r="255" spans="1:5" x14ac:dyDescent="0.2">
      <c r="A255" s="8">
        <v>2019</v>
      </c>
      <c r="B255" s="22">
        <v>43487</v>
      </c>
      <c r="C255" s="27" t="s">
        <v>9</v>
      </c>
      <c r="D255" s="58">
        <v>450</v>
      </c>
      <c r="E255" s="58">
        <v>450</v>
      </c>
    </row>
    <row r="256" spans="1:5" x14ac:dyDescent="0.2">
      <c r="A256" s="9"/>
      <c r="B256" s="22">
        <v>43487</v>
      </c>
      <c r="C256" s="74" t="s">
        <v>10</v>
      </c>
      <c r="D256" s="58">
        <v>780</v>
      </c>
      <c r="E256" s="58">
        <v>450</v>
      </c>
    </row>
    <row r="257" spans="1:5" x14ac:dyDescent="0.2">
      <c r="A257" s="8" t="s">
        <v>5</v>
      </c>
      <c r="B257" s="22">
        <v>43487</v>
      </c>
      <c r="C257" s="75" t="s">
        <v>11</v>
      </c>
      <c r="D257" s="58">
        <v>2000</v>
      </c>
      <c r="E257" s="58">
        <v>2000</v>
      </c>
    </row>
    <row r="258" spans="1:5" x14ac:dyDescent="0.2">
      <c r="A258" s="8"/>
      <c r="B258" s="22">
        <v>43487</v>
      </c>
      <c r="C258" s="77" t="s">
        <v>13</v>
      </c>
      <c r="D258" s="58">
        <v>5400</v>
      </c>
      <c r="E258" s="58">
        <v>3500</v>
      </c>
    </row>
    <row r="259" spans="1:5" x14ac:dyDescent="0.2">
      <c r="A259" s="8"/>
      <c r="B259" s="22">
        <v>43487</v>
      </c>
      <c r="C259" s="78" t="s">
        <v>14</v>
      </c>
      <c r="D259" s="58">
        <v>2000</v>
      </c>
      <c r="E259" s="58">
        <v>2000</v>
      </c>
    </row>
    <row r="260" spans="1:5" x14ac:dyDescent="0.2">
      <c r="A260" s="8"/>
      <c r="B260" s="24">
        <v>43578</v>
      </c>
      <c r="C260" s="27" t="s">
        <v>9</v>
      </c>
      <c r="D260" s="58">
        <v>22000</v>
      </c>
      <c r="E260" s="58">
        <v>13000</v>
      </c>
    </row>
    <row r="261" spans="1:5" x14ac:dyDescent="0.2">
      <c r="A261" s="9"/>
      <c r="B261" s="24">
        <v>43578</v>
      </c>
      <c r="C261" s="74" t="s">
        <v>10</v>
      </c>
      <c r="D261" s="58">
        <v>11000</v>
      </c>
      <c r="E261" s="58">
        <v>11000</v>
      </c>
    </row>
    <row r="262" spans="1:5" x14ac:dyDescent="0.2">
      <c r="A262" s="8"/>
      <c r="B262" s="24">
        <v>43578</v>
      </c>
      <c r="C262" s="75" t="s">
        <v>11</v>
      </c>
      <c r="D262" s="58">
        <v>33000</v>
      </c>
      <c r="E262" s="58">
        <v>33000</v>
      </c>
    </row>
    <row r="263" spans="1:5" x14ac:dyDescent="0.2">
      <c r="A263" s="8"/>
      <c r="B263" s="24">
        <v>43578</v>
      </c>
      <c r="C263" s="76" t="s">
        <v>12</v>
      </c>
      <c r="D263" s="58">
        <v>49000</v>
      </c>
      <c r="E263" s="58">
        <v>49000</v>
      </c>
    </row>
    <row r="264" spans="1:5" x14ac:dyDescent="0.2">
      <c r="A264" s="8"/>
      <c r="B264" s="24">
        <v>43578</v>
      </c>
      <c r="C264" s="77" t="s">
        <v>13</v>
      </c>
      <c r="D264" s="58">
        <v>3500</v>
      </c>
      <c r="E264" s="58">
        <v>490</v>
      </c>
    </row>
    <row r="265" spans="1:5" x14ac:dyDescent="0.2">
      <c r="A265" s="8"/>
      <c r="B265" s="24">
        <v>43578</v>
      </c>
      <c r="C265" s="78" t="s">
        <v>14</v>
      </c>
      <c r="D265" s="58">
        <v>17000</v>
      </c>
      <c r="E265" s="58">
        <v>7800</v>
      </c>
    </row>
    <row r="266" spans="1:5" x14ac:dyDescent="0.2">
      <c r="A266" s="10"/>
      <c r="B266" s="22">
        <v>43704</v>
      </c>
      <c r="C266" s="27" t="s">
        <v>9</v>
      </c>
      <c r="D266" s="58">
        <v>1100</v>
      </c>
      <c r="E266" s="58">
        <v>700</v>
      </c>
    </row>
    <row r="267" spans="1:5" x14ac:dyDescent="0.2">
      <c r="A267" s="9"/>
      <c r="B267" s="22">
        <v>43704</v>
      </c>
      <c r="C267" s="74" t="s">
        <v>10</v>
      </c>
      <c r="D267" s="58">
        <v>490</v>
      </c>
      <c r="E267" s="58">
        <v>230</v>
      </c>
    </row>
    <row r="268" spans="1:5" x14ac:dyDescent="0.2">
      <c r="A268" s="8"/>
      <c r="B268" s="22">
        <v>43704</v>
      </c>
      <c r="C268" s="75" t="s">
        <v>11</v>
      </c>
      <c r="D268" s="58">
        <v>1700</v>
      </c>
      <c r="E268" s="58">
        <v>490</v>
      </c>
    </row>
    <row r="269" spans="1:5" x14ac:dyDescent="0.2">
      <c r="A269" s="8"/>
      <c r="B269" s="22">
        <v>43704</v>
      </c>
      <c r="C269" s="76" t="s">
        <v>12</v>
      </c>
      <c r="D269" s="58">
        <v>16000</v>
      </c>
      <c r="E269" s="58">
        <v>16000</v>
      </c>
    </row>
    <row r="270" spans="1:5" x14ac:dyDescent="0.2">
      <c r="A270" s="8"/>
      <c r="B270" s="22">
        <v>43704</v>
      </c>
      <c r="C270" s="77" t="s">
        <v>13</v>
      </c>
      <c r="D270" s="58">
        <v>5400</v>
      </c>
      <c r="E270" s="58">
        <v>3500</v>
      </c>
    </row>
    <row r="271" spans="1:5" x14ac:dyDescent="0.2">
      <c r="A271" s="8"/>
      <c r="B271" s="22">
        <v>43704</v>
      </c>
      <c r="C271" s="78" t="s">
        <v>14</v>
      </c>
      <c r="D271" s="58">
        <v>23</v>
      </c>
      <c r="E271" s="58">
        <v>23</v>
      </c>
    </row>
    <row r="272" spans="1:5" x14ac:dyDescent="0.2">
      <c r="A272" s="10"/>
      <c r="B272" s="22">
        <v>43760</v>
      </c>
      <c r="C272" s="27" t="s">
        <v>9</v>
      </c>
      <c r="D272" s="58">
        <v>27000</v>
      </c>
      <c r="E272" s="58">
        <v>17000</v>
      </c>
    </row>
    <row r="273" spans="1:5" x14ac:dyDescent="0.2">
      <c r="A273" s="9"/>
      <c r="B273" s="22">
        <v>43760</v>
      </c>
      <c r="C273" s="74" t="s">
        <v>10</v>
      </c>
      <c r="D273" s="58">
        <v>9100</v>
      </c>
      <c r="E273" s="58">
        <v>2000</v>
      </c>
    </row>
    <row r="274" spans="1:5" x14ac:dyDescent="0.2">
      <c r="A274" s="8"/>
      <c r="B274" s="22">
        <v>43760</v>
      </c>
      <c r="C274" s="75" t="s">
        <v>11</v>
      </c>
      <c r="D274" s="58">
        <v>4500</v>
      </c>
      <c r="E274" s="58">
        <v>2000</v>
      </c>
    </row>
    <row r="275" spans="1:5" x14ac:dyDescent="0.2">
      <c r="A275" s="8"/>
      <c r="B275" s="22">
        <v>43760</v>
      </c>
      <c r="C275" s="76" t="s">
        <v>12</v>
      </c>
      <c r="D275" s="58">
        <v>33000</v>
      </c>
      <c r="E275" s="58">
        <v>23000</v>
      </c>
    </row>
    <row r="276" spans="1:5" x14ac:dyDescent="0.2">
      <c r="A276" s="8"/>
      <c r="B276" s="25">
        <v>43760</v>
      </c>
      <c r="C276" s="77" t="s">
        <v>13</v>
      </c>
      <c r="D276" s="58">
        <v>4900</v>
      </c>
      <c r="E276" s="58">
        <v>4900</v>
      </c>
    </row>
    <row r="277" spans="1:5" x14ac:dyDescent="0.2">
      <c r="A277" s="8"/>
      <c r="B277" s="25">
        <v>43760</v>
      </c>
      <c r="C277" s="78" t="s">
        <v>14</v>
      </c>
      <c r="D277" s="58">
        <v>2700</v>
      </c>
      <c r="E277" s="58">
        <v>1100</v>
      </c>
    </row>
    <row r="278" spans="1:5" x14ac:dyDescent="0.2">
      <c r="A278" s="10">
        <v>2020</v>
      </c>
      <c r="B278" s="25">
        <v>44021</v>
      </c>
      <c r="C278" s="27" t="s">
        <v>9</v>
      </c>
      <c r="D278" s="52">
        <v>4500</v>
      </c>
      <c r="E278" s="58" t="s">
        <v>73</v>
      </c>
    </row>
    <row r="279" spans="1:5" x14ac:dyDescent="0.2">
      <c r="A279" s="9"/>
      <c r="B279" s="25">
        <v>44021</v>
      </c>
      <c r="C279" s="74" t="s">
        <v>10</v>
      </c>
      <c r="D279" s="58">
        <v>2300</v>
      </c>
      <c r="E279" s="58">
        <v>2300</v>
      </c>
    </row>
    <row r="280" spans="1:5" x14ac:dyDescent="0.2">
      <c r="A280" s="8"/>
      <c r="B280" s="25">
        <v>44021</v>
      </c>
      <c r="C280" s="75" t="s">
        <v>11</v>
      </c>
      <c r="D280" s="52">
        <v>14000</v>
      </c>
      <c r="E280" s="52">
        <v>11000</v>
      </c>
    </row>
    <row r="281" spans="1:5" x14ac:dyDescent="0.2">
      <c r="A281" s="8"/>
      <c r="B281" s="25">
        <v>44021</v>
      </c>
      <c r="C281" s="76" t="s">
        <v>12</v>
      </c>
      <c r="D281" s="52">
        <v>22000</v>
      </c>
      <c r="E281" s="52">
        <v>2000</v>
      </c>
    </row>
    <row r="282" spans="1:5" x14ac:dyDescent="0.2">
      <c r="A282" s="8"/>
      <c r="B282" s="25">
        <v>44021</v>
      </c>
      <c r="C282" s="77" t="s">
        <v>13</v>
      </c>
      <c r="D282" s="52">
        <v>13000</v>
      </c>
      <c r="E282" s="52">
        <v>1700</v>
      </c>
    </row>
    <row r="283" spans="1:5" x14ac:dyDescent="0.2">
      <c r="A283" s="8"/>
      <c r="B283" s="25">
        <v>44021</v>
      </c>
      <c r="C283" s="78" t="s">
        <v>14</v>
      </c>
      <c r="D283" s="52">
        <v>1400</v>
      </c>
      <c r="E283" s="52">
        <v>330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18"/>
  <sheetViews>
    <sheetView workbookViewId="0">
      <selection activeCell="E2" sqref="E2"/>
    </sheetView>
  </sheetViews>
  <sheetFormatPr defaultColWidth="11.42578125" defaultRowHeight="12.75" x14ac:dyDescent="0.2"/>
  <cols>
    <col min="2" max="2" width="18.7109375" customWidth="1"/>
  </cols>
  <sheetData>
    <row r="1" spans="1:43" x14ac:dyDescent="0.2">
      <c r="AQ1" s="72"/>
    </row>
    <row r="2" spans="1:43" x14ac:dyDescent="0.2">
      <c r="AQ2" s="72"/>
    </row>
    <row r="3" spans="1:43" x14ac:dyDescent="0.2">
      <c r="AQ3" s="72"/>
    </row>
    <row r="4" spans="1:43" x14ac:dyDescent="0.2">
      <c r="AQ4" s="72"/>
    </row>
    <row r="5" spans="1:43" x14ac:dyDescent="0.2">
      <c r="AQ5" s="72"/>
    </row>
    <row r="6" spans="1:43" x14ac:dyDescent="0.2">
      <c r="AQ6" s="72"/>
    </row>
    <row r="7" spans="1:43" ht="18" x14ac:dyDescent="0.25">
      <c r="A7" s="1" t="s">
        <v>0</v>
      </c>
      <c r="AQ7" s="72"/>
    </row>
    <row r="8" spans="1:43" x14ac:dyDescent="0.2">
      <c r="A8" s="2" t="s">
        <v>1</v>
      </c>
    </row>
    <row r="9" spans="1:43" x14ac:dyDescent="0.2">
      <c r="A9" s="2" t="s">
        <v>104</v>
      </c>
      <c r="B9" s="3"/>
    </row>
    <row r="11" spans="1:43" x14ac:dyDescent="0.2">
      <c r="A11" s="34"/>
      <c r="B11" s="53" t="s">
        <v>66</v>
      </c>
    </row>
    <row r="12" spans="1:43" x14ac:dyDescent="0.2">
      <c r="A12" s="34"/>
      <c r="B12" s="54" t="s">
        <v>67</v>
      </c>
    </row>
    <row r="13" spans="1:43" x14ac:dyDescent="0.2">
      <c r="A13" s="12" t="s">
        <v>7</v>
      </c>
      <c r="B13" s="27" t="s">
        <v>9</v>
      </c>
      <c r="C13" s="74" t="s">
        <v>10</v>
      </c>
      <c r="D13" s="75" t="s">
        <v>11</v>
      </c>
      <c r="E13" s="76" t="s">
        <v>12</v>
      </c>
      <c r="F13" s="77" t="s">
        <v>13</v>
      </c>
      <c r="G13" s="78" t="s">
        <v>14</v>
      </c>
    </row>
    <row r="14" spans="1:43" x14ac:dyDescent="0.2">
      <c r="A14" s="18">
        <v>37046</v>
      </c>
      <c r="B14" s="52">
        <v>3000</v>
      </c>
      <c r="C14" s="52">
        <v>7000</v>
      </c>
      <c r="D14" s="52">
        <v>17000</v>
      </c>
      <c r="E14" s="52">
        <v>11000</v>
      </c>
      <c r="F14" s="52"/>
      <c r="G14" s="52"/>
    </row>
    <row r="15" spans="1:43" x14ac:dyDescent="0.2">
      <c r="A15" s="18">
        <v>37076</v>
      </c>
      <c r="B15" s="52">
        <v>13000</v>
      </c>
      <c r="C15" s="52">
        <v>3000</v>
      </c>
      <c r="D15" s="52">
        <v>2200</v>
      </c>
      <c r="E15" s="52">
        <v>17000</v>
      </c>
      <c r="F15" s="52"/>
      <c r="G15" s="52"/>
    </row>
    <row r="16" spans="1:43" x14ac:dyDescent="0.2">
      <c r="A16" s="18">
        <v>37335</v>
      </c>
      <c r="B16" s="52">
        <v>50000</v>
      </c>
      <c r="C16" s="52">
        <v>30000</v>
      </c>
      <c r="D16" s="52">
        <v>8000</v>
      </c>
      <c r="E16" s="52">
        <v>17000</v>
      </c>
      <c r="F16" s="52"/>
      <c r="G16" s="52"/>
    </row>
    <row r="17" spans="1:7" x14ac:dyDescent="0.2">
      <c r="A17" s="18">
        <v>37566</v>
      </c>
      <c r="B17" s="52">
        <v>50000</v>
      </c>
      <c r="C17" s="52">
        <v>30000</v>
      </c>
      <c r="D17" s="52">
        <v>24000</v>
      </c>
      <c r="E17" s="52">
        <v>30000</v>
      </c>
      <c r="F17" s="52"/>
      <c r="G17" s="52"/>
    </row>
    <row r="18" spans="1:7" x14ac:dyDescent="0.2">
      <c r="A18" s="18">
        <v>37594</v>
      </c>
      <c r="B18" s="52">
        <v>5000</v>
      </c>
      <c r="C18" s="52">
        <v>1300</v>
      </c>
      <c r="D18" s="52">
        <v>50000</v>
      </c>
      <c r="E18" s="52">
        <v>8000</v>
      </c>
      <c r="F18" s="52"/>
      <c r="G18" s="52"/>
    </row>
    <row r="19" spans="1:7" x14ac:dyDescent="0.2">
      <c r="A19" s="18">
        <v>37711</v>
      </c>
      <c r="B19" s="52">
        <v>17000</v>
      </c>
      <c r="C19" s="52">
        <v>7000</v>
      </c>
      <c r="D19" s="52"/>
      <c r="E19" s="52"/>
      <c r="F19" s="52"/>
      <c r="G19" s="52"/>
    </row>
    <row r="20" spans="1:7" x14ac:dyDescent="0.2">
      <c r="A20" s="18">
        <v>37739</v>
      </c>
      <c r="B20" s="52">
        <v>90000</v>
      </c>
      <c r="C20" s="52">
        <v>130000</v>
      </c>
      <c r="D20" s="52">
        <v>30000</v>
      </c>
      <c r="E20" s="52">
        <v>80000</v>
      </c>
      <c r="F20" s="52"/>
      <c r="G20" s="52"/>
    </row>
    <row r="21" spans="1:7" x14ac:dyDescent="0.2">
      <c r="A21" s="18">
        <v>37825</v>
      </c>
      <c r="B21" s="52">
        <v>3000</v>
      </c>
      <c r="C21" s="52">
        <v>50000</v>
      </c>
      <c r="D21" s="52">
        <v>5000</v>
      </c>
      <c r="E21" s="52">
        <v>5000</v>
      </c>
      <c r="F21" s="52"/>
      <c r="G21" s="52"/>
    </row>
    <row r="22" spans="1:7" x14ac:dyDescent="0.2">
      <c r="A22" s="18">
        <v>37888</v>
      </c>
      <c r="B22" s="52">
        <v>5000</v>
      </c>
      <c r="C22" s="52">
        <v>11000</v>
      </c>
      <c r="D22" s="52">
        <v>2200</v>
      </c>
      <c r="E22" s="52">
        <v>2800</v>
      </c>
      <c r="F22" s="52"/>
      <c r="G22" s="52"/>
    </row>
    <row r="23" spans="1:7" x14ac:dyDescent="0.2">
      <c r="A23" s="18">
        <v>37963</v>
      </c>
      <c r="B23" s="52">
        <v>5000</v>
      </c>
      <c r="C23" s="52">
        <v>3000</v>
      </c>
      <c r="D23" s="52">
        <v>2400</v>
      </c>
      <c r="E23" s="52">
        <v>8000</v>
      </c>
      <c r="F23" s="52"/>
      <c r="G23" s="52"/>
    </row>
    <row r="24" spans="1:7" x14ac:dyDescent="0.2">
      <c r="A24" s="18">
        <v>38012</v>
      </c>
      <c r="B24" s="52">
        <v>17000</v>
      </c>
      <c r="C24" s="52">
        <v>13000</v>
      </c>
      <c r="D24" s="52">
        <v>5000</v>
      </c>
      <c r="E24" s="52">
        <v>5000</v>
      </c>
      <c r="F24" s="52"/>
      <c r="G24" s="52"/>
    </row>
    <row r="25" spans="1:7" x14ac:dyDescent="0.2">
      <c r="A25" s="18">
        <v>38033</v>
      </c>
      <c r="B25" s="52">
        <v>2800</v>
      </c>
      <c r="C25" s="52">
        <v>3000</v>
      </c>
      <c r="D25" s="52">
        <v>5000</v>
      </c>
      <c r="E25" s="52">
        <v>1300</v>
      </c>
      <c r="F25" s="52"/>
      <c r="G25" s="52"/>
    </row>
    <row r="26" spans="1:7" x14ac:dyDescent="0.2">
      <c r="A26" s="18">
        <v>38271</v>
      </c>
      <c r="B26" s="52">
        <v>5000</v>
      </c>
      <c r="C26" s="52">
        <v>1700</v>
      </c>
      <c r="D26" s="52">
        <v>13000</v>
      </c>
      <c r="E26" s="52">
        <v>13000</v>
      </c>
      <c r="F26" s="52"/>
      <c r="G26" s="52"/>
    </row>
    <row r="27" spans="1:7" x14ac:dyDescent="0.2">
      <c r="A27" s="18">
        <v>38474</v>
      </c>
      <c r="B27" s="52">
        <v>2200</v>
      </c>
      <c r="C27" s="52">
        <v>8000</v>
      </c>
      <c r="D27" s="52">
        <v>2200</v>
      </c>
      <c r="E27" s="52">
        <v>5000</v>
      </c>
      <c r="F27" s="52"/>
      <c r="G27" s="52"/>
    </row>
    <row r="28" spans="1:7" x14ac:dyDescent="0.2">
      <c r="A28" s="18">
        <v>38896</v>
      </c>
      <c r="B28" s="52">
        <v>7900</v>
      </c>
      <c r="C28" s="52">
        <v>240000</v>
      </c>
      <c r="D28" s="52">
        <v>4600</v>
      </c>
      <c r="E28" s="52">
        <v>2700</v>
      </c>
      <c r="F28" s="52"/>
      <c r="G28" s="52"/>
    </row>
    <row r="29" spans="1:7" x14ac:dyDescent="0.2">
      <c r="A29" s="18">
        <v>40625</v>
      </c>
      <c r="B29" s="52">
        <v>22000</v>
      </c>
      <c r="C29" s="52">
        <v>9400</v>
      </c>
      <c r="D29" s="52">
        <v>24000</v>
      </c>
      <c r="E29" s="52">
        <v>22000</v>
      </c>
      <c r="F29" s="52">
        <v>17000</v>
      </c>
      <c r="G29" s="52">
        <v>16000</v>
      </c>
    </row>
    <row r="30" spans="1:7" x14ac:dyDescent="0.2">
      <c r="A30" s="18">
        <v>40716</v>
      </c>
      <c r="B30" s="52">
        <v>2400</v>
      </c>
      <c r="C30" s="52">
        <v>2200</v>
      </c>
      <c r="D30" s="52">
        <v>1100</v>
      </c>
      <c r="E30" s="52">
        <v>17000</v>
      </c>
      <c r="F30" s="52">
        <v>940</v>
      </c>
      <c r="G30" s="52">
        <v>1300</v>
      </c>
    </row>
    <row r="31" spans="1:7" x14ac:dyDescent="0.2">
      <c r="A31" s="18">
        <v>40821</v>
      </c>
      <c r="B31" s="52">
        <v>4900</v>
      </c>
      <c r="C31" s="52">
        <v>13000</v>
      </c>
      <c r="D31" s="52">
        <v>17000</v>
      </c>
      <c r="E31" s="52">
        <v>17000</v>
      </c>
      <c r="F31" s="52">
        <v>49000</v>
      </c>
      <c r="G31" s="52">
        <v>4900</v>
      </c>
    </row>
    <row r="32" spans="1:7" x14ac:dyDescent="0.2">
      <c r="A32" s="18">
        <v>40897</v>
      </c>
      <c r="B32" s="52">
        <v>4000</v>
      </c>
      <c r="C32" s="52">
        <v>11000</v>
      </c>
      <c r="D32" s="52">
        <v>17000</v>
      </c>
      <c r="E32" s="52">
        <v>11000</v>
      </c>
      <c r="F32" s="52">
        <v>11000</v>
      </c>
      <c r="G32" s="52">
        <v>4900</v>
      </c>
    </row>
    <row r="33" spans="1:7" x14ac:dyDescent="0.2">
      <c r="A33" s="18">
        <v>41008</v>
      </c>
      <c r="B33" s="52">
        <v>7900</v>
      </c>
      <c r="C33" s="52">
        <v>11000</v>
      </c>
      <c r="D33" s="52">
        <v>170000</v>
      </c>
      <c r="E33" s="52">
        <v>79000</v>
      </c>
      <c r="F33" s="52">
        <v>790</v>
      </c>
      <c r="G33" s="52">
        <v>1700</v>
      </c>
    </row>
    <row r="34" spans="1:7" x14ac:dyDescent="0.2">
      <c r="A34" s="18">
        <v>41086</v>
      </c>
      <c r="B34" s="52">
        <v>14000</v>
      </c>
      <c r="C34" s="52">
        <v>17000</v>
      </c>
      <c r="D34" s="52">
        <v>160000</v>
      </c>
      <c r="E34" s="52">
        <v>24000</v>
      </c>
      <c r="F34" s="52">
        <v>54000</v>
      </c>
      <c r="G34" s="52">
        <v>700</v>
      </c>
    </row>
    <row r="35" spans="1:7" x14ac:dyDescent="0.2">
      <c r="A35" s="18">
        <v>41179</v>
      </c>
      <c r="B35" s="52">
        <v>1700</v>
      </c>
      <c r="C35" s="52">
        <v>1400</v>
      </c>
      <c r="D35" s="52">
        <v>1100</v>
      </c>
      <c r="E35" s="52">
        <v>490</v>
      </c>
      <c r="F35" s="52">
        <v>700</v>
      </c>
      <c r="G35" s="52">
        <v>23</v>
      </c>
    </row>
    <row r="36" spans="1:7" x14ac:dyDescent="0.2">
      <c r="A36" s="18">
        <v>41247</v>
      </c>
      <c r="B36" s="52">
        <v>3300</v>
      </c>
      <c r="C36" s="52">
        <v>1700</v>
      </c>
      <c r="D36" s="52">
        <v>790</v>
      </c>
      <c r="E36" s="52">
        <v>1100</v>
      </c>
      <c r="F36" s="52">
        <v>490</v>
      </c>
      <c r="G36" s="52">
        <v>790</v>
      </c>
    </row>
    <row r="37" spans="1:7" x14ac:dyDescent="0.2">
      <c r="A37" s="18">
        <v>41352</v>
      </c>
      <c r="B37" s="52">
        <v>92000</v>
      </c>
      <c r="C37" s="52">
        <v>92000</v>
      </c>
      <c r="D37" s="52">
        <v>160000</v>
      </c>
      <c r="E37" s="52">
        <v>92000</v>
      </c>
      <c r="F37" s="52">
        <v>92000</v>
      </c>
      <c r="G37" s="52">
        <v>3300</v>
      </c>
    </row>
    <row r="38" spans="1:7" x14ac:dyDescent="0.2">
      <c r="A38" s="18">
        <v>41445</v>
      </c>
      <c r="B38" s="52">
        <v>3500</v>
      </c>
      <c r="C38" s="52">
        <v>5400</v>
      </c>
      <c r="D38" s="52">
        <v>2200</v>
      </c>
      <c r="E38" s="52">
        <v>5400</v>
      </c>
      <c r="F38" s="52">
        <v>1700</v>
      </c>
      <c r="G38" s="52">
        <v>790</v>
      </c>
    </row>
    <row r="39" spans="1:7" x14ac:dyDescent="0.2">
      <c r="A39" s="18">
        <v>41528</v>
      </c>
      <c r="B39" s="52">
        <v>1300</v>
      </c>
      <c r="C39" s="52">
        <v>490</v>
      </c>
      <c r="D39" s="52">
        <v>330</v>
      </c>
      <c r="E39" s="52">
        <v>540</v>
      </c>
      <c r="F39" s="52">
        <v>2400</v>
      </c>
      <c r="G39" s="52">
        <v>31</v>
      </c>
    </row>
    <row r="40" spans="1:7" x14ac:dyDescent="0.2">
      <c r="A40" s="18">
        <v>41670</v>
      </c>
      <c r="B40" s="52"/>
      <c r="C40" s="52"/>
      <c r="D40" s="52"/>
      <c r="E40" s="52"/>
      <c r="F40" s="52"/>
      <c r="G40" s="52"/>
    </row>
    <row r="41" spans="1:7" x14ac:dyDescent="0.2">
      <c r="A41" s="18">
        <v>41758</v>
      </c>
      <c r="B41" s="52">
        <v>54000</v>
      </c>
      <c r="C41" s="52">
        <v>7900</v>
      </c>
      <c r="D41" s="52">
        <v>11000</v>
      </c>
      <c r="E41" s="52">
        <v>54000</v>
      </c>
      <c r="F41" s="52">
        <v>35000</v>
      </c>
      <c r="G41" s="52">
        <v>790</v>
      </c>
    </row>
    <row r="42" spans="1:7" x14ac:dyDescent="0.2">
      <c r="A42" s="18">
        <v>41835</v>
      </c>
      <c r="B42" s="52">
        <v>2400</v>
      </c>
      <c r="C42" s="52">
        <v>170</v>
      </c>
      <c r="D42" s="52">
        <v>1700</v>
      </c>
      <c r="E42" s="52">
        <v>700</v>
      </c>
      <c r="F42" s="52">
        <v>490</v>
      </c>
      <c r="G42" s="52">
        <v>240</v>
      </c>
    </row>
    <row r="43" spans="1:7" x14ac:dyDescent="0.2">
      <c r="A43" s="18">
        <v>42031</v>
      </c>
      <c r="B43" s="52">
        <v>16000</v>
      </c>
      <c r="C43" s="52">
        <v>16000</v>
      </c>
      <c r="D43" s="52">
        <v>16000</v>
      </c>
      <c r="E43" s="52">
        <v>35000</v>
      </c>
      <c r="F43" s="52">
        <v>16000</v>
      </c>
      <c r="G43" s="52">
        <v>240</v>
      </c>
    </row>
    <row r="44" spans="1:7" x14ac:dyDescent="0.2">
      <c r="A44" s="18">
        <v>42094</v>
      </c>
      <c r="B44" s="52">
        <v>92000</v>
      </c>
      <c r="C44" s="52">
        <v>35000</v>
      </c>
      <c r="D44" s="52">
        <v>28000</v>
      </c>
      <c r="E44" s="52">
        <v>54000</v>
      </c>
      <c r="F44" s="52">
        <v>160000</v>
      </c>
      <c r="G44" s="52">
        <v>4900</v>
      </c>
    </row>
    <row r="45" spans="1:7" x14ac:dyDescent="0.2">
      <c r="A45" s="18">
        <v>42192</v>
      </c>
      <c r="B45" s="52">
        <v>3300</v>
      </c>
      <c r="C45" s="52">
        <v>1300</v>
      </c>
      <c r="D45" s="52">
        <v>4900</v>
      </c>
      <c r="E45" s="52">
        <v>3300</v>
      </c>
      <c r="F45" s="52">
        <v>7900</v>
      </c>
      <c r="G45" s="52">
        <v>2300</v>
      </c>
    </row>
    <row r="46" spans="1:7" x14ac:dyDescent="0.2">
      <c r="A46" s="18">
        <v>42290</v>
      </c>
      <c r="B46" s="52">
        <v>1300</v>
      </c>
      <c r="C46" s="52">
        <v>46</v>
      </c>
      <c r="D46" s="52">
        <v>1100</v>
      </c>
      <c r="E46" s="52">
        <v>33</v>
      </c>
      <c r="F46" s="52">
        <v>17</v>
      </c>
      <c r="G46" s="52"/>
    </row>
    <row r="47" spans="1:7" x14ac:dyDescent="0.2">
      <c r="A47" s="18">
        <v>42381</v>
      </c>
      <c r="B47" s="52">
        <v>4600</v>
      </c>
      <c r="C47" s="52">
        <v>7900</v>
      </c>
      <c r="D47" s="52">
        <v>13000</v>
      </c>
      <c r="E47" s="52">
        <v>22000</v>
      </c>
      <c r="F47" s="52">
        <v>7900</v>
      </c>
      <c r="G47" s="52"/>
    </row>
    <row r="48" spans="1:7" x14ac:dyDescent="0.2">
      <c r="A48" s="18">
        <v>42479</v>
      </c>
      <c r="B48" s="52">
        <v>11000</v>
      </c>
      <c r="C48" s="52">
        <v>2300</v>
      </c>
      <c r="D48" s="52">
        <v>11000</v>
      </c>
      <c r="E48" s="52">
        <v>4600</v>
      </c>
      <c r="F48" s="52">
        <v>4900</v>
      </c>
      <c r="G48" s="52">
        <v>1100</v>
      </c>
    </row>
    <row r="49" spans="1:7" x14ac:dyDescent="0.2">
      <c r="A49" s="18">
        <v>42570</v>
      </c>
      <c r="B49" s="52">
        <v>1700</v>
      </c>
      <c r="C49" s="52">
        <v>1200</v>
      </c>
      <c r="D49" s="52">
        <v>450</v>
      </c>
      <c r="E49" s="52">
        <v>930</v>
      </c>
      <c r="F49" s="52">
        <v>450</v>
      </c>
      <c r="G49" s="52">
        <v>330</v>
      </c>
    </row>
    <row r="50" spans="1:7" x14ac:dyDescent="0.2">
      <c r="A50" s="18">
        <v>42654</v>
      </c>
      <c r="B50" s="52">
        <v>1700</v>
      </c>
      <c r="C50" s="52">
        <v>2300</v>
      </c>
      <c r="D50" s="52">
        <v>2200</v>
      </c>
      <c r="E50" s="52">
        <v>1300</v>
      </c>
      <c r="F50" s="52">
        <v>7900</v>
      </c>
      <c r="G50" s="52">
        <v>130</v>
      </c>
    </row>
    <row r="51" spans="1:7" x14ac:dyDescent="0.2">
      <c r="A51" s="18">
        <v>42745</v>
      </c>
      <c r="B51" s="52">
        <v>33000</v>
      </c>
      <c r="C51" s="52">
        <v>110000</v>
      </c>
      <c r="D51" s="52">
        <v>110000</v>
      </c>
      <c r="E51" s="52">
        <v>110000</v>
      </c>
      <c r="F51" s="52">
        <v>13000</v>
      </c>
      <c r="G51" s="52">
        <v>330</v>
      </c>
    </row>
    <row r="52" spans="1:7" x14ac:dyDescent="0.2">
      <c r="A52" s="18">
        <v>42843</v>
      </c>
      <c r="B52" s="52">
        <v>3500</v>
      </c>
      <c r="C52" s="52">
        <v>490</v>
      </c>
      <c r="D52" s="52">
        <v>230</v>
      </c>
      <c r="E52" s="52">
        <v>490</v>
      </c>
      <c r="F52" s="52">
        <v>2400</v>
      </c>
      <c r="G52" s="52">
        <v>790</v>
      </c>
    </row>
    <row r="53" spans="1:7" x14ac:dyDescent="0.2">
      <c r="A53" s="18">
        <v>42934</v>
      </c>
      <c r="B53" s="52"/>
      <c r="C53" s="52"/>
      <c r="D53" s="52"/>
      <c r="E53" s="52"/>
      <c r="F53" s="52"/>
      <c r="G53" s="52"/>
    </row>
    <row r="54" spans="1:7" x14ac:dyDescent="0.2">
      <c r="A54" s="18">
        <v>43025</v>
      </c>
      <c r="B54" s="52">
        <v>1100</v>
      </c>
      <c r="C54" s="52">
        <v>200</v>
      </c>
      <c r="D54" s="52">
        <v>1100</v>
      </c>
      <c r="E54" s="52">
        <v>1400</v>
      </c>
      <c r="F54" s="52">
        <v>780</v>
      </c>
      <c r="G54" s="52">
        <v>5400</v>
      </c>
    </row>
    <row r="55" spans="1:7" x14ac:dyDescent="0.2">
      <c r="A55" s="18">
        <v>43109</v>
      </c>
      <c r="B55" s="52">
        <v>4900</v>
      </c>
      <c r="C55" s="52">
        <v>7000</v>
      </c>
      <c r="D55" s="52">
        <v>3300</v>
      </c>
      <c r="E55" s="52">
        <v>13000</v>
      </c>
      <c r="F55" s="52">
        <v>3300</v>
      </c>
      <c r="G55" s="52">
        <v>1300</v>
      </c>
    </row>
    <row r="56" spans="1:7" x14ac:dyDescent="0.2">
      <c r="A56" s="18">
        <v>43193</v>
      </c>
      <c r="B56" s="52">
        <v>3300</v>
      </c>
      <c r="C56" s="52">
        <v>17000</v>
      </c>
      <c r="D56" s="52">
        <v>4900</v>
      </c>
      <c r="E56" s="52">
        <v>1700</v>
      </c>
      <c r="F56" s="52">
        <v>13000</v>
      </c>
      <c r="G56" s="52">
        <v>2200</v>
      </c>
    </row>
    <row r="57" spans="1:7" x14ac:dyDescent="0.2">
      <c r="A57" s="18">
        <v>43298</v>
      </c>
      <c r="B57" s="52">
        <v>490</v>
      </c>
      <c r="C57" s="52">
        <v>490</v>
      </c>
      <c r="D57" s="52">
        <v>490</v>
      </c>
      <c r="E57" s="52">
        <v>2200</v>
      </c>
      <c r="F57" s="52">
        <v>1100</v>
      </c>
      <c r="G57" s="52">
        <v>1300</v>
      </c>
    </row>
    <row r="58" spans="1:7" x14ac:dyDescent="0.2">
      <c r="A58" s="18">
        <v>43403</v>
      </c>
      <c r="B58" s="52">
        <v>1700</v>
      </c>
      <c r="C58" s="52">
        <v>3500</v>
      </c>
      <c r="D58" s="52">
        <v>5400</v>
      </c>
      <c r="E58" s="52">
        <v>9200</v>
      </c>
      <c r="F58" s="52">
        <v>79</v>
      </c>
      <c r="G58" s="52">
        <v>3500</v>
      </c>
    </row>
    <row r="59" spans="1:7" x14ac:dyDescent="0.2">
      <c r="A59" s="18">
        <v>43487</v>
      </c>
      <c r="B59" s="52">
        <v>450</v>
      </c>
      <c r="C59" s="52">
        <v>780</v>
      </c>
      <c r="D59" s="52">
        <v>2000</v>
      </c>
      <c r="E59" s="52"/>
      <c r="F59" s="52">
        <v>5400</v>
      </c>
      <c r="G59" s="52">
        <v>2000</v>
      </c>
    </row>
    <row r="60" spans="1:7" x14ac:dyDescent="0.2">
      <c r="A60" s="18">
        <v>43578</v>
      </c>
      <c r="B60" s="52">
        <v>22000</v>
      </c>
      <c r="C60" s="52">
        <v>11000</v>
      </c>
      <c r="D60" s="52">
        <v>33000</v>
      </c>
      <c r="E60" s="52">
        <v>49000</v>
      </c>
      <c r="F60" s="52">
        <v>3500</v>
      </c>
      <c r="G60" s="52">
        <v>17000</v>
      </c>
    </row>
    <row r="61" spans="1:7" x14ac:dyDescent="0.2">
      <c r="A61" s="18">
        <v>43704</v>
      </c>
      <c r="B61" s="52">
        <v>1100</v>
      </c>
      <c r="C61" s="52">
        <v>490</v>
      </c>
      <c r="D61" s="52">
        <v>1700</v>
      </c>
      <c r="E61" s="52">
        <v>16000</v>
      </c>
      <c r="F61" s="52">
        <v>5400</v>
      </c>
      <c r="G61" s="52">
        <v>23</v>
      </c>
    </row>
    <row r="62" spans="1:7" x14ac:dyDescent="0.2">
      <c r="A62" s="18">
        <v>43760</v>
      </c>
      <c r="B62" s="52">
        <v>27000</v>
      </c>
      <c r="C62" s="52">
        <v>9100</v>
      </c>
      <c r="D62" s="52">
        <v>4500</v>
      </c>
      <c r="E62" s="52">
        <v>33000</v>
      </c>
      <c r="F62" s="52">
        <v>4900</v>
      </c>
      <c r="G62" s="52">
        <v>2700</v>
      </c>
    </row>
    <row r="63" spans="1:7" x14ac:dyDescent="0.2">
      <c r="A63" s="18">
        <v>44021</v>
      </c>
      <c r="B63" s="52">
        <v>4500</v>
      </c>
      <c r="C63" s="52">
        <v>2300</v>
      </c>
      <c r="D63" s="52">
        <v>14000</v>
      </c>
      <c r="E63" s="52">
        <v>22000</v>
      </c>
      <c r="F63" s="52">
        <v>13000</v>
      </c>
      <c r="G63" s="52">
        <v>1400</v>
      </c>
    </row>
    <row r="66" spans="1:7" x14ac:dyDescent="0.2">
      <c r="A66" s="34"/>
      <c r="B66" s="53" t="s">
        <v>71</v>
      </c>
    </row>
    <row r="67" spans="1:7" x14ac:dyDescent="0.2">
      <c r="A67" s="34"/>
      <c r="B67" s="54" t="s">
        <v>67</v>
      </c>
    </row>
    <row r="68" spans="1:7" x14ac:dyDescent="0.2">
      <c r="A68" s="12" t="s">
        <v>7</v>
      </c>
      <c r="B68" s="27" t="s">
        <v>9</v>
      </c>
      <c r="C68" s="74" t="s">
        <v>10</v>
      </c>
      <c r="D68" s="75" t="s">
        <v>11</v>
      </c>
      <c r="E68" s="76" t="s">
        <v>12</v>
      </c>
      <c r="F68" s="77" t="s">
        <v>13</v>
      </c>
      <c r="G68" s="78" t="s">
        <v>14</v>
      </c>
    </row>
    <row r="69" spans="1:7" x14ac:dyDescent="0.2">
      <c r="A69" s="18">
        <v>37046</v>
      </c>
      <c r="B69" s="52">
        <v>3000</v>
      </c>
      <c r="C69" s="52">
        <v>2200</v>
      </c>
      <c r="D69" s="52">
        <v>7000</v>
      </c>
      <c r="E69" s="52">
        <v>11000</v>
      </c>
      <c r="F69" s="52"/>
      <c r="G69" s="52"/>
    </row>
    <row r="70" spans="1:7" x14ac:dyDescent="0.2">
      <c r="A70" s="18">
        <v>37076</v>
      </c>
      <c r="B70" s="52">
        <v>13000</v>
      </c>
      <c r="C70" s="52">
        <v>3000</v>
      </c>
      <c r="D70" s="52">
        <v>2200</v>
      </c>
      <c r="E70" s="52">
        <v>17000</v>
      </c>
      <c r="F70" s="52"/>
      <c r="G70" s="52"/>
    </row>
    <row r="71" spans="1:7" x14ac:dyDescent="0.2">
      <c r="A71" s="18">
        <v>37335</v>
      </c>
      <c r="B71" s="52">
        <v>800</v>
      </c>
      <c r="C71" s="52">
        <v>1700</v>
      </c>
      <c r="D71" s="52">
        <v>2200</v>
      </c>
      <c r="E71" s="52">
        <v>8000</v>
      </c>
      <c r="F71" s="52"/>
      <c r="G71" s="52"/>
    </row>
    <row r="72" spans="1:7" x14ac:dyDescent="0.2">
      <c r="A72" s="18">
        <v>37566</v>
      </c>
      <c r="B72" s="52">
        <v>1700</v>
      </c>
      <c r="C72" s="52">
        <v>5000</v>
      </c>
      <c r="D72" s="52">
        <v>8000</v>
      </c>
      <c r="E72" s="52">
        <v>3000</v>
      </c>
      <c r="F72" s="52"/>
      <c r="G72" s="52"/>
    </row>
    <row r="73" spans="1:7" x14ac:dyDescent="0.2">
      <c r="A73" s="18">
        <v>37594</v>
      </c>
      <c r="B73" s="52">
        <v>3000</v>
      </c>
      <c r="C73" s="52">
        <v>800</v>
      </c>
      <c r="D73" s="52">
        <v>1700</v>
      </c>
      <c r="E73" s="52">
        <v>5000</v>
      </c>
      <c r="F73" s="52"/>
      <c r="G73" s="52"/>
    </row>
    <row r="74" spans="1:7" x14ac:dyDescent="0.2">
      <c r="A74" s="18">
        <v>37711</v>
      </c>
      <c r="B74" s="52">
        <v>5000</v>
      </c>
      <c r="C74" s="52">
        <v>2400</v>
      </c>
      <c r="D74" s="52"/>
      <c r="E74" s="52"/>
      <c r="F74" s="52"/>
      <c r="G74" s="52"/>
    </row>
    <row r="75" spans="1:7" x14ac:dyDescent="0.2">
      <c r="A75" s="18">
        <v>37739</v>
      </c>
      <c r="B75" s="52">
        <v>30000</v>
      </c>
      <c r="C75" s="52">
        <v>30000</v>
      </c>
      <c r="D75" s="52">
        <v>30000</v>
      </c>
      <c r="E75" s="52">
        <v>8000</v>
      </c>
      <c r="F75" s="52"/>
      <c r="G75" s="52"/>
    </row>
    <row r="76" spans="1:7" x14ac:dyDescent="0.2">
      <c r="A76" s="18">
        <v>37825</v>
      </c>
      <c r="B76" s="52">
        <v>1300</v>
      </c>
      <c r="C76" s="52">
        <v>1100</v>
      </c>
      <c r="D76" s="52">
        <v>1100</v>
      </c>
      <c r="E76" s="52">
        <v>300</v>
      </c>
      <c r="F76" s="52"/>
      <c r="G76" s="52"/>
    </row>
    <row r="77" spans="1:7" x14ac:dyDescent="0.2">
      <c r="A77" s="18">
        <v>37888</v>
      </c>
      <c r="B77" s="52">
        <v>1300</v>
      </c>
      <c r="C77" s="52">
        <v>800</v>
      </c>
      <c r="D77" s="52">
        <v>800</v>
      </c>
      <c r="E77" s="52">
        <v>230</v>
      </c>
      <c r="F77" s="52"/>
      <c r="G77" s="52"/>
    </row>
    <row r="78" spans="1:7" x14ac:dyDescent="0.2">
      <c r="A78" s="18">
        <v>37963</v>
      </c>
      <c r="B78" s="52">
        <v>1100</v>
      </c>
      <c r="C78" s="52">
        <v>1700</v>
      </c>
      <c r="D78" s="52">
        <v>1300</v>
      </c>
      <c r="E78" s="52">
        <v>2800</v>
      </c>
      <c r="F78" s="52"/>
      <c r="G78" s="52"/>
    </row>
    <row r="79" spans="1:7" x14ac:dyDescent="0.2">
      <c r="A79" s="18">
        <v>38012</v>
      </c>
      <c r="B79" s="52">
        <v>5000</v>
      </c>
      <c r="C79" s="52">
        <v>1700</v>
      </c>
      <c r="D79" s="52">
        <v>3000</v>
      </c>
      <c r="E79" s="52">
        <v>1100</v>
      </c>
      <c r="F79" s="52"/>
      <c r="G79" s="52"/>
    </row>
    <row r="80" spans="1:7" x14ac:dyDescent="0.2">
      <c r="A80" s="18">
        <v>38033</v>
      </c>
      <c r="B80" s="52">
        <v>500</v>
      </c>
      <c r="C80" s="52">
        <v>1030</v>
      </c>
      <c r="D80" s="52">
        <v>1300</v>
      </c>
      <c r="E80" s="52">
        <v>1300</v>
      </c>
      <c r="F80" s="52"/>
      <c r="G80" s="52"/>
    </row>
    <row r="81" spans="1:7" x14ac:dyDescent="0.2">
      <c r="A81" s="18">
        <v>38271</v>
      </c>
      <c r="B81" s="52">
        <v>1700</v>
      </c>
      <c r="C81" s="52">
        <v>500</v>
      </c>
      <c r="D81" s="52">
        <v>10000</v>
      </c>
      <c r="E81" s="52">
        <v>2400</v>
      </c>
      <c r="F81" s="52"/>
      <c r="G81" s="52"/>
    </row>
    <row r="82" spans="1:7" x14ac:dyDescent="0.2">
      <c r="A82" s="18">
        <v>38474</v>
      </c>
      <c r="B82" s="52">
        <v>500</v>
      </c>
      <c r="C82" s="52">
        <v>800</v>
      </c>
      <c r="D82" s="52">
        <v>1300</v>
      </c>
      <c r="E82" s="52">
        <v>800</v>
      </c>
      <c r="F82" s="52"/>
      <c r="G82" s="52"/>
    </row>
    <row r="83" spans="1:7" x14ac:dyDescent="0.2">
      <c r="A83" s="18">
        <v>38896</v>
      </c>
      <c r="B83" s="52">
        <v>2400</v>
      </c>
      <c r="C83" s="52">
        <v>130000</v>
      </c>
      <c r="D83" s="52">
        <v>1700</v>
      </c>
      <c r="E83" s="52">
        <v>2200</v>
      </c>
      <c r="F83" s="52"/>
      <c r="G83" s="52"/>
    </row>
    <row r="84" spans="1:7" x14ac:dyDescent="0.2">
      <c r="A84" s="18">
        <v>40625</v>
      </c>
      <c r="B84" s="52">
        <v>2800</v>
      </c>
      <c r="C84" s="52">
        <v>1300</v>
      </c>
      <c r="D84" s="52">
        <v>4900</v>
      </c>
      <c r="E84" s="52">
        <v>3300</v>
      </c>
      <c r="F84" s="52">
        <v>1700</v>
      </c>
      <c r="G84" s="52">
        <v>16000</v>
      </c>
    </row>
    <row r="85" spans="1:7" x14ac:dyDescent="0.2">
      <c r="A85" s="18">
        <v>40716</v>
      </c>
      <c r="B85" s="52">
        <v>790</v>
      </c>
      <c r="C85" s="52">
        <v>1300</v>
      </c>
      <c r="D85" s="52">
        <v>490</v>
      </c>
      <c r="E85" s="52">
        <v>7900</v>
      </c>
      <c r="F85" s="52">
        <v>700</v>
      </c>
      <c r="G85" s="52">
        <v>790</v>
      </c>
    </row>
    <row r="86" spans="1:7" x14ac:dyDescent="0.2">
      <c r="A86" s="18">
        <v>40821</v>
      </c>
      <c r="B86" s="52">
        <v>4900</v>
      </c>
      <c r="C86" s="52">
        <v>13000</v>
      </c>
      <c r="D86" s="52">
        <v>13000</v>
      </c>
      <c r="E86" s="52">
        <v>4900</v>
      </c>
      <c r="F86" s="52">
        <v>7900</v>
      </c>
      <c r="G86" s="52">
        <v>1300</v>
      </c>
    </row>
    <row r="87" spans="1:7" x14ac:dyDescent="0.2">
      <c r="A87" s="18">
        <v>40897</v>
      </c>
      <c r="B87" s="52">
        <v>3500</v>
      </c>
      <c r="C87" s="52">
        <v>3300</v>
      </c>
      <c r="D87" s="52">
        <v>7000</v>
      </c>
      <c r="E87" s="52">
        <v>3300</v>
      </c>
      <c r="F87" s="52">
        <v>3300</v>
      </c>
      <c r="G87" s="52">
        <v>1700</v>
      </c>
    </row>
    <row r="88" spans="1:7" x14ac:dyDescent="0.2">
      <c r="A88" s="18">
        <v>41008</v>
      </c>
      <c r="B88" s="52">
        <v>3300</v>
      </c>
      <c r="C88" s="52">
        <v>2200</v>
      </c>
      <c r="D88" s="52">
        <v>11000</v>
      </c>
      <c r="E88" s="52">
        <v>17000</v>
      </c>
      <c r="F88" s="52">
        <v>330</v>
      </c>
      <c r="G88" s="52">
        <v>230</v>
      </c>
    </row>
    <row r="89" spans="1:7" x14ac:dyDescent="0.2">
      <c r="A89" s="18">
        <v>41086</v>
      </c>
      <c r="B89" s="52">
        <v>14000</v>
      </c>
      <c r="C89" s="52">
        <v>13000</v>
      </c>
      <c r="D89" s="52">
        <v>92000</v>
      </c>
      <c r="E89" s="52">
        <v>13000</v>
      </c>
      <c r="F89" s="52">
        <v>24000</v>
      </c>
      <c r="G89" s="52">
        <v>490</v>
      </c>
    </row>
    <row r="90" spans="1:7" x14ac:dyDescent="0.2">
      <c r="A90" s="18">
        <v>41179</v>
      </c>
      <c r="B90" s="52">
        <v>790</v>
      </c>
      <c r="C90" s="52">
        <v>700</v>
      </c>
      <c r="D90" s="52">
        <v>20</v>
      </c>
      <c r="E90" s="52">
        <v>45</v>
      </c>
      <c r="F90" s="52">
        <v>330</v>
      </c>
      <c r="G90" s="52">
        <v>1.8</v>
      </c>
    </row>
    <row r="91" spans="1:7" x14ac:dyDescent="0.2">
      <c r="A91" s="18">
        <v>41247</v>
      </c>
      <c r="B91" s="52">
        <v>790</v>
      </c>
      <c r="C91" s="52">
        <v>1300</v>
      </c>
      <c r="D91" s="52">
        <v>490</v>
      </c>
      <c r="E91" s="52">
        <v>790</v>
      </c>
      <c r="F91" s="52">
        <v>330</v>
      </c>
      <c r="G91" s="52">
        <v>170</v>
      </c>
    </row>
    <row r="92" spans="1:7" x14ac:dyDescent="0.2">
      <c r="A92" s="18">
        <v>41352</v>
      </c>
      <c r="B92" s="52">
        <v>35000</v>
      </c>
      <c r="C92" s="52">
        <v>13000</v>
      </c>
      <c r="D92" s="52">
        <v>35000</v>
      </c>
      <c r="E92" s="52">
        <v>35000</v>
      </c>
      <c r="F92" s="52">
        <v>13000</v>
      </c>
      <c r="G92" s="52">
        <v>3300</v>
      </c>
    </row>
    <row r="93" spans="1:7" x14ac:dyDescent="0.2">
      <c r="A93" s="18">
        <v>41445</v>
      </c>
      <c r="B93" s="52">
        <v>790</v>
      </c>
      <c r="C93" s="52">
        <v>700</v>
      </c>
      <c r="D93" s="52">
        <v>1100</v>
      </c>
      <c r="E93" s="52">
        <v>490</v>
      </c>
      <c r="F93" s="52">
        <v>790</v>
      </c>
      <c r="G93" s="52">
        <v>110</v>
      </c>
    </row>
    <row r="94" spans="1:7" x14ac:dyDescent="0.2">
      <c r="A94" s="18">
        <v>41528</v>
      </c>
      <c r="B94" s="52">
        <v>1300</v>
      </c>
      <c r="C94" s="52">
        <v>330</v>
      </c>
      <c r="D94" s="52">
        <v>330</v>
      </c>
      <c r="E94" s="52">
        <v>540</v>
      </c>
      <c r="F94" s="52">
        <v>790</v>
      </c>
      <c r="G94" s="52">
        <v>13</v>
      </c>
    </row>
    <row r="95" spans="1:7" x14ac:dyDescent="0.2">
      <c r="A95" s="18">
        <v>41670</v>
      </c>
      <c r="B95" s="52"/>
      <c r="C95" s="52"/>
      <c r="D95" s="52"/>
      <c r="E95" s="52"/>
      <c r="F95" s="52"/>
      <c r="G95" s="52"/>
    </row>
    <row r="96" spans="1:7" x14ac:dyDescent="0.2">
      <c r="A96" s="18">
        <v>41758</v>
      </c>
      <c r="B96" s="52">
        <v>2200</v>
      </c>
      <c r="C96" s="52">
        <v>3300</v>
      </c>
      <c r="D96" s="52">
        <v>2300</v>
      </c>
      <c r="E96" s="52">
        <v>9400</v>
      </c>
      <c r="F96" s="52">
        <v>4900</v>
      </c>
      <c r="G96" s="52">
        <v>78</v>
      </c>
    </row>
    <row r="97" spans="1:7" x14ac:dyDescent="0.2">
      <c r="A97" s="18">
        <v>41835</v>
      </c>
      <c r="B97" s="52">
        <v>2400</v>
      </c>
      <c r="C97" s="52">
        <v>170</v>
      </c>
      <c r="D97" s="52">
        <v>490</v>
      </c>
      <c r="E97" s="52">
        <v>330</v>
      </c>
      <c r="F97" s="52">
        <v>330</v>
      </c>
      <c r="G97" s="52">
        <v>240</v>
      </c>
    </row>
    <row r="98" spans="1:7" x14ac:dyDescent="0.2">
      <c r="A98" s="18">
        <v>42031</v>
      </c>
      <c r="B98" s="52">
        <v>5400</v>
      </c>
      <c r="C98" s="52">
        <v>3500</v>
      </c>
      <c r="D98" s="52">
        <v>3500</v>
      </c>
      <c r="E98" s="52">
        <v>13000</v>
      </c>
      <c r="F98" s="52">
        <v>16000</v>
      </c>
      <c r="G98" s="52">
        <v>240</v>
      </c>
    </row>
    <row r="99" spans="1:7" x14ac:dyDescent="0.2">
      <c r="A99" s="18">
        <v>42094</v>
      </c>
      <c r="B99" s="52">
        <v>13000</v>
      </c>
      <c r="C99" s="52">
        <v>17000</v>
      </c>
      <c r="D99" s="52">
        <v>22000</v>
      </c>
      <c r="E99" s="52">
        <v>13000</v>
      </c>
      <c r="F99" s="52">
        <v>92000</v>
      </c>
      <c r="G99" s="52">
        <v>2300</v>
      </c>
    </row>
    <row r="100" spans="1:7" x14ac:dyDescent="0.2">
      <c r="A100" s="18">
        <v>42192</v>
      </c>
      <c r="B100" s="52">
        <v>1300</v>
      </c>
      <c r="C100" s="52">
        <v>1300</v>
      </c>
      <c r="D100" s="52">
        <v>4900</v>
      </c>
      <c r="E100" s="52">
        <v>1300</v>
      </c>
      <c r="F100" s="52">
        <v>4900</v>
      </c>
      <c r="G100" s="52">
        <v>3.3</v>
      </c>
    </row>
    <row r="101" spans="1:7" x14ac:dyDescent="0.2">
      <c r="A101" s="18">
        <v>42290</v>
      </c>
      <c r="B101" s="52">
        <v>330</v>
      </c>
      <c r="C101" s="52">
        <v>33</v>
      </c>
      <c r="D101" s="52">
        <v>330</v>
      </c>
      <c r="E101" s="52">
        <v>17</v>
      </c>
      <c r="F101" s="52">
        <v>17</v>
      </c>
      <c r="G101" s="52"/>
    </row>
    <row r="102" spans="1:7" x14ac:dyDescent="0.2">
      <c r="A102" s="18">
        <v>42381</v>
      </c>
      <c r="B102" s="52">
        <v>3300</v>
      </c>
      <c r="C102" s="52">
        <v>4900</v>
      </c>
      <c r="D102" s="52">
        <v>2800</v>
      </c>
      <c r="E102" s="52">
        <v>7900</v>
      </c>
      <c r="F102" s="52">
        <v>4900</v>
      </c>
      <c r="G102" s="52"/>
    </row>
    <row r="103" spans="1:7" x14ac:dyDescent="0.2">
      <c r="A103" s="18">
        <v>42479</v>
      </c>
      <c r="B103" s="52">
        <v>1100</v>
      </c>
      <c r="C103" s="52">
        <v>1300</v>
      </c>
      <c r="D103" s="52">
        <v>7000</v>
      </c>
      <c r="E103" s="52">
        <v>1300</v>
      </c>
      <c r="F103" s="52">
        <v>1300</v>
      </c>
      <c r="G103" s="52">
        <v>790</v>
      </c>
    </row>
    <row r="104" spans="1:7" x14ac:dyDescent="0.2">
      <c r="A104" s="18">
        <v>42570</v>
      </c>
      <c r="B104" s="52">
        <v>680</v>
      </c>
      <c r="C104" s="52">
        <v>610</v>
      </c>
      <c r="D104" s="52">
        <v>450</v>
      </c>
      <c r="E104" s="52">
        <v>680</v>
      </c>
      <c r="F104" s="52">
        <v>450</v>
      </c>
      <c r="G104" s="52">
        <v>330</v>
      </c>
    </row>
    <row r="105" spans="1:7" x14ac:dyDescent="0.2">
      <c r="A105" s="18">
        <v>42654</v>
      </c>
      <c r="B105" s="52">
        <v>1100</v>
      </c>
      <c r="C105" s="52">
        <v>2300</v>
      </c>
      <c r="D105" s="52">
        <v>400</v>
      </c>
      <c r="E105" s="52">
        <v>1300</v>
      </c>
      <c r="F105" s="52">
        <v>1700</v>
      </c>
      <c r="G105" s="52">
        <v>79</v>
      </c>
    </row>
    <row r="106" spans="1:7" x14ac:dyDescent="0.2">
      <c r="A106" s="18">
        <v>42745</v>
      </c>
      <c r="B106" s="52">
        <v>13000</v>
      </c>
      <c r="C106" s="52">
        <v>110000</v>
      </c>
      <c r="D106" s="52">
        <v>70000</v>
      </c>
      <c r="E106" s="52">
        <v>33000</v>
      </c>
      <c r="F106" s="52">
        <v>13000</v>
      </c>
      <c r="G106" s="52">
        <v>330</v>
      </c>
    </row>
    <row r="107" spans="1:7" x14ac:dyDescent="0.2">
      <c r="A107" s="18">
        <v>42843</v>
      </c>
      <c r="B107" s="52">
        <v>790</v>
      </c>
      <c r="C107" s="52">
        <v>490</v>
      </c>
      <c r="D107" s="52">
        <v>230</v>
      </c>
      <c r="E107" s="52">
        <v>490</v>
      </c>
      <c r="F107" s="52">
        <v>1300</v>
      </c>
      <c r="G107" s="52">
        <v>490</v>
      </c>
    </row>
    <row r="108" spans="1:7" x14ac:dyDescent="0.2">
      <c r="A108" s="18">
        <v>42934</v>
      </c>
      <c r="B108" s="52"/>
      <c r="C108" s="52"/>
      <c r="D108" s="52"/>
      <c r="E108" s="52"/>
      <c r="F108" s="52"/>
      <c r="G108" s="52"/>
    </row>
    <row r="109" spans="1:7" x14ac:dyDescent="0.2">
      <c r="A109" s="18">
        <v>43025</v>
      </c>
      <c r="B109" s="52">
        <v>450</v>
      </c>
      <c r="C109" s="52">
        <v>200</v>
      </c>
      <c r="D109" s="52">
        <v>780</v>
      </c>
      <c r="E109" s="52">
        <v>1400</v>
      </c>
      <c r="F109" s="52">
        <v>780</v>
      </c>
      <c r="G109" s="52">
        <v>490</v>
      </c>
    </row>
    <row r="110" spans="1:7" x14ac:dyDescent="0.2">
      <c r="A110" s="18">
        <v>43109</v>
      </c>
      <c r="B110" s="52">
        <v>2200</v>
      </c>
      <c r="C110" s="52">
        <v>4900</v>
      </c>
      <c r="D110" s="52">
        <v>680</v>
      </c>
      <c r="E110" s="52">
        <v>3300</v>
      </c>
      <c r="F110" s="52">
        <v>790</v>
      </c>
      <c r="G110" s="52">
        <v>1300</v>
      </c>
    </row>
    <row r="111" spans="1:7" x14ac:dyDescent="0.2">
      <c r="A111" s="18">
        <v>43193</v>
      </c>
      <c r="B111" s="52">
        <v>3300</v>
      </c>
      <c r="C111" s="52">
        <v>17000</v>
      </c>
      <c r="D111" s="52">
        <v>4900</v>
      </c>
      <c r="E111" s="52">
        <v>1300</v>
      </c>
      <c r="F111" s="52">
        <v>13000</v>
      </c>
      <c r="G111" s="52">
        <v>2200</v>
      </c>
    </row>
    <row r="112" spans="1:7" x14ac:dyDescent="0.2">
      <c r="A112" s="18">
        <v>43298</v>
      </c>
      <c r="B112" s="52">
        <v>330</v>
      </c>
      <c r="C112" s="52">
        <v>220</v>
      </c>
      <c r="D112" s="52">
        <v>490</v>
      </c>
      <c r="E112" s="52">
        <v>2200</v>
      </c>
      <c r="F112" s="52">
        <v>1100</v>
      </c>
      <c r="G112" s="52">
        <v>330</v>
      </c>
    </row>
    <row r="113" spans="1:7" x14ac:dyDescent="0.2">
      <c r="A113" s="18">
        <v>43403</v>
      </c>
      <c r="B113" s="52">
        <v>1700</v>
      </c>
      <c r="C113" s="52">
        <v>3500</v>
      </c>
      <c r="D113" s="52">
        <v>5400</v>
      </c>
      <c r="E113" s="52">
        <v>5400</v>
      </c>
      <c r="F113" s="52">
        <v>79</v>
      </c>
      <c r="G113" s="52">
        <v>1700</v>
      </c>
    </row>
    <row r="114" spans="1:7" x14ac:dyDescent="0.2">
      <c r="A114" s="18">
        <v>43487</v>
      </c>
      <c r="B114" s="52">
        <v>450</v>
      </c>
      <c r="C114" s="52">
        <v>450</v>
      </c>
      <c r="D114" s="52">
        <v>2000</v>
      </c>
      <c r="E114" s="52"/>
      <c r="F114" s="52">
        <v>3500</v>
      </c>
      <c r="G114" s="52">
        <v>2000</v>
      </c>
    </row>
    <row r="115" spans="1:7" x14ac:dyDescent="0.2">
      <c r="A115" s="18">
        <v>43578</v>
      </c>
      <c r="B115" s="52">
        <v>13000</v>
      </c>
      <c r="C115" s="52">
        <v>11000</v>
      </c>
      <c r="D115" s="52">
        <v>33000</v>
      </c>
      <c r="E115" s="52">
        <v>49000</v>
      </c>
      <c r="F115" s="52">
        <v>490</v>
      </c>
      <c r="G115" s="52">
        <v>7800</v>
      </c>
    </row>
    <row r="116" spans="1:7" x14ac:dyDescent="0.2">
      <c r="A116" s="18">
        <v>43704</v>
      </c>
      <c r="B116" s="52">
        <v>700</v>
      </c>
      <c r="C116" s="52">
        <v>230</v>
      </c>
      <c r="D116" s="52">
        <v>490</v>
      </c>
      <c r="E116" s="52">
        <v>16000</v>
      </c>
      <c r="F116" s="52">
        <v>3500</v>
      </c>
      <c r="G116" s="52">
        <v>23</v>
      </c>
    </row>
    <row r="117" spans="1:7" x14ac:dyDescent="0.2">
      <c r="A117" s="18">
        <v>43760</v>
      </c>
      <c r="B117" s="52">
        <v>17000</v>
      </c>
      <c r="C117" s="52">
        <v>2000</v>
      </c>
      <c r="D117" s="52">
        <v>2000</v>
      </c>
      <c r="E117" s="52">
        <v>23000</v>
      </c>
      <c r="F117" s="52">
        <v>4900</v>
      </c>
      <c r="G117" s="52">
        <v>1100</v>
      </c>
    </row>
    <row r="118" spans="1:7" x14ac:dyDescent="0.2">
      <c r="A118" s="18">
        <v>44021</v>
      </c>
      <c r="B118" s="52">
        <v>0</v>
      </c>
      <c r="C118" s="52">
        <v>2300</v>
      </c>
      <c r="D118" s="52">
        <v>11000</v>
      </c>
      <c r="E118" s="52">
        <v>2000</v>
      </c>
      <c r="F118" s="52">
        <v>1700</v>
      </c>
      <c r="G118" s="52">
        <v>330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1:AX283"/>
  <sheetViews>
    <sheetView topLeftCell="A10" workbookViewId="0">
      <pane xSplit="4" ySplit="3" topLeftCell="E13" activePane="bottomRight" state="frozen"/>
      <selection activeCell="A10" sqref="A10"/>
      <selection pane="topRight" activeCell="E10" sqref="E10"/>
      <selection pane="bottomLeft" activeCell="A13" sqref="A13"/>
      <selection pane="bottomRight" activeCell="E13" sqref="E13"/>
    </sheetView>
  </sheetViews>
  <sheetFormatPr defaultColWidth="11.42578125" defaultRowHeight="12.75" x14ac:dyDescent="0.2"/>
  <sheetData>
    <row r="11" spans="2:50" ht="13.15" customHeight="1" x14ac:dyDescent="0.25">
      <c r="B11" s="69" t="s">
        <v>101</v>
      </c>
      <c r="C11" s="11" t="s">
        <v>6</v>
      </c>
      <c r="D11" s="11" t="s">
        <v>6</v>
      </c>
      <c r="E11" s="28" t="s">
        <v>15</v>
      </c>
      <c r="F11" s="28" t="s">
        <v>18</v>
      </c>
      <c r="G11" s="28" t="s">
        <v>19</v>
      </c>
      <c r="H11" s="28" t="s">
        <v>20</v>
      </c>
      <c r="I11" s="35" t="s">
        <v>21</v>
      </c>
      <c r="J11" s="36" t="s">
        <v>23</v>
      </c>
      <c r="K11" s="28" t="s">
        <v>28</v>
      </c>
      <c r="L11" s="36" t="s">
        <v>30</v>
      </c>
      <c r="M11" s="36" t="s">
        <v>32</v>
      </c>
      <c r="N11" s="28" t="s">
        <v>34</v>
      </c>
      <c r="O11" s="28" t="s">
        <v>35</v>
      </c>
      <c r="P11" s="42" t="s">
        <v>36</v>
      </c>
      <c r="Q11" s="28" t="s">
        <v>37</v>
      </c>
      <c r="R11" s="28" t="s">
        <v>38</v>
      </c>
      <c r="S11" s="36" t="s">
        <v>39</v>
      </c>
      <c r="T11" s="36" t="s">
        <v>42</v>
      </c>
      <c r="U11" s="36" t="s">
        <v>45</v>
      </c>
      <c r="V11" s="28" t="s">
        <v>48</v>
      </c>
      <c r="W11" s="28" t="s">
        <v>49</v>
      </c>
      <c r="X11" s="28" t="s">
        <v>50</v>
      </c>
      <c r="Y11" s="28" t="s">
        <v>51</v>
      </c>
      <c r="Z11" s="36" t="s">
        <v>52</v>
      </c>
      <c r="AA11" s="28" t="s">
        <v>53</v>
      </c>
      <c r="AB11" s="36" t="s">
        <v>55</v>
      </c>
      <c r="AC11" s="36" t="s">
        <v>58</v>
      </c>
      <c r="AD11" s="28" t="s">
        <v>59</v>
      </c>
      <c r="AE11" s="36" t="s">
        <v>60</v>
      </c>
      <c r="AF11" s="28" t="s">
        <v>61</v>
      </c>
      <c r="AG11" s="28" t="s">
        <v>62</v>
      </c>
      <c r="AH11" s="28" t="s">
        <v>64</v>
      </c>
      <c r="AI11" s="53" t="s">
        <v>66</v>
      </c>
      <c r="AJ11" s="53" t="s">
        <v>71</v>
      </c>
      <c r="AK11" s="36" t="s">
        <v>74</v>
      </c>
      <c r="AL11" s="28" t="s">
        <v>77</v>
      </c>
      <c r="AM11" s="36" t="s">
        <v>79</v>
      </c>
      <c r="AN11" s="36" t="s">
        <v>85</v>
      </c>
      <c r="AO11" s="36" t="s">
        <v>87</v>
      </c>
      <c r="AP11" s="59" t="s">
        <v>90</v>
      </c>
      <c r="AQ11" s="59" t="s">
        <v>91</v>
      </c>
      <c r="AR11" s="28" t="s">
        <v>92</v>
      </c>
      <c r="AS11" s="36" t="s">
        <v>93</v>
      </c>
      <c r="AT11" s="36" t="s">
        <v>95</v>
      </c>
      <c r="AU11" s="28" t="s">
        <v>97</v>
      </c>
      <c r="AV11" s="28" t="s">
        <v>98</v>
      </c>
      <c r="AW11" s="59" t="s">
        <v>99</v>
      </c>
      <c r="AX11" s="73" t="s">
        <v>100</v>
      </c>
    </row>
    <row r="12" spans="2:50" x14ac:dyDescent="0.2">
      <c r="B12" s="79" t="s">
        <v>101</v>
      </c>
      <c r="C12" s="11" t="s">
        <v>7</v>
      </c>
      <c r="D12" s="81" t="s">
        <v>8</v>
      </c>
      <c r="E12" s="28" t="s">
        <v>16</v>
      </c>
      <c r="F12" s="28" t="s">
        <v>16</v>
      </c>
      <c r="G12" s="28" t="s">
        <v>16</v>
      </c>
      <c r="H12" s="28" t="s">
        <v>16</v>
      </c>
      <c r="I12" s="28" t="s">
        <v>22</v>
      </c>
      <c r="J12" s="28" t="s">
        <v>22</v>
      </c>
      <c r="K12" s="28" t="s">
        <v>29</v>
      </c>
      <c r="L12" s="28" t="s">
        <v>22</v>
      </c>
      <c r="M12" s="28" t="s">
        <v>22</v>
      </c>
      <c r="N12" s="28" t="s">
        <v>16</v>
      </c>
      <c r="O12" s="28" t="s">
        <v>16</v>
      </c>
      <c r="P12" s="28" t="s">
        <v>16</v>
      </c>
      <c r="Q12" s="28" t="s">
        <v>16</v>
      </c>
      <c r="R12" s="28" t="s">
        <v>16</v>
      </c>
      <c r="S12" s="28" t="s">
        <v>22</v>
      </c>
      <c r="T12" s="28" t="s">
        <v>43</v>
      </c>
      <c r="U12" s="28" t="s">
        <v>43</v>
      </c>
      <c r="V12" s="28" t="s">
        <v>43</v>
      </c>
      <c r="W12" s="28" t="s">
        <v>22</v>
      </c>
      <c r="X12" s="28" t="s">
        <v>22</v>
      </c>
      <c r="Y12" s="28" t="s">
        <v>22</v>
      </c>
      <c r="Z12" s="28"/>
      <c r="AA12" s="28" t="s">
        <v>54</v>
      </c>
      <c r="AB12" s="28" t="s">
        <v>22</v>
      </c>
      <c r="AC12" s="28" t="s">
        <v>22</v>
      </c>
      <c r="AD12" s="28" t="s">
        <v>22</v>
      </c>
      <c r="AE12" s="28" t="s">
        <v>22</v>
      </c>
      <c r="AF12" s="28" t="s">
        <v>22</v>
      </c>
      <c r="AG12" s="28" t="s">
        <v>63</v>
      </c>
      <c r="AH12" s="28" t="s">
        <v>65</v>
      </c>
      <c r="AI12" s="87" t="s">
        <v>67</v>
      </c>
      <c r="AJ12" s="87" t="s">
        <v>67</v>
      </c>
      <c r="AK12" s="28" t="s">
        <v>75</v>
      </c>
      <c r="AL12" s="28" t="s">
        <v>75</v>
      </c>
      <c r="AM12" s="28" t="s">
        <v>75</v>
      </c>
      <c r="AN12" s="28" t="s">
        <v>75</v>
      </c>
      <c r="AO12" s="28" t="s">
        <v>75</v>
      </c>
      <c r="AP12" s="88" t="s">
        <v>22</v>
      </c>
      <c r="AQ12" s="88" t="s">
        <v>22</v>
      </c>
      <c r="AR12" s="28" t="s">
        <v>75</v>
      </c>
      <c r="AS12" s="28" t="s">
        <v>75</v>
      </c>
      <c r="AT12" s="28" t="s">
        <v>75</v>
      </c>
      <c r="AU12" s="28" t="s">
        <v>22</v>
      </c>
      <c r="AV12" s="28" t="s">
        <v>22</v>
      </c>
      <c r="AW12" s="88" t="s">
        <v>22</v>
      </c>
      <c r="AX12" s="68"/>
    </row>
    <row r="13" spans="2:50" ht="13.5" thickBot="1" x14ac:dyDescent="0.25">
      <c r="B13" s="9" t="s">
        <v>4</v>
      </c>
      <c r="C13" s="14">
        <v>37046</v>
      </c>
      <c r="D13" s="27" t="s">
        <v>9</v>
      </c>
      <c r="E13" s="82">
        <v>154.80000000000001</v>
      </c>
      <c r="F13" s="82"/>
      <c r="G13" s="82"/>
      <c r="H13" s="82"/>
      <c r="I13" s="82">
        <v>37.200000000000003</v>
      </c>
      <c r="J13" s="82"/>
      <c r="K13" s="82">
        <v>0.441</v>
      </c>
      <c r="L13" s="82">
        <v>0.68</v>
      </c>
      <c r="M13" s="83">
        <v>11.81</v>
      </c>
      <c r="N13" s="82">
        <v>142</v>
      </c>
      <c r="O13" s="82">
        <v>82</v>
      </c>
      <c r="P13" s="83"/>
      <c r="Q13" s="83"/>
      <c r="R13" s="83"/>
      <c r="S13" s="83">
        <v>7.0000000000000007E-2</v>
      </c>
      <c r="T13" s="84"/>
      <c r="U13" s="85"/>
      <c r="V13" s="83">
        <v>0.03</v>
      </c>
      <c r="W13" s="83">
        <v>0</v>
      </c>
      <c r="X13" s="83">
        <v>0.34</v>
      </c>
      <c r="Y13" s="83"/>
      <c r="Z13" s="83">
        <v>8.1999999999999993</v>
      </c>
      <c r="AA13" s="83">
        <v>0.3</v>
      </c>
      <c r="AB13" s="83">
        <v>41</v>
      </c>
      <c r="AC13" s="83">
        <v>313</v>
      </c>
      <c r="AD13" s="83"/>
      <c r="AE13" s="83">
        <v>0</v>
      </c>
      <c r="AF13" s="83">
        <v>10.65</v>
      </c>
      <c r="AG13" s="83"/>
      <c r="AH13" s="83">
        <v>17</v>
      </c>
      <c r="AI13" s="86">
        <v>3000</v>
      </c>
      <c r="AJ13" s="86">
        <v>3000</v>
      </c>
      <c r="AK13" s="83"/>
      <c r="AL13" s="84"/>
      <c r="AM13" s="82">
        <v>0.5</v>
      </c>
      <c r="AN13" s="82">
        <v>1</v>
      </c>
      <c r="AO13" s="82">
        <v>2</v>
      </c>
      <c r="AP13" s="83">
        <f>1883/1000</f>
        <v>1.883</v>
      </c>
      <c r="AQ13" s="83">
        <f>52.85/1000</f>
        <v>5.2850000000000001E-2</v>
      </c>
      <c r="AR13" s="83"/>
      <c r="AS13" s="82">
        <v>4</v>
      </c>
      <c r="AT13" s="82">
        <v>10</v>
      </c>
      <c r="AU13" s="83">
        <v>2.93</v>
      </c>
      <c r="AV13" s="83">
        <v>32.86</v>
      </c>
      <c r="AW13" s="83">
        <f>135.3/1000</f>
        <v>0.1353</v>
      </c>
      <c r="AX13" s="89">
        <f t="shared" ref="AX13:AX76" si="0">+L13/M13</f>
        <v>5.7578323454699411E-2</v>
      </c>
    </row>
    <row r="14" spans="2:50" ht="13.5" thickBot="1" x14ac:dyDescent="0.25">
      <c r="B14" s="5" t="s">
        <v>4</v>
      </c>
      <c r="C14" s="13">
        <v>37046</v>
      </c>
      <c r="D14" s="74" t="s">
        <v>10</v>
      </c>
      <c r="E14" s="30">
        <v>161.9</v>
      </c>
      <c r="F14" s="30"/>
      <c r="G14" s="30"/>
      <c r="H14" s="30"/>
      <c r="I14" s="30">
        <v>34.9</v>
      </c>
      <c r="J14" s="30"/>
      <c r="K14" s="30">
        <f>437/1000</f>
        <v>0.437</v>
      </c>
      <c r="L14" s="30">
        <v>0.18</v>
      </c>
      <c r="M14" s="38">
        <v>23.42</v>
      </c>
      <c r="N14" s="30">
        <v>144</v>
      </c>
      <c r="O14" s="30">
        <v>91</v>
      </c>
      <c r="P14" s="38"/>
      <c r="Q14" s="38"/>
      <c r="R14" s="38"/>
      <c r="S14" s="38">
        <v>0.22</v>
      </c>
      <c r="T14" s="44"/>
      <c r="U14" s="49"/>
      <c r="V14" s="38">
        <v>0.03</v>
      </c>
      <c r="W14" s="38">
        <v>0</v>
      </c>
      <c r="X14" s="38">
        <v>0.46</v>
      </c>
      <c r="Y14" s="38"/>
      <c r="Z14" s="38">
        <v>8.36</v>
      </c>
      <c r="AA14" s="38">
        <v>0.9</v>
      </c>
      <c r="AB14" s="38">
        <v>185</v>
      </c>
      <c r="AC14" s="38">
        <v>453</v>
      </c>
      <c r="AD14" s="38"/>
      <c r="AE14" s="38">
        <v>18</v>
      </c>
      <c r="AF14" s="38">
        <v>16.36</v>
      </c>
      <c r="AG14" s="38"/>
      <c r="AH14" s="38">
        <v>40</v>
      </c>
      <c r="AI14" s="55">
        <v>7000</v>
      </c>
      <c r="AJ14" s="55">
        <v>2200</v>
      </c>
      <c r="AK14" s="38"/>
      <c r="AL14" s="44"/>
      <c r="AM14" s="30">
        <v>0.5</v>
      </c>
      <c r="AN14" s="30">
        <v>1</v>
      </c>
      <c r="AO14" s="30">
        <v>2</v>
      </c>
      <c r="AP14" s="38">
        <f>5179/1000</f>
        <v>5.1790000000000003</v>
      </c>
      <c r="AQ14" s="38">
        <f>164.1/1000</f>
        <v>0.1641</v>
      </c>
      <c r="AR14" s="38"/>
      <c r="AS14" s="30">
        <v>4</v>
      </c>
      <c r="AT14" s="30">
        <v>10</v>
      </c>
      <c r="AU14" s="38">
        <v>3.57</v>
      </c>
      <c r="AV14" s="38">
        <v>30.05</v>
      </c>
      <c r="AW14" s="61">
        <f>90.56/1000</f>
        <v>9.0560000000000002E-2</v>
      </c>
      <c r="AX14" s="64">
        <f t="shared" si="0"/>
        <v>7.6857386848847133E-3</v>
      </c>
    </row>
    <row r="15" spans="2:50" ht="13.5" thickBot="1" x14ac:dyDescent="0.25">
      <c r="B15" s="6" t="s">
        <v>4</v>
      </c>
      <c r="C15" s="14">
        <v>37046</v>
      </c>
      <c r="D15" s="75" t="s">
        <v>11</v>
      </c>
      <c r="E15" s="31">
        <v>160.9</v>
      </c>
      <c r="F15" s="31"/>
      <c r="G15" s="31"/>
      <c r="H15" s="31"/>
      <c r="I15" s="31">
        <v>33.799999999999997</v>
      </c>
      <c r="J15" s="31"/>
      <c r="K15" s="31">
        <f>441/1000</f>
        <v>0.441</v>
      </c>
      <c r="L15" s="31">
        <v>0.48</v>
      </c>
      <c r="M15" s="34">
        <v>19.68</v>
      </c>
      <c r="N15" s="31">
        <v>149</v>
      </c>
      <c r="O15" s="31">
        <v>92</v>
      </c>
      <c r="P15" s="34"/>
      <c r="Q15" s="34"/>
      <c r="R15" s="34"/>
      <c r="S15" s="34">
        <v>0.21</v>
      </c>
      <c r="T15" s="45"/>
      <c r="U15" s="48"/>
      <c r="V15" s="34">
        <v>0.08</v>
      </c>
      <c r="W15" s="34">
        <v>0</v>
      </c>
      <c r="X15" s="34">
        <v>0.98</v>
      </c>
      <c r="Y15" s="34"/>
      <c r="Z15" s="34">
        <v>8.4700000000000006</v>
      </c>
      <c r="AA15" s="34">
        <v>0.7</v>
      </c>
      <c r="AB15" s="34">
        <v>209</v>
      </c>
      <c r="AC15" s="34">
        <v>470</v>
      </c>
      <c r="AD15" s="34"/>
      <c r="AE15" s="34">
        <v>15</v>
      </c>
      <c r="AF15" s="34">
        <v>18.329999999999998</v>
      </c>
      <c r="AG15" s="34"/>
      <c r="AH15" s="34">
        <v>52</v>
      </c>
      <c r="AI15" s="52">
        <v>17000</v>
      </c>
      <c r="AJ15" s="52">
        <v>7000</v>
      </c>
      <c r="AK15" s="34"/>
      <c r="AL15" s="45"/>
      <c r="AM15" s="31">
        <v>0.5</v>
      </c>
      <c r="AN15" s="31">
        <v>1</v>
      </c>
      <c r="AO15" s="31">
        <v>2</v>
      </c>
      <c r="AP15" s="34">
        <f>6043/1000</f>
        <v>6.0430000000000001</v>
      </c>
      <c r="AQ15" s="34">
        <f>204.7/1000</f>
        <v>0.20469999999999999</v>
      </c>
      <c r="AR15" s="34"/>
      <c r="AS15" s="31">
        <v>4</v>
      </c>
      <c r="AT15" s="31">
        <v>10</v>
      </c>
      <c r="AU15" s="34">
        <v>3.99</v>
      </c>
      <c r="AV15" s="34">
        <v>31.63</v>
      </c>
      <c r="AW15" s="62">
        <f>99.99/1000</f>
        <v>9.9989999999999996E-2</v>
      </c>
      <c r="AX15" s="65">
        <f t="shared" si="0"/>
        <v>2.4390243902439025E-2</v>
      </c>
    </row>
    <row r="16" spans="2:50" ht="13.5" thickBot="1" x14ac:dyDescent="0.25">
      <c r="B16" s="6" t="s">
        <v>4</v>
      </c>
      <c r="C16" s="14">
        <v>37046</v>
      </c>
      <c r="D16" s="76" t="s">
        <v>12</v>
      </c>
      <c r="E16" s="31">
        <v>159.69999999999999</v>
      </c>
      <c r="F16" s="31"/>
      <c r="G16" s="31"/>
      <c r="H16" s="31"/>
      <c r="I16" s="31">
        <v>45.2</v>
      </c>
      <c r="J16" s="31"/>
      <c r="K16" s="31">
        <f>469/1000</f>
        <v>0.46899999999999997</v>
      </c>
      <c r="L16" s="31">
        <v>0.57999999999999996</v>
      </c>
      <c r="M16" s="34">
        <v>7.87</v>
      </c>
      <c r="N16" s="31">
        <v>154</v>
      </c>
      <c r="O16" s="31">
        <v>100</v>
      </c>
      <c r="P16" s="34"/>
      <c r="Q16" s="34"/>
      <c r="R16" s="34"/>
      <c r="S16" s="34">
        <v>0.05</v>
      </c>
      <c r="T16" s="45"/>
      <c r="U16" s="48"/>
      <c r="V16" s="34">
        <v>0.06</v>
      </c>
      <c r="W16" s="34">
        <v>0</v>
      </c>
      <c r="X16" s="34">
        <v>0.28999999999999998</v>
      </c>
      <c r="Y16" s="34"/>
      <c r="Z16" s="34">
        <v>8.34</v>
      </c>
      <c r="AA16" s="34">
        <v>0.2</v>
      </c>
      <c r="AB16" s="34">
        <v>74</v>
      </c>
      <c r="AC16" s="34">
        <v>350</v>
      </c>
      <c r="AD16" s="34"/>
      <c r="AE16" s="34">
        <v>6</v>
      </c>
      <c r="AF16" s="34">
        <v>23.95</v>
      </c>
      <c r="AG16" s="34"/>
      <c r="AH16" s="34">
        <v>26</v>
      </c>
      <c r="AI16" s="52">
        <v>11000</v>
      </c>
      <c r="AJ16" s="52">
        <v>11000</v>
      </c>
      <c r="AK16" s="34"/>
      <c r="AL16" s="45"/>
      <c r="AM16" s="31">
        <v>0.5</v>
      </c>
      <c r="AN16" s="31">
        <v>1</v>
      </c>
      <c r="AO16" s="31">
        <v>2</v>
      </c>
      <c r="AP16" s="34">
        <f>3159/1000</f>
        <v>3.1589999999999998</v>
      </c>
      <c r="AQ16" s="34">
        <f>97.61/1000</f>
        <v>9.7610000000000002E-2</v>
      </c>
      <c r="AR16" s="34"/>
      <c r="AS16" s="31">
        <v>4</v>
      </c>
      <c r="AT16" s="31">
        <v>10</v>
      </c>
      <c r="AU16" s="34">
        <v>3.24</v>
      </c>
      <c r="AV16" s="34">
        <v>33.96</v>
      </c>
      <c r="AW16" s="62">
        <f>96.98/1000</f>
        <v>9.6980000000000011E-2</v>
      </c>
      <c r="AX16" s="65">
        <f t="shared" si="0"/>
        <v>7.3697585768742052E-2</v>
      </c>
    </row>
    <row r="17" spans="2:50" ht="13.5" thickBot="1" x14ac:dyDescent="0.25">
      <c r="B17" s="7">
        <v>2001</v>
      </c>
      <c r="C17" s="15">
        <v>37076</v>
      </c>
      <c r="D17" s="27" t="s">
        <v>9</v>
      </c>
      <c r="E17" s="32">
        <v>153.69999999999999</v>
      </c>
      <c r="F17" s="32"/>
      <c r="G17" s="32"/>
      <c r="H17" s="32"/>
      <c r="I17" s="32">
        <v>28.78</v>
      </c>
      <c r="J17" s="32"/>
      <c r="K17" s="32"/>
      <c r="L17" s="32">
        <v>0.35</v>
      </c>
      <c r="M17" s="39">
        <v>7.75</v>
      </c>
      <c r="N17" s="32">
        <v>141</v>
      </c>
      <c r="O17" s="32">
        <v>99</v>
      </c>
      <c r="P17" s="39"/>
      <c r="Q17" s="39"/>
      <c r="R17" s="39"/>
      <c r="S17" s="39">
        <v>0.03</v>
      </c>
      <c r="T17" s="46"/>
      <c r="U17" s="50"/>
      <c r="V17" s="39">
        <v>0.03</v>
      </c>
      <c r="W17" s="39">
        <v>0</v>
      </c>
      <c r="X17" s="39">
        <v>0.52</v>
      </c>
      <c r="Y17" s="39"/>
      <c r="Z17" s="39">
        <v>8.44</v>
      </c>
      <c r="AA17" s="39">
        <v>0</v>
      </c>
      <c r="AB17" s="39">
        <v>0</v>
      </c>
      <c r="AC17" s="39">
        <v>293</v>
      </c>
      <c r="AD17" s="39"/>
      <c r="AE17" s="39">
        <v>14.5</v>
      </c>
      <c r="AF17" s="39">
        <v>0</v>
      </c>
      <c r="AG17" s="39"/>
      <c r="AH17" s="39"/>
      <c r="AI17" s="56">
        <v>13000</v>
      </c>
      <c r="AJ17" s="56">
        <v>13000</v>
      </c>
      <c r="AK17" s="39">
        <v>169.7</v>
      </c>
      <c r="AL17" s="46"/>
      <c r="AM17" s="32">
        <v>0.5</v>
      </c>
      <c r="AN17" s="32">
        <v>2.89</v>
      </c>
      <c r="AO17" s="32">
        <v>2</v>
      </c>
      <c r="AP17" s="39">
        <f>1093/1000</f>
        <v>1.093</v>
      </c>
      <c r="AQ17" s="39">
        <f>36.75/1000</f>
        <v>3.6749999999999998E-2</v>
      </c>
      <c r="AR17" s="39"/>
      <c r="AS17" s="32">
        <v>5.2</v>
      </c>
      <c r="AT17" s="32">
        <v>10</v>
      </c>
      <c r="AU17" s="39">
        <f>3168/1000</f>
        <v>3.1680000000000001</v>
      </c>
      <c r="AV17" s="39">
        <v>28.62</v>
      </c>
      <c r="AW17" s="63">
        <f>117.2/1000</f>
        <v>0.1172</v>
      </c>
      <c r="AX17" s="66">
        <f t="shared" si="0"/>
        <v>4.5161290322580643E-2</v>
      </c>
    </row>
    <row r="18" spans="2:50" x14ac:dyDescent="0.2">
      <c r="B18" s="8"/>
      <c r="C18" s="16">
        <v>37076</v>
      </c>
      <c r="D18" s="74" t="s">
        <v>10</v>
      </c>
      <c r="E18" s="33">
        <v>171.18</v>
      </c>
      <c r="F18" s="33"/>
      <c r="G18" s="33"/>
      <c r="H18" s="33"/>
      <c r="I18" s="33">
        <v>27.01</v>
      </c>
      <c r="J18" s="33"/>
      <c r="K18" s="33"/>
      <c r="L18" s="33">
        <v>0.37</v>
      </c>
      <c r="M18" s="40">
        <v>11.63</v>
      </c>
      <c r="N18" s="33">
        <v>149</v>
      </c>
      <c r="O18" s="33">
        <v>102</v>
      </c>
      <c r="P18" s="40"/>
      <c r="Q18" s="40"/>
      <c r="R18" s="40"/>
      <c r="S18" s="40">
        <v>0.05</v>
      </c>
      <c r="T18" s="47"/>
      <c r="U18" s="51"/>
      <c r="V18" s="40">
        <v>0.1</v>
      </c>
      <c r="W18" s="40">
        <v>0.74</v>
      </c>
      <c r="X18" s="40">
        <v>1.55</v>
      </c>
      <c r="Y18" s="40"/>
      <c r="Z18" s="40">
        <v>8.17</v>
      </c>
      <c r="AA18" s="40">
        <v>0</v>
      </c>
      <c r="AB18" s="40">
        <v>3</v>
      </c>
      <c r="AC18" s="40">
        <v>297</v>
      </c>
      <c r="AD18" s="40"/>
      <c r="AE18" s="40">
        <v>27.75</v>
      </c>
      <c r="AF18" s="40">
        <v>0.7</v>
      </c>
      <c r="AG18" s="40"/>
      <c r="AH18" s="40"/>
      <c r="AI18" s="57">
        <v>3000</v>
      </c>
      <c r="AJ18" s="57">
        <v>3000</v>
      </c>
      <c r="AK18" s="40">
        <v>341.1</v>
      </c>
      <c r="AL18" s="47"/>
      <c r="AM18" s="33">
        <v>0.5</v>
      </c>
      <c r="AN18" s="33">
        <v>6.58</v>
      </c>
      <c r="AO18" s="33">
        <v>4.01</v>
      </c>
      <c r="AP18" s="40">
        <f>1258/1000</f>
        <v>1.258</v>
      </c>
      <c r="AQ18" s="40">
        <f>77.01/1000</f>
        <v>7.7010000000000009E-2</v>
      </c>
      <c r="AR18" s="40"/>
      <c r="AS18" s="33">
        <v>15.34</v>
      </c>
      <c r="AT18" s="33">
        <v>10</v>
      </c>
      <c r="AU18" s="40">
        <f>3171/1000</f>
        <v>3.1709999999999998</v>
      </c>
      <c r="AV18" s="40">
        <v>26.92</v>
      </c>
      <c r="AW18" s="40">
        <f>136/1000</f>
        <v>0.13600000000000001</v>
      </c>
      <c r="AX18" s="67">
        <f t="shared" si="0"/>
        <v>3.1814273430782455E-2</v>
      </c>
    </row>
    <row r="19" spans="2:50" x14ac:dyDescent="0.2">
      <c r="B19" s="8"/>
      <c r="C19" s="17">
        <v>37076</v>
      </c>
      <c r="D19" s="75" t="s">
        <v>11</v>
      </c>
      <c r="E19" s="31">
        <v>173.23</v>
      </c>
      <c r="F19" s="31"/>
      <c r="G19" s="31"/>
      <c r="H19" s="31"/>
      <c r="I19" s="31">
        <v>28.02</v>
      </c>
      <c r="J19" s="31"/>
      <c r="K19" s="31"/>
      <c r="L19" s="31">
        <v>0.37</v>
      </c>
      <c r="M19" s="34">
        <v>9.69</v>
      </c>
      <c r="N19" s="31">
        <v>143</v>
      </c>
      <c r="O19" s="31">
        <v>107</v>
      </c>
      <c r="P19" s="34"/>
      <c r="Q19" s="34"/>
      <c r="R19" s="34"/>
      <c r="S19" s="34">
        <v>0.03</v>
      </c>
      <c r="T19" s="45"/>
      <c r="U19" s="48"/>
      <c r="V19" s="34">
        <v>0.02</v>
      </c>
      <c r="W19" s="34">
        <v>0</v>
      </c>
      <c r="X19" s="34">
        <v>0.63</v>
      </c>
      <c r="Y19" s="34"/>
      <c r="Z19" s="34">
        <v>8.1999999999999993</v>
      </c>
      <c r="AA19" s="34">
        <v>0</v>
      </c>
      <c r="AB19" s="34">
        <v>7</v>
      </c>
      <c r="AC19" s="34">
        <v>305</v>
      </c>
      <c r="AD19" s="34"/>
      <c r="AE19" s="34">
        <v>23.5</v>
      </c>
      <c r="AF19" s="34">
        <v>0.7</v>
      </c>
      <c r="AG19" s="34"/>
      <c r="AH19" s="34"/>
      <c r="AI19" s="52">
        <v>2200</v>
      </c>
      <c r="AJ19" s="52">
        <v>2200</v>
      </c>
      <c r="AK19" s="34">
        <v>218.2</v>
      </c>
      <c r="AL19" s="45"/>
      <c r="AM19" s="31">
        <v>0.5</v>
      </c>
      <c r="AN19" s="31">
        <v>6.85</v>
      </c>
      <c r="AO19" s="31">
        <v>6.33</v>
      </c>
      <c r="AP19" s="34">
        <f>1106/1000</f>
        <v>1.1060000000000001</v>
      </c>
      <c r="AQ19" s="34">
        <f>63.62/1000</f>
        <v>6.3619999999999996E-2</v>
      </c>
      <c r="AR19" s="34"/>
      <c r="AS19" s="31">
        <v>29.4</v>
      </c>
      <c r="AT19" s="31">
        <v>10</v>
      </c>
      <c r="AU19" s="34">
        <f>3220/1000</f>
        <v>3.22</v>
      </c>
      <c r="AV19" s="34">
        <v>26.92</v>
      </c>
      <c r="AW19" s="34">
        <f>75.49/1000</f>
        <v>7.5490000000000002E-2</v>
      </c>
      <c r="AX19" s="68">
        <f t="shared" si="0"/>
        <v>3.8183694530443756E-2</v>
      </c>
    </row>
    <row r="20" spans="2:50" x14ac:dyDescent="0.2">
      <c r="B20" s="8"/>
      <c r="C20" s="17">
        <v>37076</v>
      </c>
      <c r="D20" s="76" t="s">
        <v>12</v>
      </c>
      <c r="E20" s="31">
        <v>178.35</v>
      </c>
      <c r="F20" s="31"/>
      <c r="G20" s="31"/>
      <c r="H20" s="31"/>
      <c r="I20" s="31">
        <v>27.01</v>
      </c>
      <c r="J20" s="31"/>
      <c r="K20" s="31"/>
      <c r="L20" s="31">
        <v>0.52</v>
      </c>
      <c r="M20" s="34">
        <v>23.62</v>
      </c>
      <c r="N20" s="31">
        <v>163</v>
      </c>
      <c r="O20" s="31">
        <v>117</v>
      </c>
      <c r="P20" s="34"/>
      <c r="Q20" s="34"/>
      <c r="R20" s="34"/>
      <c r="S20" s="34">
        <v>0.02</v>
      </c>
      <c r="T20" s="45"/>
      <c r="U20" s="48"/>
      <c r="V20" s="34">
        <v>0</v>
      </c>
      <c r="W20" s="34">
        <v>0</v>
      </c>
      <c r="X20" s="34">
        <v>0.46</v>
      </c>
      <c r="Y20" s="34"/>
      <c r="Z20" s="34">
        <v>8.1999999999999993</v>
      </c>
      <c r="AA20" s="34">
        <v>0</v>
      </c>
      <c r="AB20" s="34">
        <v>4</v>
      </c>
      <c r="AC20" s="34">
        <v>322</v>
      </c>
      <c r="AD20" s="34"/>
      <c r="AE20" s="34">
        <v>7</v>
      </c>
      <c r="AF20" s="34">
        <v>8</v>
      </c>
      <c r="AG20" s="34"/>
      <c r="AH20" s="34"/>
      <c r="AI20" s="52">
        <v>17000</v>
      </c>
      <c r="AJ20" s="52">
        <v>17000</v>
      </c>
      <c r="AK20" s="34">
        <v>240.2</v>
      </c>
      <c r="AL20" s="45"/>
      <c r="AM20" s="31">
        <v>0.5</v>
      </c>
      <c r="AN20" s="31">
        <v>11.25</v>
      </c>
      <c r="AO20" s="31">
        <v>2</v>
      </c>
      <c r="AP20" s="34">
        <f>1581/1000</f>
        <v>1.581</v>
      </c>
      <c r="AQ20" s="34">
        <f>39.41/1000</f>
        <v>3.9409999999999994E-2</v>
      </c>
      <c r="AR20" s="34"/>
      <c r="AS20" s="31">
        <v>26.95</v>
      </c>
      <c r="AT20" s="31">
        <v>10</v>
      </c>
      <c r="AU20" s="34">
        <f>3271/1000</f>
        <v>3.2709999999999999</v>
      </c>
      <c r="AV20" s="34">
        <v>27.44</v>
      </c>
      <c r="AW20" s="34">
        <f>87.45/1000</f>
        <v>8.745E-2</v>
      </c>
      <c r="AX20" s="68">
        <f t="shared" si="0"/>
        <v>2.201524132091448E-2</v>
      </c>
    </row>
    <row r="21" spans="2:50" x14ac:dyDescent="0.2">
      <c r="B21" s="8">
        <v>2002</v>
      </c>
      <c r="C21" s="17">
        <v>37335</v>
      </c>
      <c r="D21" s="27" t="s">
        <v>9</v>
      </c>
      <c r="E21" s="31">
        <v>224.89</v>
      </c>
      <c r="F21" s="31">
        <v>202.81</v>
      </c>
      <c r="G21" s="31">
        <v>22.08</v>
      </c>
      <c r="H21" s="31"/>
      <c r="I21" s="31">
        <v>50.13</v>
      </c>
      <c r="J21" s="31"/>
      <c r="K21" s="31">
        <f>629/1000</f>
        <v>0.629</v>
      </c>
      <c r="L21" s="31">
        <v>0.88</v>
      </c>
      <c r="M21" s="34">
        <v>11.79</v>
      </c>
      <c r="N21" s="31">
        <v>170</v>
      </c>
      <c r="O21" s="31">
        <v>133</v>
      </c>
      <c r="P21" s="34"/>
      <c r="Q21" s="34"/>
      <c r="R21" s="34"/>
      <c r="S21" s="34">
        <v>0.02</v>
      </c>
      <c r="T21" s="45"/>
      <c r="U21" s="48"/>
      <c r="V21" s="34"/>
      <c r="W21" s="34">
        <v>0</v>
      </c>
      <c r="X21" s="34">
        <v>0.45</v>
      </c>
      <c r="Y21" s="34"/>
      <c r="Z21" s="34">
        <v>8.6300000000000008</v>
      </c>
      <c r="AA21" s="34">
        <v>0.2</v>
      </c>
      <c r="AB21" s="34">
        <v>11</v>
      </c>
      <c r="AC21" s="34">
        <v>426</v>
      </c>
      <c r="AD21" s="34"/>
      <c r="AE21" s="34">
        <v>39.200000000000003</v>
      </c>
      <c r="AF21" s="34">
        <v>20.45</v>
      </c>
      <c r="AG21" s="34"/>
      <c r="AH21" s="34">
        <v>15</v>
      </c>
      <c r="AI21" s="52">
        <v>50000</v>
      </c>
      <c r="AJ21" s="52">
        <v>800</v>
      </c>
      <c r="AK21" s="34">
        <v>257.2</v>
      </c>
      <c r="AL21" s="45"/>
      <c r="AM21" s="31">
        <v>0.5</v>
      </c>
      <c r="AN21" s="34">
        <v>4.79</v>
      </c>
      <c r="AO21" s="31">
        <v>2</v>
      </c>
      <c r="AP21" s="34">
        <f>614/1000</f>
        <v>0.61399999999999999</v>
      </c>
      <c r="AQ21" s="34">
        <f>47.47/1000</f>
        <v>4.7469999999999998E-2</v>
      </c>
      <c r="AR21" s="34"/>
      <c r="AS21" s="34">
        <v>27.4</v>
      </c>
      <c r="AT21" s="45">
        <v>14.73</v>
      </c>
      <c r="AU21" s="34">
        <v>3.71</v>
      </c>
      <c r="AV21" s="34">
        <v>41.78</v>
      </c>
      <c r="AW21" s="34">
        <f>40.74/1000</f>
        <v>4.0740000000000005E-2</v>
      </c>
      <c r="AX21" s="68">
        <f t="shared" si="0"/>
        <v>7.4639525021204411E-2</v>
      </c>
    </row>
    <row r="22" spans="2:50" x14ac:dyDescent="0.2">
      <c r="B22" s="9"/>
      <c r="C22" s="18">
        <v>37335</v>
      </c>
      <c r="D22" s="74" t="s">
        <v>10</v>
      </c>
      <c r="E22" s="31">
        <v>230.92</v>
      </c>
      <c r="F22" s="31">
        <v>214.86</v>
      </c>
      <c r="G22" s="31">
        <v>16.059999999999999</v>
      </c>
      <c r="H22" s="31"/>
      <c r="I22" s="31">
        <v>52.69</v>
      </c>
      <c r="J22" s="31"/>
      <c r="K22" s="31">
        <f>610/1000</f>
        <v>0.61</v>
      </c>
      <c r="L22" s="31">
        <v>0.9</v>
      </c>
      <c r="M22" s="34">
        <v>9.82</v>
      </c>
      <c r="N22" s="31">
        <v>210</v>
      </c>
      <c r="O22" s="31">
        <v>144</v>
      </c>
      <c r="P22" s="34"/>
      <c r="Q22" s="34"/>
      <c r="R22" s="34"/>
      <c r="S22" s="34">
        <v>0.04</v>
      </c>
      <c r="T22" s="45"/>
      <c r="U22" s="48"/>
      <c r="V22" s="34"/>
      <c r="W22" s="34">
        <v>0</v>
      </c>
      <c r="X22" s="34">
        <v>0.45</v>
      </c>
      <c r="Y22" s="34"/>
      <c r="Z22" s="34">
        <v>8.5</v>
      </c>
      <c r="AA22" s="34">
        <v>0.1</v>
      </c>
      <c r="AB22" s="34">
        <v>11</v>
      </c>
      <c r="AC22" s="34">
        <v>439</v>
      </c>
      <c r="AD22" s="34"/>
      <c r="AE22" s="34">
        <v>17.600000000000001</v>
      </c>
      <c r="AF22" s="34">
        <v>29.09</v>
      </c>
      <c r="AG22" s="34"/>
      <c r="AH22" s="34">
        <v>14</v>
      </c>
      <c r="AI22" s="52">
        <v>30000</v>
      </c>
      <c r="AJ22" s="52">
        <v>1700</v>
      </c>
      <c r="AK22" s="34">
        <v>30</v>
      </c>
      <c r="AL22" s="45"/>
      <c r="AM22" s="31">
        <v>0.5</v>
      </c>
      <c r="AN22" s="34">
        <v>1.77</v>
      </c>
      <c r="AO22" s="31">
        <v>2</v>
      </c>
      <c r="AP22" s="34">
        <f>3/1000</f>
        <v>3.0000000000000001E-3</v>
      </c>
      <c r="AQ22" s="34">
        <f>1/1000</f>
        <v>1E-3</v>
      </c>
      <c r="AR22" s="34"/>
      <c r="AS22" s="34">
        <v>9.01</v>
      </c>
      <c r="AT22" s="45">
        <v>37.5</v>
      </c>
      <c r="AU22" s="34">
        <v>3.42</v>
      </c>
      <c r="AV22" s="34">
        <v>38.979999999999997</v>
      </c>
      <c r="AW22" s="34">
        <f>3.79/1000</f>
        <v>3.79E-3</v>
      </c>
      <c r="AX22" s="68">
        <f t="shared" si="0"/>
        <v>9.1649694501018328E-2</v>
      </c>
    </row>
    <row r="23" spans="2:50" x14ac:dyDescent="0.2">
      <c r="B23" s="8"/>
      <c r="C23" s="14">
        <v>37335</v>
      </c>
      <c r="D23" s="75" t="s">
        <v>11</v>
      </c>
      <c r="E23" s="31">
        <v>242.97</v>
      </c>
      <c r="F23" s="31">
        <v>222.89</v>
      </c>
      <c r="G23" s="31">
        <v>20.079999999999998</v>
      </c>
      <c r="H23" s="31"/>
      <c r="I23" s="31">
        <v>44.68</v>
      </c>
      <c r="J23" s="31"/>
      <c r="K23" s="31">
        <f>714/1000</f>
        <v>0.71399999999999997</v>
      </c>
      <c r="L23" s="31">
        <v>0.73</v>
      </c>
      <c r="M23" s="34">
        <v>1.96</v>
      </c>
      <c r="N23" s="31">
        <v>240</v>
      </c>
      <c r="O23" s="31">
        <v>162</v>
      </c>
      <c r="P23" s="34"/>
      <c r="Q23" s="34"/>
      <c r="R23" s="34"/>
      <c r="S23" s="34">
        <v>0.05</v>
      </c>
      <c r="T23" s="45"/>
      <c r="U23" s="48"/>
      <c r="V23" s="34"/>
      <c r="W23" s="34">
        <v>0</v>
      </c>
      <c r="X23" s="34">
        <v>0.39</v>
      </c>
      <c r="Y23" s="34"/>
      <c r="Z23" s="34">
        <v>8.5500000000000007</v>
      </c>
      <c r="AA23" s="34">
        <v>0.05</v>
      </c>
      <c r="AB23" s="34">
        <v>22</v>
      </c>
      <c r="AC23" s="34">
        <v>477</v>
      </c>
      <c r="AD23" s="34"/>
      <c r="AE23" s="34">
        <v>18</v>
      </c>
      <c r="AF23" s="34">
        <v>53.64</v>
      </c>
      <c r="AG23" s="34"/>
      <c r="AH23" s="34">
        <v>22</v>
      </c>
      <c r="AI23" s="52">
        <v>8000</v>
      </c>
      <c r="AJ23" s="52">
        <v>2200</v>
      </c>
      <c r="AK23" s="34">
        <v>821.7</v>
      </c>
      <c r="AL23" s="45"/>
      <c r="AM23" s="31">
        <v>0.5</v>
      </c>
      <c r="AN23" s="34">
        <v>2.82</v>
      </c>
      <c r="AO23" s="31">
        <v>2</v>
      </c>
      <c r="AP23" s="34">
        <f>1068/1000</f>
        <v>1.0680000000000001</v>
      </c>
      <c r="AQ23" s="34">
        <f>87.25/1000</f>
        <v>8.7249999999999994E-2</v>
      </c>
      <c r="AR23" s="34"/>
      <c r="AS23" s="34">
        <v>19.28</v>
      </c>
      <c r="AT23" s="45">
        <v>10</v>
      </c>
      <c r="AU23" s="34">
        <v>3.33</v>
      </c>
      <c r="AV23" s="34">
        <v>36.89</v>
      </c>
      <c r="AW23" s="34">
        <f>18.69/1000</f>
        <v>1.8690000000000002E-2</v>
      </c>
      <c r="AX23" s="68">
        <f t="shared" si="0"/>
        <v>0.37244897959183676</v>
      </c>
    </row>
    <row r="24" spans="2:50" x14ac:dyDescent="0.2">
      <c r="B24" s="8"/>
      <c r="C24" s="14">
        <v>37335</v>
      </c>
      <c r="D24" s="76" t="s">
        <v>12</v>
      </c>
      <c r="E24" s="31">
        <v>232.93</v>
      </c>
      <c r="F24" s="31">
        <v>216.87</v>
      </c>
      <c r="G24" s="31">
        <v>16.059999999999999</v>
      </c>
      <c r="H24" s="31"/>
      <c r="I24" s="31">
        <v>43.53</v>
      </c>
      <c r="J24" s="31"/>
      <c r="K24" s="31">
        <f>714/1000</f>
        <v>0.71399999999999997</v>
      </c>
      <c r="L24" s="31">
        <v>0.93</v>
      </c>
      <c r="M24" s="34">
        <v>3.93</v>
      </c>
      <c r="N24" s="31">
        <v>253</v>
      </c>
      <c r="O24" s="31">
        <v>166</v>
      </c>
      <c r="P24" s="34"/>
      <c r="Q24" s="34"/>
      <c r="R24" s="34"/>
      <c r="S24" s="34">
        <v>0.09</v>
      </c>
      <c r="T24" s="45"/>
      <c r="U24" s="48"/>
      <c r="V24" s="34"/>
      <c r="W24" s="34">
        <v>0</v>
      </c>
      <c r="X24" s="34">
        <v>0.56000000000000005</v>
      </c>
      <c r="Y24" s="34"/>
      <c r="Z24" s="34">
        <v>8.5500000000000007</v>
      </c>
      <c r="AA24" s="34">
        <v>0.05</v>
      </c>
      <c r="AB24" s="34">
        <v>81</v>
      </c>
      <c r="AC24" s="34">
        <v>534</v>
      </c>
      <c r="AD24" s="34"/>
      <c r="AE24" s="34">
        <v>32</v>
      </c>
      <c r="AF24" s="34">
        <v>73.34</v>
      </c>
      <c r="AG24" s="34"/>
      <c r="AH24" s="34">
        <v>56</v>
      </c>
      <c r="AI24" s="52">
        <v>17000</v>
      </c>
      <c r="AJ24" s="52">
        <v>8000</v>
      </c>
      <c r="AK24" s="34">
        <v>1111</v>
      </c>
      <c r="AL24" s="45"/>
      <c r="AM24" s="31">
        <v>0.5</v>
      </c>
      <c r="AN24" s="34">
        <v>5.14</v>
      </c>
      <c r="AO24" s="31">
        <v>2</v>
      </c>
      <c r="AP24" s="34">
        <f>5103/1000</f>
        <v>5.1029999999999998</v>
      </c>
      <c r="AQ24" s="34">
        <f>119.5/1000</f>
        <v>0.1195</v>
      </c>
      <c r="AR24" s="34"/>
      <c r="AS24" s="34">
        <v>27.21</v>
      </c>
      <c r="AT24" s="45">
        <v>15.67</v>
      </c>
      <c r="AU24" s="34">
        <v>3.21</v>
      </c>
      <c r="AV24" s="34">
        <v>35.61</v>
      </c>
      <c r="AW24" s="34">
        <f>30.26/1000</f>
        <v>3.0260000000000002E-2</v>
      </c>
      <c r="AX24" s="68">
        <f t="shared" si="0"/>
        <v>0.23664122137404581</v>
      </c>
    </row>
    <row r="25" spans="2:50" x14ac:dyDescent="0.2">
      <c r="B25" s="8"/>
      <c r="C25" s="14">
        <v>37566</v>
      </c>
      <c r="D25" s="27" t="s">
        <v>9</v>
      </c>
      <c r="E25" s="31"/>
      <c r="F25" s="31"/>
      <c r="G25" s="31"/>
      <c r="H25" s="31"/>
      <c r="I25" s="31"/>
      <c r="J25" s="31"/>
      <c r="K25" s="31"/>
      <c r="L25" s="31"/>
      <c r="M25" s="34">
        <v>1.83</v>
      </c>
      <c r="N25" s="31"/>
      <c r="O25" s="31"/>
      <c r="P25" s="34"/>
      <c r="Q25" s="34"/>
      <c r="R25" s="34"/>
      <c r="S25" s="34">
        <v>0.64</v>
      </c>
      <c r="T25" s="45"/>
      <c r="U25" s="48"/>
      <c r="V25" s="34"/>
      <c r="W25" s="34"/>
      <c r="X25" s="34"/>
      <c r="Y25" s="34"/>
      <c r="Z25" s="34"/>
      <c r="AA25" s="34"/>
      <c r="AB25" s="34"/>
      <c r="AC25" s="34">
        <v>927.8</v>
      </c>
      <c r="AD25" s="34"/>
      <c r="AE25" s="34"/>
      <c r="AF25" s="34"/>
      <c r="AG25" s="34"/>
      <c r="AH25" s="34"/>
      <c r="AI25" s="52">
        <v>50000</v>
      </c>
      <c r="AJ25" s="52">
        <v>1700</v>
      </c>
      <c r="AK25" s="34"/>
      <c r="AL25" s="45"/>
      <c r="AM25" s="31"/>
      <c r="AN25" s="34"/>
      <c r="AO25" s="45"/>
      <c r="AP25" s="34"/>
      <c r="AQ25" s="34"/>
      <c r="AR25" s="34"/>
      <c r="AS25" s="34"/>
      <c r="AT25" s="45"/>
      <c r="AU25" s="34"/>
      <c r="AV25" s="34"/>
      <c r="AW25" s="34"/>
      <c r="AX25" s="68">
        <f t="shared" si="0"/>
        <v>0</v>
      </c>
    </row>
    <row r="26" spans="2:50" x14ac:dyDescent="0.2">
      <c r="B26" s="9"/>
      <c r="C26" s="14">
        <v>37566</v>
      </c>
      <c r="D26" s="74" t="s">
        <v>10</v>
      </c>
      <c r="E26" s="31"/>
      <c r="F26" s="31"/>
      <c r="G26" s="31"/>
      <c r="H26" s="31"/>
      <c r="I26" s="31"/>
      <c r="J26" s="31"/>
      <c r="K26" s="31"/>
      <c r="L26" s="31"/>
      <c r="M26" s="34">
        <v>1.65</v>
      </c>
      <c r="N26" s="31"/>
      <c r="O26" s="31"/>
      <c r="P26" s="34"/>
      <c r="Q26" s="34"/>
      <c r="R26" s="34"/>
      <c r="S26" s="34">
        <v>0.9</v>
      </c>
      <c r="T26" s="45"/>
      <c r="U26" s="48"/>
      <c r="V26" s="34"/>
      <c r="W26" s="34"/>
      <c r="X26" s="34"/>
      <c r="Y26" s="34"/>
      <c r="Z26" s="34"/>
      <c r="AA26" s="34"/>
      <c r="AB26" s="34"/>
      <c r="AC26" s="34">
        <v>969</v>
      </c>
      <c r="AD26" s="34"/>
      <c r="AE26" s="34"/>
      <c r="AF26" s="34"/>
      <c r="AG26" s="34"/>
      <c r="AH26" s="34"/>
      <c r="AI26" s="52">
        <v>30000</v>
      </c>
      <c r="AJ26" s="52">
        <v>5000</v>
      </c>
      <c r="AK26" s="34"/>
      <c r="AL26" s="45"/>
      <c r="AM26" s="31"/>
      <c r="AN26" s="34"/>
      <c r="AO26" s="45"/>
      <c r="AP26" s="34"/>
      <c r="AQ26" s="34"/>
      <c r="AR26" s="34"/>
      <c r="AS26" s="34"/>
      <c r="AT26" s="45"/>
      <c r="AU26" s="34"/>
      <c r="AV26" s="34"/>
      <c r="AW26" s="34"/>
      <c r="AX26" s="68">
        <f t="shared" si="0"/>
        <v>0</v>
      </c>
    </row>
    <row r="27" spans="2:50" x14ac:dyDescent="0.2">
      <c r="B27" s="8"/>
      <c r="C27" s="14">
        <v>37566</v>
      </c>
      <c r="D27" s="75" t="s">
        <v>11</v>
      </c>
      <c r="E27" s="31"/>
      <c r="F27" s="31"/>
      <c r="G27" s="31"/>
      <c r="H27" s="31"/>
      <c r="I27" s="31"/>
      <c r="J27" s="31"/>
      <c r="K27" s="31"/>
      <c r="L27" s="31"/>
      <c r="M27" s="34">
        <v>1.68</v>
      </c>
      <c r="N27" s="31"/>
      <c r="O27" s="31"/>
      <c r="P27" s="34"/>
      <c r="Q27" s="34"/>
      <c r="R27" s="34"/>
      <c r="S27" s="34">
        <v>0.91</v>
      </c>
      <c r="T27" s="45"/>
      <c r="U27" s="48"/>
      <c r="V27" s="34"/>
      <c r="W27" s="34"/>
      <c r="X27" s="34"/>
      <c r="Y27" s="34"/>
      <c r="Z27" s="34"/>
      <c r="AA27" s="34"/>
      <c r="AB27" s="34"/>
      <c r="AC27" s="34">
        <v>1118</v>
      </c>
      <c r="AD27" s="34"/>
      <c r="AE27" s="34"/>
      <c r="AF27" s="34"/>
      <c r="AG27" s="34"/>
      <c r="AH27" s="34"/>
      <c r="AI27" s="52">
        <v>24000</v>
      </c>
      <c r="AJ27" s="52">
        <v>8000</v>
      </c>
      <c r="AK27" s="34"/>
      <c r="AL27" s="45"/>
      <c r="AM27" s="31"/>
      <c r="AN27" s="34"/>
      <c r="AO27" s="45"/>
      <c r="AP27" s="34"/>
      <c r="AQ27" s="34"/>
      <c r="AR27" s="34"/>
      <c r="AS27" s="34"/>
      <c r="AT27" s="45"/>
      <c r="AU27" s="34"/>
      <c r="AV27" s="34"/>
      <c r="AW27" s="34"/>
      <c r="AX27" s="68">
        <f t="shared" si="0"/>
        <v>0</v>
      </c>
    </row>
    <row r="28" spans="2:50" x14ac:dyDescent="0.2">
      <c r="B28" s="8"/>
      <c r="C28" s="14">
        <v>37566</v>
      </c>
      <c r="D28" s="76" t="s">
        <v>12</v>
      </c>
      <c r="E28" s="31"/>
      <c r="F28" s="31"/>
      <c r="G28" s="31"/>
      <c r="H28" s="31"/>
      <c r="I28" s="31"/>
      <c r="J28" s="31"/>
      <c r="K28" s="31"/>
      <c r="L28" s="31"/>
      <c r="M28" s="34">
        <v>1.75</v>
      </c>
      <c r="N28" s="31"/>
      <c r="O28" s="31"/>
      <c r="P28" s="34"/>
      <c r="Q28" s="34"/>
      <c r="R28" s="34"/>
      <c r="S28" s="34">
        <v>1.17</v>
      </c>
      <c r="T28" s="45"/>
      <c r="U28" s="48"/>
      <c r="V28" s="34"/>
      <c r="W28" s="34"/>
      <c r="X28" s="34"/>
      <c r="Y28" s="34"/>
      <c r="Z28" s="34"/>
      <c r="AA28" s="34"/>
      <c r="AB28" s="34"/>
      <c r="AC28" s="34">
        <v>1876</v>
      </c>
      <c r="AD28" s="34"/>
      <c r="AE28" s="34"/>
      <c r="AF28" s="34"/>
      <c r="AG28" s="34"/>
      <c r="AH28" s="34"/>
      <c r="AI28" s="52">
        <v>30000</v>
      </c>
      <c r="AJ28" s="52">
        <v>3000</v>
      </c>
      <c r="AK28" s="34"/>
      <c r="AL28" s="45"/>
      <c r="AM28" s="31"/>
      <c r="AN28" s="34"/>
      <c r="AO28" s="45"/>
      <c r="AP28" s="34"/>
      <c r="AQ28" s="34"/>
      <c r="AR28" s="34"/>
      <c r="AS28" s="34"/>
      <c r="AT28" s="45"/>
      <c r="AU28" s="34"/>
      <c r="AV28" s="34"/>
      <c r="AW28" s="34"/>
      <c r="AX28" s="68">
        <f t="shared" si="0"/>
        <v>0</v>
      </c>
    </row>
    <row r="29" spans="2:50" x14ac:dyDescent="0.2">
      <c r="B29" s="10"/>
      <c r="C29" s="14">
        <v>37594</v>
      </c>
      <c r="D29" s="27" t="s">
        <v>9</v>
      </c>
      <c r="E29" s="34"/>
      <c r="F29" s="34"/>
      <c r="G29" s="34"/>
      <c r="H29" s="34"/>
      <c r="I29" s="34"/>
      <c r="J29" s="31"/>
      <c r="K29" s="31"/>
      <c r="L29" s="31">
        <v>0.73</v>
      </c>
      <c r="M29" s="34"/>
      <c r="N29" s="31"/>
      <c r="O29" s="31"/>
      <c r="P29" s="34"/>
      <c r="Q29" s="34"/>
      <c r="R29" s="34"/>
      <c r="S29" s="34">
        <v>0.03</v>
      </c>
      <c r="T29" s="45"/>
      <c r="U29" s="48"/>
      <c r="V29" s="34">
        <v>0.02</v>
      </c>
      <c r="W29" s="34"/>
      <c r="X29" s="34"/>
      <c r="Y29" s="34"/>
      <c r="Z29" s="34">
        <v>8.8000000000000007</v>
      </c>
      <c r="AA29" s="34"/>
      <c r="AB29" s="34"/>
      <c r="AC29" s="34">
        <v>438</v>
      </c>
      <c r="AD29" s="34"/>
      <c r="AE29" s="34"/>
      <c r="AF29" s="34"/>
      <c r="AG29" s="34"/>
      <c r="AH29" s="34">
        <v>2.5</v>
      </c>
      <c r="AI29" s="52">
        <v>5000</v>
      </c>
      <c r="AJ29" s="52">
        <v>3000</v>
      </c>
      <c r="AK29" s="34"/>
      <c r="AL29" s="45"/>
      <c r="AM29" s="31"/>
      <c r="AN29" s="34"/>
      <c r="AO29" s="45"/>
      <c r="AP29" s="34"/>
      <c r="AQ29" s="34"/>
      <c r="AR29" s="34"/>
      <c r="AS29" s="34"/>
      <c r="AT29" s="45"/>
      <c r="AU29" s="34"/>
      <c r="AV29" s="34"/>
      <c r="AW29" s="34"/>
      <c r="AX29" s="68" t="e">
        <f t="shared" si="0"/>
        <v>#DIV/0!</v>
      </c>
    </row>
    <row r="30" spans="2:50" x14ac:dyDescent="0.2">
      <c r="B30" s="9"/>
      <c r="C30" s="14">
        <v>37594</v>
      </c>
      <c r="D30" s="74" t="s">
        <v>10</v>
      </c>
      <c r="E30" s="34"/>
      <c r="F30" s="34"/>
      <c r="G30" s="34"/>
      <c r="H30" s="34"/>
      <c r="I30" s="34"/>
      <c r="J30" s="31"/>
      <c r="K30" s="31"/>
      <c r="L30" s="31">
        <v>0.95</v>
      </c>
      <c r="M30" s="34"/>
      <c r="N30" s="31"/>
      <c r="O30" s="31"/>
      <c r="P30" s="34"/>
      <c r="Q30" s="34"/>
      <c r="R30" s="34"/>
      <c r="S30" s="34">
        <v>0</v>
      </c>
      <c r="T30" s="45"/>
      <c r="U30" s="48"/>
      <c r="V30" s="34">
        <v>0.01</v>
      </c>
      <c r="W30" s="34"/>
      <c r="X30" s="34"/>
      <c r="Y30" s="34"/>
      <c r="Z30" s="34">
        <v>8.6</v>
      </c>
      <c r="AA30" s="34"/>
      <c r="AB30" s="34"/>
      <c r="AC30" s="34">
        <v>463</v>
      </c>
      <c r="AD30" s="34"/>
      <c r="AE30" s="34"/>
      <c r="AF30" s="34"/>
      <c r="AG30" s="34"/>
      <c r="AH30" s="34">
        <v>5.6</v>
      </c>
      <c r="AI30" s="52">
        <v>1300</v>
      </c>
      <c r="AJ30" s="52">
        <v>800</v>
      </c>
      <c r="AK30" s="34"/>
      <c r="AL30" s="45"/>
      <c r="AM30" s="31"/>
      <c r="AN30" s="34"/>
      <c r="AO30" s="45"/>
      <c r="AP30" s="34"/>
      <c r="AQ30" s="34"/>
      <c r="AR30" s="34"/>
      <c r="AS30" s="34"/>
      <c r="AT30" s="45"/>
      <c r="AU30" s="34"/>
      <c r="AV30" s="34"/>
      <c r="AW30" s="34"/>
      <c r="AX30" s="68" t="e">
        <f t="shared" si="0"/>
        <v>#DIV/0!</v>
      </c>
    </row>
    <row r="31" spans="2:50" x14ac:dyDescent="0.2">
      <c r="B31" s="8"/>
      <c r="C31" s="14">
        <v>37594</v>
      </c>
      <c r="D31" s="75" t="s">
        <v>11</v>
      </c>
      <c r="E31" s="34"/>
      <c r="F31" s="34"/>
      <c r="G31" s="34"/>
      <c r="H31" s="34"/>
      <c r="I31" s="34"/>
      <c r="J31" s="31"/>
      <c r="K31" s="31"/>
      <c r="L31" s="31">
        <v>0.55000000000000004</v>
      </c>
      <c r="M31" s="34"/>
      <c r="N31" s="31"/>
      <c r="O31" s="31"/>
      <c r="P31" s="34"/>
      <c r="Q31" s="34"/>
      <c r="R31" s="34"/>
      <c r="S31" s="34">
        <v>0.04</v>
      </c>
      <c r="T31" s="45"/>
      <c r="U31" s="48"/>
      <c r="V31" s="34">
        <v>0.03</v>
      </c>
      <c r="W31" s="34"/>
      <c r="X31" s="34"/>
      <c r="Y31" s="34"/>
      <c r="Z31" s="34">
        <v>8.6999999999999993</v>
      </c>
      <c r="AA31" s="34"/>
      <c r="AB31" s="34"/>
      <c r="AC31" s="34">
        <v>453</v>
      </c>
      <c r="AD31" s="34"/>
      <c r="AE31" s="34"/>
      <c r="AF31" s="34"/>
      <c r="AG31" s="34"/>
      <c r="AH31" s="34">
        <v>11</v>
      </c>
      <c r="AI31" s="52">
        <v>50000</v>
      </c>
      <c r="AJ31" s="52">
        <v>1700</v>
      </c>
      <c r="AK31" s="34"/>
      <c r="AL31" s="45"/>
      <c r="AM31" s="31"/>
      <c r="AN31" s="34"/>
      <c r="AO31" s="45"/>
      <c r="AP31" s="34"/>
      <c r="AQ31" s="34"/>
      <c r="AR31" s="34"/>
      <c r="AS31" s="34"/>
      <c r="AT31" s="45"/>
      <c r="AU31" s="34"/>
      <c r="AV31" s="34"/>
      <c r="AW31" s="34"/>
      <c r="AX31" s="68" t="e">
        <f t="shared" si="0"/>
        <v>#DIV/0!</v>
      </c>
    </row>
    <row r="32" spans="2:50" x14ac:dyDescent="0.2">
      <c r="B32" s="8"/>
      <c r="C32" s="14">
        <v>37594</v>
      </c>
      <c r="D32" s="76" t="s">
        <v>12</v>
      </c>
      <c r="E32" s="34"/>
      <c r="F32" s="34"/>
      <c r="G32" s="34"/>
      <c r="H32" s="34"/>
      <c r="I32" s="34"/>
      <c r="J32" s="31"/>
      <c r="K32" s="31"/>
      <c r="L32" s="31">
        <v>0.48</v>
      </c>
      <c r="M32" s="34"/>
      <c r="N32" s="31"/>
      <c r="O32" s="31"/>
      <c r="P32" s="34"/>
      <c r="Q32" s="34"/>
      <c r="R32" s="34"/>
      <c r="S32" s="34">
        <v>0.03</v>
      </c>
      <c r="T32" s="45"/>
      <c r="U32" s="48"/>
      <c r="V32" s="34">
        <v>0.01</v>
      </c>
      <c r="W32" s="34"/>
      <c r="X32" s="34"/>
      <c r="Y32" s="34"/>
      <c r="Z32" s="34">
        <v>8.6999999999999993</v>
      </c>
      <c r="AA32" s="34"/>
      <c r="AB32" s="34"/>
      <c r="AC32" s="34">
        <v>460</v>
      </c>
      <c r="AD32" s="34"/>
      <c r="AE32" s="34"/>
      <c r="AF32" s="34"/>
      <c r="AG32" s="34"/>
      <c r="AH32" s="34">
        <v>9.4</v>
      </c>
      <c r="AI32" s="52">
        <v>8000</v>
      </c>
      <c r="AJ32" s="52">
        <v>5000</v>
      </c>
      <c r="AK32" s="34"/>
      <c r="AL32" s="45"/>
      <c r="AM32" s="31"/>
      <c r="AN32" s="34"/>
      <c r="AO32" s="45"/>
      <c r="AP32" s="34"/>
      <c r="AQ32" s="34"/>
      <c r="AR32" s="34"/>
      <c r="AS32" s="34"/>
      <c r="AT32" s="45"/>
      <c r="AU32" s="34"/>
      <c r="AV32" s="34"/>
      <c r="AW32" s="34"/>
      <c r="AX32" s="68" t="e">
        <f t="shared" si="0"/>
        <v>#DIV/0!</v>
      </c>
    </row>
    <row r="33" spans="2:50" x14ac:dyDescent="0.2">
      <c r="B33" s="10">
        <v>2003</v>
      </c>
      <c r="C33" s="14">
        <v>37711</v>
      </c>
      <c r="D33" s="27" t="s">
        <v>9</v>
      </c>
      <c r="E33" s="34"/>
      <c r="F33" s="34"/>
      <c r="G33" s="34"/>
      <c r="H33" s="34"/>
      <c r="I33" s="34"/>
      <c r="J33" s="31"/>
      <c r="K33" s="31"/>
      <c r="L33" s="31">
        <v>0.5</v>
      </c>
      <c r="M33" s="34"/>
      <c r="N33" s="31"/>
      <c r="O33" s="31"/>
      <c r="P33" s="34"/>
      <c r="Q33" s="34"/>
      <c r="R33" s="34"/>
      <c r="S33" s="34">
        <v>0.09</v>
      </c>
      <c r="T33" s="45"/>
      <c r="U33" s="48"/>
      <c r="V33" s="34"/>
      <c r="W33" s="34"/>
      <c r="X33" s="34"/>
      <c r="Y33" s="34"/>
      <c r="Z33" s="34"/>
      <c r="AA33" s="34"/>
      <c r="AB33" s="34"/>
      <c r="AC33" s="34">
        <v>306</v>
      </c>
      <c r="AD33" s="34"/>
      <c r="AE33" s="34"/>
      <c r="AF33" s="34"/>
      <c r="AG33" s="34"/>
      <c r="AH33" s="34"/>
      <c r="AI33" s="52">
        <v>17000</v>
      </c>
      <c r="AJ33" s="52">
        <v>5000</v>
      </c>
      <c r="AK33" s="34"/>
      <c r="AL33" s="45"/>
      <c r="AM33" s="31"/>
      <c r="AN33" s="34"/>
      <c r="AO33" s="45"/>
      <c r="AP33" s="34"/>
      <c r="AQ33" s="34"/>
      <c r="AR33" s="34"/>
      <c r="AS33" s="34"/>
      <c r="AT33" s="45"/>
      <c r="AU33" s="34"/>
      <c r="AV33" s="34"/>
      <c r="AW33" s="34"/>
      <c r="AX33" s="68" t="e">
        <f t="shared" si="0"/>
        <v>#DIV/0!</v>
      </c>
    </row>
    <row r="34" spans="2:50" x14ac:dyDescent="0.2">
      <c r="B34" s="9"/>
      <c r="C34" s="18">
        <v>37711</v>
      </c>
      <c r="D34" s="74" t="s">
        <v>10</v>
      </c>
      <c r="E34" s="34"/>
      <c r="F34" s="34"/>
      <c r="G34" s="34"/>
      <c r="H34" s="34"/>
      <c r="I34" s="34"/>
      <c r="J34" s="31"/>
      <c r="K34" s="31"/>
      <c r="L34" s="31">
        <v>0.8</v>
      </c>
      <c r="M34" s="34"/>
      <c r="N34" s="31"/>
      <c r="O34" s="31"/>
      <c r="P34" s="34"/>
      <c r="Q34" s="34"/>
      <c r="R34" s="34"/>
      <c r="S34" s="34">
        <v>0.47</v>
      </c>
      <c r="T34" s="45"/>
      <c r="U34" s="48"/>
      <c r="V34" s="34"/>
      <c r="W34" s="34"/>
      <c r="X34" s="34"/>
      <c r="Y34" s="34"/>
      <c r="Z34" s="34"/>
      <c r="AA34" s="34"/>
      <c r="AB34" s="34"/>
      <c r="AC34" s="34">
        <v>305</v>
      </c>
      <c r="AD34" s="34"/>
      <c r="AE34" s="34"/>
      <c r="AF34" s="34"/>
      <c r="AG34" s="34"/>
      <c r="AH34" s="34"/>
      <c r="AI34" s="52">
        <v>7000</v>
      </c>
      <c r="AJ34" s="52">
        <v>2400</v>
      </c>
      <c r="AK34" s="34"/>
      <c r="AL34" s="45"/>
      <c r="AM34" s="31"/>
      <c r="AN34" s="34"/>
      <c r="AO34" s="45"/>
      <c r="AP34" s="34"/>
      <c r="AQ34" s="34"/>
      <c r="AR34" s="34"/>
      <c r="AS34" s="34"/>
      <c r="AT34" s="45"/>
      <c r="AU34" s="34"/>
      <c r="AV34" s="34"/>
      <c r="AW34" s="34"/>
      <c r="AX34" s="68" t="e">
        <f t="shared" si="0"/>
        <v>#DIV/0!</v>
      </c>
    </row>
    <row r="35" spans="2:50" x14ac:dyDescent="0.2">
      <c r="B35" s="8"/>
      <c r="C35" s="18">
        <v>37711</v>
      </c>
      <c r="D35" s="75" t="s">
        <v>11</v>
      </c>
      <c r="E35" s="34"/>
      <c r="F35" s="34"/>
      <c r="G35" s="34"/>
      <c r="H35" s="34"/>
      <c r="I35" s="34"/>
      <c r="J35" s="31"/>
      <c r="K35" s="31"/>
      <c r="L35" s="31"/>
      <c r="M35" s="34"/>
      <c r="N35" s="31"/>
      <c r="O35" s="31"/>
      <c r="P35" s="34"/>
      <c r="Q35" s="34"/>
      <c r="R35" s="34"/>
      <c r="S35" s="34"/>
      <c r="T35" s="45"/>
      <c r="U35" s="48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52"/>
      <c r="AJ35" s="52"/>
      <c r="AK35" s="34"/>
      <c r="AL35" s="45"/>
      <c r="AM35" s="31"/>
      <c r="AN35" s="34"/>
      <c r="AO35" s="45"/>
      <c r="AP35" s="34"/>
      <c r="AQ35" s="34"/>
      <c r="AR35" s="34"/>
      <c r="AS35" s="34"/>
      <c r="AT35" s="45"/>
      <c r="AU35" s="34"/>
      <c r="AV35" s="34"/>
      <c r="AW35" s="34"/>
      <c r="AX35" s="68" t="e">
        <f t="shared" si="0"/>
        <v>#DIV/0!</v>
      </c>
    </row>
    <row r="36" spans="2:50" x14ac:dyDescent="0.2">
      <c r="B36" s="8"/>
      <c r="C36" s="18">
        <v>37711</v>
      </c>
      <c r="D36" s="76" t="s">
        <v>12</v>
      </c>
      <c r="E36" s="34"/>
      <c r="F36" s="34"/>
      <c r="G36" s="34"/>
      <c r="H36" s="34"/>
      <c r="I36" s="34"/>
      <c r="J36" s="31"/>
      <c r="K36" s="31"/>
      <c r="L36" s="31"/>
      <c r="M36" s="34"/>
      <c r="N36" s="31"/>
      <c r="O36" s="31"/>
      <c r="P36" s="34"/>
      <c r="Q36" s="34"/>
      <c r="R36" s="34"/>
      <c r="S36" s="34"/>
      <c r="T36" s="45"/>
      <c r="U36" s="48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52"/>
      <c r="AJ36" s="52"/>
      <c r="AK36" s="34"/>
      <c r="AL36" s="45"/>
      <c r="AM36" s="31"/>
      <c r="AN36" s="34"/>
      <c r="AO36" s="45"/>
      <c r="AP36" s="34"/>
      <c r="AQ36" s="34"/>
      <c r="AR36" s="34"/>
      <c r="AS36" s="34"/>
      <c r="AT36" s="45"/>
      <c r="AU36" s="34"/>
      <c r="AV36" s="34"/>
      <c r="AW36" s="34"/>
      <c r="AX36" s="68" t="e">
        <f t="shared" si="0"/>
        <v>#DIV/0!</v>
      </c>
    </row>
    <row r="37" spans="2:50" x14ac:dyDescent="0.2">
      <c r="B37" s="10"/>
      <c r="C37" s="18">
        <v>37739</v>
      </c>
      <c r="D37" s="27" t="s">
        <v>9</v>
      </c>
      <c r="E37" s="34"/>
      <c r="F37" s="34"/>
      <c r="G37" s="34"/>
      <c r="H37" s="34"/>
      <c r="I37" s="34"/>
      <c r="J37" s="31"/>
      <c r="K37" s="31"/>
      <c r="L37" s="31"/>
      <c r="M37" s="34"/>
      <c r="N37" s="31"/>
      <c r="O37" s="31"/>
      <c r="P37" s="34"/>
      <c r="Q37" s="34"/>
      <c r="R37" s="34"/>
      <c r="S37" s="34"/>
      <c r="T37" s="45"/>
      <c r="U37" s="48"/>
      <c r="V37" s="34"/>
      <c r="W37" s="34"/>
      <c r="X37" s="34"/>
      <c r="Y37" s="34"/>
      <c r="Z37" s="34"/>
      <c r="AA37" s="34"/>
      <c r="AB37" s="34"/>
      <c r="AC37" s="34">
        <v>813</v>
      </c>
      <c r="AD37" s="34"/>
      <c r="AE37" s="34"/>
      <c r="AF37" s="34"/>
      <c r="AG37" s="34"/>
      <c r="AH37" s="34"/>
      <c r="AI37" s="52">
        <v>90000</v>
      </c>
      <c r="AJ37" s="52">
        <v>30000</v>
      </c>
      <c r="AK37" s="34"/>
      <c r="AL37" s="45"/>
      <c r="AM37" s="31"/>
      <c r="AN37" s="34"/>
      <c r="AO37" s="45"/>
      <c r="AP37" s="34"/>
      <c r="AQ37" s="34"/>
      <c r="AR37" s="34"/>
      <c r="AS37" s="34"/>
      <c r="AT37" s="45"/>
      <c r="AU37" s="34"/>
      <c r="AV37" s="34"/>
      <c r="AW37" s="34"/>
      <c r="AX37" s="68" t="e">
        <f t="shared" si="0"/>
        <v>#DIV/0!</v>
      </c>
    </row>
    <row r="38" spans="2:50" x14ac:dyDescent="0.2">
      <c r="B38" s="9"/>
      <c r="C38" s="18">
        <v>37739</v>
      </c>
      <c r="D38" s="74" t="s">
        <v>10</v>
      </c>
      <c r="E38" s="34"/>
      <c r="F38" s="34"/>
      <c r="G38" s="34"/>
      <c r="H38" s="34"/>
      <c r="I38" s="34"/>
      <c r="J38" s="31"/>
      <c r="K38" s="31"/>
      <c r="L38" s="31"/>
      <c r="M38" s="34"/>
      <c r="N38" s="31"/>
      <c r="O38" s="31"/>
      <c r="P38" s="34"/>
      <c r="Q38" s="34"/>
      <c r="R38" s="34"/>
      <c r="S38" s="34"/>
      <c r="T38" s="45"/>
      <c r="U38" s="48"/>
      <c r="V38" s="34"/>
      <c r="W38" s="34"/>
      <c r="X38" s="34"/>
      <c r="Y38" s="34"/>
      <c r="Z38" s="34"/>
      <c r="AA38" s="34"/>
      <c r="AB38" s="34"/>
      <c r="AC38" s="34">
        <v>977</v>
      </c>
      <c r="AD38" s="34"/>
      <c r="AE38" s="34"/>
      <c r="AF38" s="34"/>
      <c r="AG38" s="34"/>
      <c r="AH38" s="34"/>
      <c r="AI38" s="52">
        <v>130000</v>
      </c>
      <c r="AJ38" s="52">
        <v>30000</v>
      </c>
      <c r="AK38" s="34"/>
      <c r="AL38" s="45"/>
      <c r="AM38" s="31"/>
      <c r="AN38" s="34"/>
      <c r="AO38" s="45"/>
      <c r="AP38" s="34"/>
      <c r="AQ38" s="34"/>
      <c r="AR38" s="34"/>
      <c r="AS38" s="34"/>
      <c r="AT38" s="45"/>
      <c r="AU38" s="34"/>
      <c r="AV38" s="34"/>
      <c r="AW38" s="34"/>
      <c r="AX38" s="68" t="e">
        <f t="shared" si="0"/>
        <v>#DIV/0!</v>
      </c>
    </row>
    <row r="39" spans="2:50" x14ac:dyDescent="0.2">
      <c r="B39" s="8"/>
      <c r="C39" s="18">
        <v>37739</v>
      </c>
      <c r="D39" s="75" t="s">
        <v>11</v>
      </c>
      <c r="E39" s="34"/>
      <c r="F39" s="34"/>
      <c r="G39" s="34"/>
      <c r="H39" s="34"/>
      <c r="I39" s="34"/>
      <c r="J39" s="31"/>
      <c r="K39" s="31"/>
      <c r="L39" s="31"/>
      <c r="M39" s="34"/>
      <c r="N39" s="31"/>
      <c r="O39" s="31"/>
      <c r="P39" s="34"/>
      <c r="Q39" s="34"/>
      <c r="R39" s="34"/>
      <c r="S39" s="34"/>
      <c r="T39" s="45"/>
      <c r="U39" s="48"/>
      <c r="V39" s="34"/>
      <c r="W39" s="34"/>
      <c r="X39" s="34"/>
      <c r="Y39" s="34"/>
      <c r="Z39" s="34"/>
      <c r="AA39" s="34"/>
      <c r="AB39" s="34"/>
      <c r="AC39" s="34">
        <v>794</v>
      </c>
      <c r="AD39" s="34"/>
      <c r="AE39" s="34"/>
      <c r="AF39" s="34"/>
      <c r="AG39" s="34"/>
      <c r="AH39" s="34"/>
      <c r="AI39" s="52">
        <v>30000</v>
      </c>
      <c r="AJ39" s="52">
        <v>30000</v>
      </c>
      <c r="AK39" s="34"/>
      <c r="AL39" s="45"/>
      <c r="AM39" s="31"/>
      <c r="AN39" s="34"/>
      <c r="AO39" s="45"/>
      <c r="AP39" s="34"/>
      <c r="AQ39" s="34"/>
      <c r="AR39" s="34"/>
      <c r="AS39" s="34"/>
      <c r="AT39" s="45"/>
      <c r="AU39" s="34"/>
      <c r="AV39" s="34"/>
      <c r="AW39" s="34"/>
      <c r="AX39" s="68" t="e">
        <f t="shared" si="0"/>
        <v>#DIV/0!</v>
      </c>
    </row>
    <row r="40" spans="2:50" x14ac:dyDescent="0.2">
      <c r="B40" s="8"/>
      <c r="C40" s="19">
        <v>37739</v>
      </c>
      <c r="D40" s="76" t="s">
        <v>12</v>
      </c>
      <c r="E40" s="34"/>
      <c r="F40" s="34"/>
      <c r="G40" s="34"/>
      <c r="H40" s="34"/>
      <c r="I40" s="34"/>
      <c r="J40" s="31"/>
      <c r="K40" s="31"/>
      <c r="L40" s="31"/>
      <c r="M40" s="34"/>
      <c r="N40" s="31"/>
      <c r="O40" s="31"/>
      <c r="P40" s="34"/>
      <c r="Q40" s="34"/>
      <c r="R40" s="34"/>
      <c r="S40" s="34"/>
      <c r="T40" s="45"/>
      <c r="U40" s="48"/>
      <c r="V40" s="34"/>
      <c r="W40" s="34"/>
      <c r="X40" s="34"/>
      <c r="Y40" s="34"/>
      <c r="Z40" s="34"/>
      <c r="AA40" s="34"/>
      <c r="AB40" s="34"/>
      <c r="AC40" s="34">
        <v>1084</v>
      </c>
      <c r="AD40" s="34"/>
      <c r="AE40" s="34"/>
      <c r="AF40" s="34"/>
      <c r="AG40" s="34"/>
      <c r="AH40" s="34"/>
      <c r="AI40" s="58">
        <v>80000</v>
      </c>
      <c r="AJ40" s="58">
        <v>8000</v>
      </c>
      <c r="AK40" s="34"/>
      <c r="AL40" s="45"/>
      <c r="AM40" s="31"/>
      <c r="AN40" s="34"/>
      <c r="AO40" s="45"/>
      <c r="AP40" s="34"/>
      <c r="AQ40" s="34"/>
      <c r="AR40" s="34"/>
      <c r="AS40" s="34"/>
      <c r="AT40" s="45"/>
      <c r="AU40" s="34"/>
      <c r="AV40" s="34"/>
      <c r="AW40" s="34"/>
      <c r="AX40" s="68" t="e">
        <f t="shared" si="0"/>
        <v>#DIV/0!</v>
      </c>
    </row>
    <row r="41" spans="2:50" x14ac:dyDescent="0.2">
      <c r="B41" s="10"/>
      <c r="C41" s="19">
        <v>37825</v>
      </c>
      <c r="D41" s="27" t="s">
        <v>9</v>
      </c>
      <c r="E41" s="34"/>
      <c r="F41" s="34"/>
      <c r="G41" s="34"/>
      <c r="H41" s="34"/>
      <c r="I41" s="34"/>
      <c r="J41" s="31"/>
      <c r="K41" s="31"/>
      <c r="L41" s="31">
        <v>0.75</v>
      </c>
      <c r="M41" s="34"/>
      <c r="N41" s="31"/>
      <c r="O41" s="31"/>
      <c r="P41" s="34"/>
      <c r="Q41" s="34"/>
      <c r="R41" s="34"/>
      <c r="S41" s="34">
        <v>0.05</v>
      </c>
      <c r="T41" s="45"/>
      <c r="U41" s="48"/>
      <c r="V41" s="34"/>
      <c r="W41" s="34"/>
      <c r="X41" s="34"/>
      <c r="Y41" s="34"/>
      <c r="Z41" s="34"/>
      <c r="AA41" s="34"/>
      <c r="AB41" s="34">
        <v>0</v>
      </c>
      <c r="AC41" s="34">
        <v>338</v>
      </c>
      <c r="AD41" s="34"/>
      <c r="AE41" s="34"/>
      <c r="AF41" s="34"/>
      <c r="AG41" s="34"/>
      <c r="AH41" s="34"/>
      <c r="AI41" s="52">
        <v>3000</v>
      </c>
      <c r="AJ41" s="52">
        <v>1300</v>
      </c>
      <c r="AK41" s="34"/>
      <c r="AL41" s="45"/>
      <c r="AM41" s="31"/>
      <c r="AN41" s="34"/>
      <c r="AO41" s="45"/>
      <c r="AP41" s="34"/>
      <c r="AQ41" s="34"/>
      <c r="AR41" s="34"/>
      <c r="AS41" s="34"/>
      <c r="AT41" s="45"/>
      <c r="AU41" s="34"/>
      <c r="AV41" s="34"/>
      <c r="AW41" s="34"/>
      <c r="AX41" s="68" t="e">
        <f t="shared" si="0"/>
        <v>#DIV/0!</v>
      </c>
    </row>
    <row r="42" spans="2:50" x14ac:dyDescent="0.2">
      <c r="B42" s="9"/>
      <c r="C42" s="19">
        <v>37825</v>
      </c>
      <c r="D42" s="74" t="s">
        <v>10</v>
      </c>
      <c r="E42" s="34"/>
      <c r="F42" s="34"/>
      <c r="G42" s="34"/>
      <c r="H42" s="34"/>
      <c r="I42" s="34"/>
      <c r="J42" s="31"/>
      <c r="K42" s="31"/>
      <c r="L42" s="31">
        <v>0.75</v>
      </c>
      <c r="M42" s="34"/>
      <c r="N42" s="31"/>
      <c r="O42" s="31"/>
      <c r="P42" s="34"/>
      <c r="Q42" s="34"/>
      <c r="R42" s="34"/>
      <c r="S42" s="34">
        <v>0.06</v>
      </c>
      <c r="T42" s="45"/>
      <c r="U42" s="48"/>
      <c r="V42" s="34"/>
      <c r="W42" s="34"/>
      <c r="X42" s="34"/>
      <c r="Y42" s="34"/>
      <c r="Z42" s="34"/>
      <c r="AA42" s="34"/>
      <c r="AB42" s="34">
        <v>0</v>
      </c>
      <c r="AC42" s="34">
        <v>364</v>
      </c>
      <c r="AD42" s="34"/>
      <c r="AE42" s="34"/>
      <c r="AF42" s="34"/>
      <c r="AG42" s="34"/>
      <c r="AH42" s="34"/>
      <c r="AI42" s="52">
        <v>50000</v>
      </c>
      <c r="AJ42" s="52">
        <v>1100</v>
      </c>
      <c r="AK42" s="34"/>
      <c r="AL42" s="45"/>
      <c r="AM42" s="31"/>
      <c r="AN42" s="34"/>
      <c r="AO42" s="45"/>
      <c r="AP42" s="34"/>
      <c r="AQ42" s="34"/>
      <c r="AR42" s="34"/>
      <c r="AS42" s="34"/>
      <c r="AT42" s="45"/>
      <c r="AU42" s="34"/>
      <c r="AV42" s="34"/>
      <c r="AW42" s="34"/>
      <c r="AX42" s="68" t="e">
        <f t="shared" si="0"/>
        <v>#DIV/0!</v>
      </c>
    </row>
    <row r="43" spans="2:50" x14ac:dyDescent="0.2">
      <c r="B43" s="8"/>
      <c r="C43" s="19">
        <v>37825</v>
      </c>
      <c r="D43" s="75" t="s">
        <v>11</v>
      </c>
      <c r="E43" s="34"/>
      <c r="F43" s="34"/>
      <c r="G43" s="34"/>
      <c r="H43" s="34"/>
      <c r="I43" s="34"/>
      <c r="J43" s="31"/>
      <c r="K43" s="31"/>
      <c r="L43" s="31">
        <v>0.88</v>
      </c>
      <c r="M43" s="34"/>
      <c r="N43" s="31"/>
      <c r="O43" s="31"/>
      <c r="P43" s="34"/>
      <c r="Q43" s="34"/>
      <c r="R43" s="34"/>
      <c r="S43" s="34"/>
      <c r="T43" s="45"/>
      <c r="U43" s="48"/>
      <c r="V43" s="34"/>
      <c r="W43" s="34"/>
      <c r="X43" s="34"/>
      <c r="Y43" s="34"/>
      <c r="Z43" s="34"/>
      <c r="AA43" s="34"/>
      <c r="AB43" s="34">
        <v>0</v>
      </c>
      <c r="AC43" s="34">
        <v>341</v>
      </c>
      <c r="AD43" s="34"/>
      <c r="AE43" s="34"/>
      <c r="AF43" s="34"/>
      <c r="AG43" s="34"/>
      <c r="AH43" s="34"/>
      <c r="AI43" s="52">
        <v>5000</v>
      </c>
      <c r="AJ43" s="52">
        <v>1100</v>
      </c>
      <c r="AK43" s="34"/>
      <c r="AL43" s="45"/>
      <c r="AM43" s="31"/>
      <c r="AN43" s="34"/>
      <c r="AO43" s="45"/>
      <c r="AP43" s="34"/>
      <c r="AQ43" s="34"/>
      <c r="AR43" s="34"/>
      <c r="AS43" s="34"/>
      <c r="AT43" s="45"/>
      <c r="AU43" s="34"/>
      <c r="AV43" s="34"/>
      <c r="AW43" s="34"/>
      <c r="AX43" s="68" t="e">
        <f t="shared" si="0"/>
        <v>#DIV/0!</v>
      </c>
    </row>
    <row r="44" spans="2:50" x14ac:dyDescent="0.2">
      <c r="B44" s="8"/>
      <c r="C44" s="19">
        <v>37825</v>
      </c>
      <c r="D44" s="76" t="s">
        <v>12</v>
      </c>
      <c r="E44" s="34"/>
      <c r="F44" s="34"/>
      <c r="G44" s="34"/>
      <c r="H44" s="34"/>
      <c r="I44" s="34"/>
      <c r="J44" s="31"/>
      <c r="K44" s="31"/>
      <c r="L44" s="31">
        <v>1.1000000000000001</v>
      </c>
      <c r="M44" s="34"/>
      <c r="N44" s="31"/>
      <c r="O44" s="31"/>
      <c r="P44" s="34"/>
      <c r="Q44" s="34"/>
      <c r="R44" s="34"/>
      <c r="S44" s="34"/>
      <c r="T44" s="45"/>
      <c r="U44" s="48"/>
      <c r="V44" s="34"/>
      <c r="W44" s="34"/>
      <c r="X44" s="34"/>
      <c r="Y44" s="34"/>
      <c r="Z44" s="34"/>
      <c r="AA44" s="34"/>
      <c r="AB44" s="34">
        <v>22</v>
      </c>
      <c r="AC44" s="34">
        <v>329</v>
      </c>
      <c r="AD44" s="34"/>
      <c r="AE44" s="34"/>
      <c r="AF44" s="34"/>
      <c r="AG44" s="34"/>
      <c r="AH44" s="34"/>
      <c r="AI44" s="52">
        <v>5000</v>
      </c>
      <c r="AJ44" s="52">
        <v>300</v>
      </c>
      <c r="AK44" s="34"/>
      <c r="AL44" s="45"/>
      <c r="AM44" s="31"/>
      <c r="AN44" s="34"/>
      <c r="AO44" s="45"/>
      <c r="AP44" s="34"/>
      <c r="AQ44" s="34"/>
      <c r="AR44" s="34"/>
      <c r="AS44" s="34"/>
      <c r="AT44" s="45"/>
      <c r="AU44" s="34"/>
      <c r="AV44" s="34"/>
      <c r="AW44" s="34"/>
      <c r="AX44" s="68" t="e">
        <f t="shared" si="0"/>
        <v>#DIV/0!</v>
      </c>
    </row>
    <row r="45" spans="2:50" x14ac:dyDescent="0.2">
      <c r="B45" s="10"/>
      <c r="C45" s="20">
        <v>37888</v>
      </c>
      <c r="D45" s="27" t="s">
        <v>9</v>
      </c>
      <c r="E45" s="34"/>
      <c r="F45" s="34"/>
      <c r="G45" s="34"/>
      <c r="H45" s="34"/>
      <c r="I45" s="34"/>
      <c r="J45" s="31"/>
      <c r="K45" s="31"/>
      <c r="L45" s="31">
        <v>1.4</v>
      </c>
      <c r="M45" s="34">
        <v>23.7</v>
      </c>
      <c r="N45" s="31"/>
      <c r="O45" s="31"/>
      <c r="P45" s="34"/>
      <c r="Q45" s="34"/>
      <c r="R45" s="34"/>
      <c r="S45" s="34">
        <v>7.0000000000000007E-2</v>
      </c>
      <c r="T45" s="45"/>
      <c r="U45" s="48"/>
      <c r="V45" s="34"/>
      <c r="W45" s="34"/>
      <c r="X45" s="34"/>
      <c r="Y45" s="34"/>
      <c r="Z45" s="34"/>
      <c r="AA45" s="34"/>
      <c r="AB45" s="34"/>
      <c r="AC45" s="34">
        <v>449</v>
      </c>
      <c r="AD45" s="34"/>
      <c r="AE45" s="34"/>
      <c r="AF45" s="34"/>
      <c r="AG45" s="34"/>
      <c r="AH45" s="34"/>
      <c r="AI45" s="52">
        <v>5000</v>
      </c>
      <c r="AJ45" s="58">
        <v>1300</v>
      </c>
      <c r="AK45" s="34"/>
      <c r="AL45" s="45"/>
      <c r="AM45" s="45">
        <v>0.5</v>
      </c>
      <c r="AN45" s="34"/>
      <c r="AO45" s="45">
        <v>2</v>
      </c>
      <c r="AP45" s="34"/>
      <c r="AQ45" s="34">
        <f>6.9/1000</f>
        <v>6.9000000000000008E-3</v>
      </c>
      <c r="AR45" s="34"/>
      <c r="AS45" s="34"/>
      <c r="AT45" s="45">
        <v>25.4</v>
      </c>
      <c r="AU45" s="34"/>
      <c r="AV45" s="34"/>
      <c r="AW45" s="34"/>
      <c r="AX45" s="68">
        <f t="shared" si="0"/>
        <v>5.9071729957805907E-2</v>
      </c>
    </row>
    <row r="46" spans="2:50" x14ac:dyDescent="0.2">
      <c r="B46" s="9"/>
      <c r="C46" s="20">
        <v>37888</v>
      </c>
      <c r="D46" s="74" t="s">
        <v>10</v>
      </c>
      <c r="E46" s="34"/>
      <c r="F46" s="34"/>
      <c r="G46" s="34"/>
      <c r="H46" s="34"/>
      <c r="I46" s="34"/>
      <c r="J46" s="31"/>
      <c r="K46" s="31"/>
      <c r="L46" s="31">
        <v>1</v>
      </c>
      <c r="M46" s="34">
        <v>21.8</v>
      </c>
      <c r="N46" s="31"/>
      <c r="O46" s="31"/>
      <c r="P46" s="34"/>
      <c r="Q46" s="34"/>
      <c r="R46" s="34"/>
      <c r="S46" s="34">
        <v>0.08</v>
      </c>
      <c r="T46" s="45"/>
      <c r="U46" s="48"/>
      <c r="V46" s="34"/>
      <c r="W46" s="34"/>
      <c r="X46" s="34"/>
      <c r="Y46" s="34"/>
      <c r="Z46" s="34"/>
      <c r="AA46" s="34"/>
      <c r="AB46" s="34"/>
      <c r="AC46" s="34">
        <v>469</v>
      </c>
      <c r="AD46" s="34"/>
      <c r="AE46" s="34"/>
      <c r="AF46" s="34"/>
      <c r="AG46" s="34"/>
      <c r="AH46" s="34"/>
      <c r="AI46" s="58">
        <v>11000</v>
      </c>
      <c r="AJ46" s="52">
        <v>800</v>
      </c>
      <c r="AK46" s="34"/>
      <c r="AL46" s="45"/>
      <c r="AM46" s="45">
        <v>0.5</v>
      </c>
      <c r="AN46" s="34"/>
      <c r="AO46" s="45">
        <v>2.5</v>
      </c>
      <c r="AP46" s="34"/>
      <c r="AQ46" s="34">
        <f>373.6/1000</f>
        <v>0.37360000000000004</v>
      </c>
      <c r="AR46" s="34"/>
      <c r="AS46" s="34"/>
      <c r="AT46" s="45">
        <v>38</v>
      </c>
      <c r="AU46" s="34"/>
      <c r="AV46" s="34"/>
      <c r="AW46" s="34"/>
      <c r="AX46" s="68">
        <f t="shared" si="0"/>
        <v>4.5871559633027519E-2</v>
      </c>
    </row>
    <row r="47" spans="2:50" x14ac:dyDescent="0.2">
      <c r="B47" s="8"/>
      <c r="C47" s="20">
        <v>37888</v>
      </c>
      <c r="D47" s="75" t="s">
        <v>11</v>
      </c>
      <c r="E47" s="34"/>
      <c r="F47" s="34"/>
      <c r="G47" s="34"/>
      <c r="H47" s="34"/>
      <c r="I47" s="34"/>
      <c r="J47" s="31"/>
      <c r="K47" s="31"/>
      <c r="L47" s="31">
        <v>1.5</v>
      </c>
      <c r="M47" s="34">
        <v>27.7</v>
      </c>
      <c r="N47" s="31"/>
      <c r="O47" s="31"/>
      <c r="P47" s="34"/>
      <c r="Q47" s="34"/>
      <c r="R47" s="34"/>
      <c r="S47" s="34">
        <v>0.05</v>
      </c>
      <c r="T47" s="45"/>
      <c r="U47" s="48"/>
      <c r="V47" s="34"/>
      <c r="W47" s="34"/>
      <c r="X47" s="34"/>
      <c r="Y47" s="34"/>
      <c r="Z47" s="34"/>
      <c r="AA47" s="34"/>
      <c r="AB47" s="34"/>
      <c r="AC47" s="34">
        <v>426</v>
      </c>
      <c r="AD47" s="34"/>
      <c r="AE47" s="34"/>
      <c r="AF47" s="34"/>
      <c r="AG47" s="34"/>
      <c r="AH47" s="34"/>
      <c r="AI47" s="52">
        <v>2200</v>
      </c>
      <c r="AJ47" s="52">
        <v>800</v>
      </c>
      <c r="AK47" s="34"/>
      <c r="AL47" s="45"/>
      <c r="AM47" s="31">
        <v>1.2</v>
      </c>
      <c r="AN47" s="34"/>
      <c r="AO47" s="45">
        <v>6.1</v>
      </c>
      <c r="AP47" s="34"/>
      <c r="AQ47" s="34">
        <f>16.9/1000</f>
        <v>1.6899999999999998E-2</v>
      </c>
      <c r="AR47" s="34"/>
      <c r="AS47" s="34"/>
      <c r="AT47" s="45">
        <v>343.2</v>
      </c>
      <c r="AU47" s="34"/>
      <c r="AV47" s="34"/>
      <c r="AW47" s="34"/>
      <c r="AX47" s="68">
        <f t="shared" si="0"/>
        <v>5.4151624548736461E-2</v>
      </c>
    </row>
    <row r="48" spans="2:50" x14ac:dyDescent="0.2">
      <c r="B48" s="8"/>
      <c r="C48" s="20">
        <v>37888</v>
      </c>
      <c r="D48" s="76" t="s">
        <v>12</v>
      </c>
      <c r="E48" s="34"/>
      <c r="F48" s="34"/>
      <c r="G48" s="34"/>
      <c r="H48" s="34"/>
      <c r="I48" s="34"/>
      <c r="J48" s="31"/>
      <c r="K48" s="31"/>
      <c r="L48" s="31">
        <v>1</v>
      </c>
      <c r="M48" s="34">
        <v>19.8</v>
      </c>
      <c r="N48" s="31"/>
      <c r="O48" s="31"/>
      <c r="P48" s="34"/>
      <c r="Q48" s="34"/>
      <c r="R48" s="34"/>
      <c r="S48" s="34">
        <v>0.04</v>
      </c>
      <c r="T48" s="45"/>
      <c r="U48" s="48"/>
      <c r="V48" s="34"/>
      <c r="W48" s="34"/>
      <c r="X48" s="34"/>
      <c r="Y48" s="34"/>
      <c r="Z48" s="34"/>
      <c r="AA48" s="34"/>
      <c r="AB48" s="34"/>
      <c r="AC48" s="34">
        <v>459</v>
      </c>
      <c r="AD48" s="34"/>
      <c r="AE48" s="34"/>
      <c r="AF48" s="34"/>
      <c r="AG48" s="34"/>
      <c r="AH48" s="34"/>
      <c r="AI48" s="52">
        <v>2800</v>
      </c>
      <c r="AJ48" s="52">
        <v>230</v>
      </c>
      <c r="AK48" s="34"/>
      <c r="AL48" s="45"/>
      <c r="AM48" s="45">
        <v>0.5</v>
      </c>
      <c r="AN48" s="34"/>
      <c r="AO48" s="45">
        <v>8.6</v>
      </c>
      <c r="AP48" s="34"/>
      <c r="AQ48" s="34">
        <f>13.5/1000</f>
        <v>1.35E-2</v>
      </c>
      <c r="AR48" s="34"/>
      <c r="AS48" s="34"/>
      <c r="AT48" s="45">
        <v>257.39999999999998</v>
      </c>
      <c r="AU48" s="34"/>
      <c r="AV48" s="34"/>
      <c r="AW48" s="34"/>
      <c r="AX48" s="68">
        <f t="shared" si="0"/>
        <v>5.0505050505050504E-2</v>
      </c>
    </row>
    <row r="49" spans="2:50" x14ac:dyDescent="0.2">
      <c r="B49" s="10"/>
      <c r="C49" s="19">
        <v>37963</v>
      </c>
      <c r="D49" s="27" t="s">
        <v>9</v>
      </c>
      <c r="E49" s="34"/>
      <c r="F49" s="34"/>
      <c r="G49" s="34"/>
      <c r="H49" s="34"/>
      <c r="I49" s="34"/>
      <c r="J49" s="31"/>
      <c r="K49" s="31"/>
      <c r="L49" s="31">
        <v>1.1000000000000001</v>
      </c>
      <c r="M49" s="34">
        <v>5.9</v>
      </c>
      <c r="N49" s="31"/>
      <c r="O49" s="31"/>
      <c r="P49" s="34"/>
      <c r="Q49" s="34"/>
      <c r="R49" s="34"/>
      <c r="S49" s="34">
        <v>0.04</v>
      </c>
      <c r="T49" s="45"/>
      <c r="U49" s="48"/>
      <c r="V49" s="34"/>
      <c r="W49" s="34"/>
      <c r="X49" s="34"/>
      <c r="Y49" s="34"/>
      <c r="Z49" s="34"/>
      <c r="AA49" s="34"/>
      <c r="AB49" s="34"/>
      <c r="AC49" s="34">
        <v>396</v>
      </c>
      <c r="AD49" s="34"/>
      <c r="AE49" s="34"/>
      <c r="AF49" s="34"/>
      <c r="AG49" s="34"/>
      <c r="AH49" s="34"/>
      <c r="AI49" s="52">
        <v>5000</v>
      </c>
      <c r="AJ49" s="52">
        <v>1100</v>
      </c>
      <c r="AK49" s="34"/>
      <c r="AL49" s="45"/>
      <c r="AM49" s="45">
        <v>0.5</v>
      </c>
      <c r="AN49" s="34"/>
      <c r="AO49" s="45">
        <v>5.7</v>
      </c>
      <c r="AP49" s="34"/>
      <c r="AQ49" s="34">
        <f>71.5/1000</f>
        <v>7.1499999999999994E-2</v>
      </c>
      <c r="AR49" s="34"/>
      <c r="AS49" s="34"/>
      <c r="AT49" s="45">
        <v>10</v>
      </c>
      <c r="AU49" s="34"/>
      <c r="AV49" s="34"/>
      <c r="AW49" s="34"/>
      <c r="AX49" s="68">
        <f t="shared" si="0"/>
        <v>0.1864406779661017</v>
      </c>
    </row>
    <row r="50" spans="2:50" x14ac:dyDescent="0.2">
      <c r="B50" s="9"/>
      <c r="C50" s="19">
        <v>37963</v>
      </c>
      <c r="D50" s="74" t="s">
        <v>10</v>
      </c>
      <c r="E50" s="34"/>
      <c r="F50" s="34"/>
      <c r="G50" s="34"/>
      <c r="H50" s="34"/>
      <c r="I50" s="34"/>
      <c r="J50" s="31"/>
      <c r="K50" s="31"/>
      <c r="L50" s="31">
        <v>0.9</v>
      </c>
      <c r="M50" s="34">
        <v>5.9</v>
      </c>
      <c r="N50" s="31"/>
      <c r="O50" s="31"/>
      <c r="P50" s="34"/>
      <c r="Q50" s="34"/>
      <c r="R50" s="34"/>
      <c r="S50" s="34">
        <v>0.04</v>
      </c>
      <c r="T50" s="45"/>
      <c r="U50" s="48"/>
      <c r="V50" s="34"/>
      <c r="W50" s="34"/>
      <c r="X50" s="34"/>
      <c r="Y50" s="34"/>
      <c r="Z50" s="34"/>
      <c r="AA50" s="34"/>
      <c r="AB50" s="34"/>
      <c r="AC50" s="34">
        <v>408</v>
      </c>
      <c r="AD50" s="34"/>
      <c r="AE50" s="34"/>
      <c r="AF50" s="34"/>
      <c r="AG50" s="34"/>
      <c r="AH50" s="34"/>
      <c r="AI50" s="52">
        <v>3000</v>
      </c>
      <c r="AJ50" s="52">
        <v>1700</v>
      </c>
      <c r="AK50" s="34"/>
      <c r="AL50" s="45"/>
      <c r="AM50" s="45">
        <v>0.5</v>
      </c>
      <c r="AN50" s="34"/>
      <c r="AO50" s="45">
        <v>11</v>
      </c>
      <c r="AP50" s="34"/>
      <c r="AQ50" s="34">
        <f>115.4/1000</f>
        <v>0.1154</v>
      </c>
      <c r="AR50" s="34"/>
      <c r="AS50" s="34"/>
      <c r="AT50" s="45">
        <v>10</v>
      </c>
      <c r="AU50" s="34"/>
      <c r="AV50" s="34"/>
      <c r="AW50" s="34"/>
      <c r="AX50" s="68">
        <f t="shared" si="0"/>
        <v>0.15254237288135591</v>
      </c>
    </row>
    <row r="51" spans="2:50" x14ac:dyDescent="0.2">
      <c r="B51" s="8"/>
      <c r="C51" s="19">
        <v>37963</v>
      </c>
      <c r="D51" s="75" t="s">
        <v>11</v>
      </c>
      <c r="E51" s="34"/>
      <c r="F51" s="34"/>
      <c r="G51" s="34"/>
      <c r="H51" s="34"/>
      <c r="I51" s="34"/>
      <c r="J51" s="31"/>
      <c r="K51" s="31"/>
      <c r="L51" s="31">
        <v>0.9</v>
      </c>
      <c r="M51" s="34">
        <v>3.7</v>
      </c>
      <c r="N51" s="31"/>
      <c r="O51" s="31"/>
      <c r="P51" s="34"/>
      <c r="Q51" s="34"/>
      <c r="R51" s="34"/>
      <c r="S51" s="34">
        <v>0.05</v>
      </c>
      <c r="T51" s="45"/>
      <c r="U51" s="48"/>
      <c r="V51" s="34"/>
      <c r="W51" s="34"/>
      <c r="X51" s="34"/>
      <c r="Y51" s="34"/>
      <c r="Z51" s="34"/>
      <c r="AA51" s="34"/>
      <c r="AB51" s="34"/>
      <c r="AC51" s="34">
        <v>426</v>
      </c>
      <c r="AD51" s="34"/>
      <c r="AE51" s="34"/>
      <c r="AF51" s="34"/>
      <c r="AG51" s="34"/>
      <c r="AH51" s="34"/>
      <c r="AI51" s="52">
        <v>2400</v>
      </c>
      <c r="AJ51" s="52">
        <v>1300</v>
      </c>
      <c r="AK51" s="34"/>
      <c r="AL51" s="45"/>
      <c r="AM51" s="45">
        <v>0.5</v>
      </c>
      <c r="AN51" s="34"/>
      <c r="AO51" s="45">
        <v>13.6</v>
      </c>
      <c r="AP51" s="34"/>
      <c r="AQ51" s="34">
        <f>91.7/1000</f>
        <v>9.1700000000000004E-2</v>
      </c>
      <c r="AR51" s="34"/>
      <c r="AS51" s="34"/>
      <c r="AT51" s="45">
        <v>10</v>
      </c>
      <c r="AU51" s="34"/>
      <c r="AV51" s="34"/>
      <c r="AW51" s="34"/>
      <c r="AX51" s="68">
        <f t="shared" si="0"/>
        <v>0.24324324324324323</v>
      </c>
    </row>
    <row r="52" spans="2:50" x14ac:dyDescent="0.2">
      <c r="B52" s="8"/>
      <c r="C52" s="16">
        <v>37963</v>
      </c>
      <c r="D52" s="76" t="s">
        <v>12</v>
      </c>
      <c r="E52" s="34"/>
      <c r="F52" s="34"/>
      <c r="G52" s="34"/>
      <c r="H52" s="34"/>
      <c r="I52" s="34"/>
      <c r="J52" s="31"/>
      <c r="K52" s="31"/>
      <c r="L52" s="31">
        <v>0.4</v>
      </c>
      <c r="M52" s="34">
        <v>3.7</v>
      </c>
      <c r="N52" s="31"/>
      <c r="O52" s="31"/>
      <c r="P52" s="34"/>
      <c r="Q52" s="34"/>
      <c r="R52" s="34"/>
      <c r="S52" s="34">
        <v>0.05</v>
      </c>
      <c r="T52" s="45"/>
      <c r="U52" s="48"/>
      <c r="V52" s="34"/>
      <c r="W52" s="34"/>
      <c r="X52" s="34"/>
      <c r="Y52" s="34"/>
      <c r="Z52" s="34"/>
      <c r="AA52" s="34"/>
      <c r="AB52" s="34"/>
      <c r="AC52" s="34">
        <v>434</v>
      </c>
      <c r="AD52" s="34"/>
      <c r="AE52" s="34"/>
      <c r="AF52" s="34"/>
      <c r="AG52" s="34"/>
      <c r="AH52" s="34"/>
      <c r="AI52" s="52">
        <v>8000</v>
      </c>
      <c r="AJ52" s="52">
        <v>2800</v>
      </c>
      <c r="AK52" s="34"/>
      <c r="AL52" s="45"/>
      <c r="AM52" s="45">
        <v>0.5</v>
      </c>
      <c r="AN52" s="34"/>
      <c r="AO52" s="45">
        <v>19.7</v>
      </c>
      <c r="AP52" s="34"/>
      <c r="AQ52" s="34">
        <f>70.6/1000</f>
        <v>7.0599999999999996E-2</v>
      </c>
      <c r="AR52" s="34"/>
      <c r="AS52" s="34"/>
      <c r="AT52" s="45">
        <v>10</v>
      </c>
      <c r="AU52" s="34"/>
      <c r="AV52" s="34"/>
      <c r="AW52" s="34"/>
      <c r="AX52" s="68">
        <f t="shared" si="0"/>
        <v>0.10810810810810811</v>
      </c>
    </row>
    <row r="53" spans="2:50" x14ac:dyDescent="0.2">
      <c r="B53" s="10">
        <v>2004</v>
      </c>
      <c r="C53" s="16">
        <v>38012</v>
      </c>
      <c r="D53" s="27" t="s">
        <v>9</v>
      </c>
      <c r="E53" s="34"/>
      <c r="F53" s="34"/>
      <c r="G53" s="34"/>
      <c r="H53" s="34"/>
      <c r="I53" s="34"/>
      <c r="J53" s="31"/>
      <c r="K53" s="31"/>
      <c r="L53" s="31">
        <v>0.8</v>
      </c>
      <c r="M53" s="34">
        <v>16</v>
      </c>
      <c r="N53" s="31"/>
      <c r="O53" s="31"/>
      <c r="P53" s="34"/>
      <c r="Q53" s="34"/>
      <c r="R53" s="34"/>
      <c r="S53" s="34">
        <v>7.0000000000000007E-2</v>
      </c>
      <c r="T53" s="45"/>
      <c r="U53" s="48"/>
      <c r="V53" s="34"/>
      <c r="W53" s="34"/>
      <c r="X53" s="34"/>
      <c r="Y53" s="34"/>
      <c r="Z53" s="34"/>
      <c r="AA53" s="34"/>
      <c r="AB53" s="34"/>
      <c r="AC53" s="34">
        <v>429</v>
      </c>
      <c r="AD53" s="34"/>
      <c r="AE53" s="34"/>
      <c r="AF53" s="34"/>
      <c r="AG53" s="34"/>
      <c r="AH53" s="34"/>
      <c r="AI53" s="52">
        <v>17000</v>
      </c>
      <c r="AJ53" s="52">
        <v>5000</v>
      </c>
      <c r="AK53" s="34"/>
      <c r="AL53" s="45"/>
      <c r="AM53" s="45">
        <v>0.5</v>
      </c>
      <c r="AN53" s="34"/>
      <c r="AO53" s="45">
        <v>2</v>
      </c>
      <c r="AP53" s="34"/>
      <c r="AQ53" s="34">
        <f>59.7/1000</f>
        <v>5.9700000000000003E-2</v>
      </c>
      <c r="AR53" s="34"/>
      <c r="AS53" s="34"/>
      <c r="AT53" s="45">
        <v>10</v>
      </c>
      <c r="AU53" s="34"/>
      <c r="AV53" s="34"/>
      <c r="AW53" s="34"/>
      <c r="AX53" s="68">
        <f t="shared" si="0"/>
        <v>0.05</v>
      </c>
    </row>
    <row r="54" spans="2:50" x14ac:dyDescent="0.2">
      <c r="B54" s="9"/>
      <c r="C54" s="16">
        <v>38012</v>
      </c>
      <c r="D54" s="74" t="s">
        <v>10</v>
      </c>
      <c r="E54" s="34"/>
      <c r="F54" s="34"/>
      <c r="G54" s="34"/>
      <c r="H54" s="34"/>
      <c r="I54" s="34"/>
      <c r="J54" s="31"/>
      <c r="K54" s="31"/>
      <c r="L54" s="31">
        <v>1</v>
      </c>
      <c r="M54" s="34">
        <v>14</v>
      </c>
      <c r="N54" s="31"/>
      <c r="O54" s="31"/>
      <c r="P54" s="34"/>
      <c r="Q54" s="34"/>
      <c r="R54" s="34"/>
      <c r="S54" s="34">
        <v>0.05</v>
      </c>
      <c r="T54" s="45"/>
      <c r="U54" s="48"/>
      <c r="V54" s="34"/>
      <c r="W54" s="34"/>
      <c r="X54" s="34"/>
      <c r="Y54" s="34"/>
      <c r="Z54" s="34"/>
      <c r="AA54" s="34"/>
      <c r="AB54" s="34"/>
      <c r="AC54" s="34">
        <v>454</v>
      </c>
      <c r="AD54" s="34"/>
      <c r="AE54" s="34"/>
      <c r="AF54" s="34"/>
      <c r="AG54" s="34"/>
      <c r="AH54" s="34"/>
      <c r="AI54" s="52">
        <v>13000</v>
      </c>
      <c r="AJ54" s="52">
        <v>1700</v>
      </c>
      <c r="AK54" s="34"/>
      <c r="AL54" s="45"/>
      <c r="AM54" s="45">
        <v>0.5</v>
      </c>
      <c r="AN54" s="34"/>
      <c r="AO54" s="45">
        <v>2</v>
      </c>
      <c r="AP54" s="34"/>
      <c r="AQ54" s="34">
        <f>158.9/1000</f>
        <v>0.15890000000000001</v>
      </c>
      <c r="AR54" s="34"/>
      <c r="AS54" s="34"/>
      <c r="AT54" s="45">
        <v>10</v>
      </c>
      <c r="AU54" s="34"/>
      <c r="AV54" s="34"/>
      <c r="AW54" s="34"/>
      <c r="AX54" s="68">
        <f t="shared" si="0"/>
        <v>7.1428571428571425E-2</v>
      </c>
    </row>
    <row r="55" spans="2:50" x14ac:dyDescent="0.2">
      <c r="B55" s="8"/>
      <c r="C55" s="16">
        <v>38012</v>
      </c>
      <c r="D55" s="75" t="s">
        <v>11</v>
      </c>
      <c r="E55" s="34"/>
      <c r="F55" s="34"/>
      <c r="G55" s="34"/>
      <c r="H55" s="34"/>
      <c r="I55" s="34"/>
      <c r="J55" s="31"/>
      <c r="K55" s="31"/>
      <c r="L55" s="31">
        <v>0.8</v>
      </c>
      <c r="M55" s="34">
        <v>14</v>
      </c>
      <c r="N55" s="31"/>
      <c r="O55" s="31"/>
      <c r="P55" s="34"/>
      <c r="Q55" s="34"/>
      <c r="R55" s="34"/>
      <c r="S55" s="34">
        <v>0.05</v>
      </c>
      <c r="T55" s="45"/>
      <c r="U55" s="48"/>
      <c r="V55" s="34"/>
      <c r="W55" s="34"/>
      <c r="X55" s="34"/>
      <c r="Y55" s="34"/>
      <c r="Z55" s="34"/>
      <c r="AA55" s="34"/>
      <c r="AB55" s="34"/>
      <c r="AC55" s="34">
        <v>452</v>
      </c>
      <c r="AD55" s="34"/>
      <c r="AE55" s="34"/>
      <c r="AF55" s="34"/>
      <c r="AG55" s="34"/>
      <c r="AH55" s="34"/>
      <c r="AI55" s="52">
        <v>5000</v>
      </c>
      <c r="AJ55" s="58">
        <v>3000</v>
      </c>
      <c r="AK55" s="34"/>
      <c r="AL55" s="45"/>
      <c r="AM55" s="45">
        <v>0.5</v>
      </c>
      <c r="AN55" s="34"/>
      <c r="AO55" s="45">
        <v>2</v>
      </c>
      <c r="AP55" s="34"/>
      <c r="AQ55" s="34">
        <f>81.3/1000</f>
        <v>8.1299999999999997E-2</v>
      </c>
      <c r="AR55" s="34"/>
      <c r="AS55" s="34"/>
      <c r="AT55" s="45">
        <v>10</v>
      </c>
      <c r="AU55" s="34"/>
      <c r="AV55" s="34"/>
      <c r="AW55" s="34"/>
      <c r="AX55" s="68">
        <f t="shared" si="0"/>
        <v>5.7142857142857148E-2</v>
      </c>
    </row>
    <row r="56" spans="2:50" x14ac:dyDescent="0.2">
      <c r="B56" s="8"/>
      <c r="C56" s="16">
        <v>38012</v>
      </c>
      <c r="D56" s="76" t="s">
        <v>12</v>
      </c>
      <c r="E56" s="34"/>
      <c r="F56" s="34"/>
      <c r="G56" s="34"/>
      <c r="H56" s="34"/>
      <c r="I56" s="34"/>
      <c r="J56" s="31"/>
      <c r="K56" s="31"/>
      <c r="L56" s="31">
        <v>0.6</v>
      </c>
      <c r="M56" s="34">
        <v>12</v>
      </c>
      <c r="N56" s="31"/>
      <c r="O56" s="31"/>
      <c r="P56" s="34"/>
      <c r="Q56" s="34"/>
      <c r="R56" s="34"/>
      <c r="S56" s="34">
        <v>0.04</v>
      </c>
      <c r="T56" s="45"/>
      <c r="U56" s="48"/>
      <c r="V56" s="34"/>
      <c r="W56" s="34"/>
      <c r="X56" s="34"/>
      <c r="Y56" s="34"/>
      <c r="Z56" s="34"/>
      <c r="AA56" s="34"/>
      <c r="AB56" s="34"/>
      <c r="AC56" s="34">
        <v>460</v>
      </c>
      <c r="AD56" s="34"/>
      <c r="AE56" s="34"/>
      <c r="AF56" s="34"/>
      <c r="AG56" s="34"/>
      <c r="AH56" s="34"/>
      <c r="AI56" s="52">
        <v>5000</v>
      </c>
      <c r="AJ56" s="52">
        <v>1100</v>
      </c>
      <c r="AK56" s="34"/>
      <c r="AL56" s="45"/>
      <c r="AM56" s="45">
        <v>0.5</v>
      </c>
      <c r="AN56" s="34"/>
      <c r="AO56" s="45">
        <v>2</v>
      </c>
      <c r="AP56" s="34"/>
      <c r="AQ56" s="34">
        <f>41.4/1000</f>
        <v>4.1399999999999999E-2</v>
      </c>
      <c r="AR56" s="34"/>
      <c r="AS56" s="34"/>
      <c r="AT56" s="45">
        <v>10</v>
      </c>
      <c r="AU56" s="34"/>
      <c r="AV56" s="34"/>
      <c r="AW56" s="34"/>
      <c r="AX56" s="68">
        <f t="shared" si="0"/>
        <v>4.9999999999999996E-2</v>
      </c>
    </row>
    <row r="57" spans="2:50" x14ac:dyDescent="0.2">
      <c r="B57" s="10"/>
      <c r="C57" s="16">
        <v>38033</v>
      </c>
      <c r="D57" s="27" t="s">
        <v>9</v>
      </c>
      <c r="E57" s="34"/>
      <c r="F57" s="34"/>
      <c r="G57" s="34"/>
      <c r="H57" s="34"/>
      <c r="I57" s="34"/>
      <c r="J57" s="31"/>
      <c r="K57" s="31"/>
      <c r="L57" s="31">
        <v>0.7</v>
      </c>
      <c r="M57" s="34">
        <v>1.95</v>
      </c>
      <c r="N57" s="31"/>
      <c r="O57" s="31"/>
      <c r="P57" s="34"/>
      <c r="Q57" s="34"/>
      <c r="R57" s="34"/>
      <c r="S57" s="34">
        <v>0.05</v>
      </c>
      <c r="T57" s="45"/>
      <c r="U57" s="48"/>
      <c r="V57" s="34"/>
      <c r="W57" s="34"/>
      <c r="X57" s="34"/>
      <c r="Y57" s="34"/>
      <c r="Z57" s="34"/>
      <c r="AA57" s="34"/>
      <c r="AB57" s="34"/>
      <c r="AC57" s="34">
        <v>432</v>
      </c>
      <c r="AD57" s="34"/>
      <c r="AE57" s="34"/>
      <c r="AF57" s="34"/>
      <c r="AG57" s="34"/>
      <c r="AH57" s="34"/>
      <c r="AI57" s="58">
        <v>2800</v>
      </c>
      <c r="AJ57" s="52">
        <v>500</v>
      </c>
      <c r="AK57" s="34"/>
      <c r="AL57" s="45"/>
      <c r="AM57" s="45">
        <v>0.5</v>
      </c>
      <c r="AN57" s="34"/>
      <c r="AO57" s="45">
        <v>2</v>
      </c>
      <c r="AP57" s="34"/>
      <c r="AQ57" s="34">
        <f>34.4/1000</f>
        <v>3.44E-2</v>
      </c>
      <c r="AR57" s="34"/>
      <c r="AS57" s="34"/>
      <c r="AT57" s="45">
        <v>10</v>
      </c>
      <c r="AU57" s="34"/>
      <c r="AV57" s="34"/>
      <c r="AW57" s="34"/>
      <c r="AX57" s="68">
        <f t="shared" si="0"/>
        <v>0.35897435897435898</v>
      </c>
    </row>
    <row r="58" spans="2:50" x14ac:dyDescent="0.2">
      <c r="B58" s="9"/>
      <c r="C58" s="19">
        <v>38033</v>
      </c>
      <c r="D58" s="74" t="s">
        <v>10</v>
      </c>
      <c r="E58" s="34"/>
      <c r="F58" s="34"/>
      <c r="G58" s="34"/>
      <c r="H58" s="34"/>
      <c r="I58" s="34"/>
      <c r="J58" s="31"/>
      <c r="K58" s="31"/>
      <c r="L58" s="31">
        <v>0.9</v>
      </c>
      <c r="M58" s="34">
        <v>5.9</v>
      </c>
      <c r="N58" s="31"/>
      <c r="O58" s="31"/>
      <c r="P58" s="34"/>
      <c r="Q58" s="34"/>
      <c r="R58" s="34"/>
      <c r="S58" s="34">
        <v>0.05</v>
      </c>
      <c r="T58" s="45"/>
      <c r="U58" s="48"/>
      <c r="V58" s="34"/>
      <c r="W58" s="34"/>
      <c r="X58" s="34"/>
      <c r="Y58" s="34"/>
      <c r="Z58" s="34"/>
      <c r="AA58" s="34"/>
      <c r="AB58" s="34"/>
      <c r="AC58" s="34">
        <v>468</v>
      </c>
      <c r="AD58" s="34"/>
      <c r="AE58" s="34"/>
      <c r="AF58" s="34"/>
      <c r="AG58" s="34"/>
      <c r="AH58" s="34"/>
      <c r="AI58" s="52">
        <v>3000</v>
      </c>
      <c r="AJ58" s="52">
        <v>1030</v>
      </c>
      <c r="AK58" s="34"/>
      <c r="AL58" s="45"/>
      <c r="AM58" s="45">
        <v>0.5</v>
      </c>
      <c r="AN58" s="34"/>
      <c r="AO58" s="45">
        <v>2</v>
      </c>
      <c r="AP58" s="34"/>
      <c r="AQ58" s="34">
        <f>204.4/1000</f>
        <v>0.2044</v>
      </c>
      <c r="AR58" s="34"/>
      <c r="AS58" s="34"/>
      <c r="AT58" s="45">
        <v>10</v>
      </c>
      <c r="AU58" s="34"/>
      <c r="AV58" s="34"/>
      <c r="AW58" s="34"/>
      <c r="AX58" s="68">
        <f t="shared" si="0"/>
        <v>0.15254237288135591</v>
      </c>
    </row>
    <row r="59" spans="2:50" x14ac:dyDescent="0.2">
      <c r="B59" s="8"/>
      <c r="C59" s="19">
        <v>38033</v>
      </c>
      <c r="D59" s="75" t="s">
        <v>11</v>
      </c>
      <c r="E59" s="34"/>
      <c r="F59" s="34"/>
      <c r="G59" s="34"/>
      <c r="H59" s="34"/>
      <c r="I59" s="34"/>
      <c r="J59" s="31"/>
      <c r="K59" s="31"/>
      <c r="L59" s="31">
        <v>0.8</v>
      </c>
      <c r="M59" s="34">
        <v>1.95</v>
      </c>
      <c r="N59" s="31"/>
      <c r="O59" s="31"/>
      <c r="P59" s="34"/>
      <c r="Q59" s="34"/>
      <c r="R59" s="34"/>
      <c r="S59" s="34">
        <v>0.06</v>
      </c>
      <c r="T59" s="45"/>
      <c r="U59" s="48"/>
      <c r="V59" s="34"/>
      <c r="W59" s="34"/>
      <c r="X59" s="34"/>
      <c r="Y59" s="34"/>
      <c r="Z59" s="34"/>
      <c r="AA59" s="34"/>
      <c r="AB59" s="34"/>
      <c r="AC59" s="34">
        <v>399</v>
      </c>
      <c r="AD59" s="34"/>
      <c r="AE59" s="34"/>
      <c r="AF59" s="34"/>
      <c r="AG59" s="34"/>
      <c r="AH59" s="34"/>
      <c r="AI59" s="52">
        <v>5000</v>
      </c>
      <c r="AJ59" s="52">
        <v>1300</v>
      </c>
      <c r="AK59" s="34"/>
      <c r="AL59" s="45"/>
      <c r="AM59" s="31">
        <v>0.94</v>
      </c>
      <c r="AN59" s="34"/>
      <c r="AO59" s="45">
        <v>3.5</v>
      </c>
      <c r="AP59" s="34"/>
      <c r="AQ59" s="34">
        <f>59.4/1000</f>
        <v>5.9400000000000001E-2</v>
      </c>
      <c r="AR59" s="34"/>
      <c r="AS59" s="34"/>
      <c r="AT59" s="45">
        <v>10</v>
      </c>
      <c r="AU59" s="34"/>
      <c r="AV59" s="34"/>
      <c r="AW59" s="34"/>
      <c r="AX59" s="68">
        <f t="shared" si="0"/>
        <v>0.4102564102564103</v>
      </c>
    </row>
    <row r="60" spans="2:50" x14ac:dyDescent="0.2">
      <c r="B60" s="8"/>
      <c r="C60" s="19">
        <v>38033</v>
      </c>
      <c r="D60" s="76" t="s">
        <v>12</v>
      </c>
      <c r="E60" s="34"/>
      <c r="F60" s="34"/>
      <c r="G60" s="34"/>
      <c r="H60" s="34"/>
      <c r="I60" s="34"/>
      <c r="J60" s="31"/>
      <c r="K60" s="31"/>
      <c r="L60" s="31">
        <v>0.4</v>
      </c>
      <c r="M60" s="34">
        <v>3.9</v>
      </c>
      <c r="N60" s="31"/>
      <c r="O60" s="31"/>
      <c r="P60" s="34"/>
      <c r="Q60" s="34"/>
      <c r="R60" s="34"/>
      <c r="S60" s="34">
        <v>0.02</v>
      </c>
      <c r="T60" s="45"/>
      <c r="U60" s="48"/>
      <c r="V60" s="34"/>
      <c r="W60" s="34"/>
      <c r="X60" s="34"/>
      <c r="Y60" s="34"/>
      <c r="Z60" s="34"/>
      <c r="AA60" s="34"/>
      <c r="AB60" s="34"/>
      <c r="AC60" s="34">
        <v>478</v>
      </c>
      <c r="AD60" s="34"/>
      <c r="AE60" s="34"/>
      <c r="AF60" s="34"/>
      <c r="AG60" s="34"/>
      <c r="AH60" s="34"/>
      <c r="AI60" s="52">
        <v>1300</v>
      </c>
      <c r="AJ60" s="52">
        <v>1300</v>
      </c>
      <c r="AK60" s="34"/>
      <c r="AL60" s="45"/>
      <c r="AM60" s="31">
        <v>0.56000000000000005</v>
      </c>
      <c r="AN60" s="34"/>
      <c r="AO60" s="45">
        <v>5.0999999999999996</v>
      </c>
      <c r="AP60" s="34"/>
      <c r="AQ60" s="34">
        <f>21.2/1000</f>
        <v>2.12E-2</v>
      </c>
      <c r="AR60" s="34"/>
      <c r="AS60" s="34"/>
      <c r="AT60" s="45">
        <v>10</v>
      </c>
      <c r="AU60" s="34"/>
      <c r="AV60" s="34"/>
      <c r="AW60" s="34"/>
      <c r="AX60" s="68">
        <f t="shared" si="0"/>
        <v>0.10256410256410257</v>
      </c>
    </row>
    <row r="61" spans="2:50" x14ac:dyDescent="0.2">
      <c r="B61" s="10"/>
      <c r="C61" s="19">
        <v>38271</v>
      </c>
      <c r="D61" s="27" t="s">
        <v>9</v>
      </c>
      <c r="E61" s="34"/>
      <c r="F61" s="34"/>
      <c r="G61" s="34"/>
      <c r="H61" s="34"/>
      <c r="I61" s="34"/>
      <c r="J61" s="31">
        <v>0</v>
      </c>
      <c r="K61" s="31"/>
      <c r="L61" s="31">
        <v>1.3</v>
      </c>
      <c r="M61" s="34"/>
      <c r="N61" s="31"/>
      <c r="O61" s="31"/>
      <c r="P61" s="34"/>
      <c r="Q61" s="34"/>
      <c r="R61" s="34"/>
      <c r="S61" s="34"/>
      <c r="T61" s="34">
        <v>1.0999999999999999E-2</v>
      </c>
      <c r="U61" s="48">
        <v>0</v>
      </c>
      <c r="V61" s="34"/>
      <c r="W61" s="34"/>
      <c r="X61" s="34"/>
      <c r="Y61" s="34"/>
      <c r="Z61" s="34">
        <v>8.42</v>
      </c>
      <c r="AA61" s="34"/>
      <c r="AB61" s="34">
        <v>0</v>
      </c>
      <c r="AC61" s="34">
        <v>411</v>
      </c>
      <c r="AD61" s="34"/>
      <c r="AE61" s="34">
        <v>10</v>
      </c>
      <c r="AF61" s="34"/>
      <c r="AG61" s="34"/>
      <c r="AH61" s="34"/>
      <c r="AI61" s="52">
        <v>5000</v>
      </c>
      <c r="AJ61" s="52">
        <v>1700</v>
      </c>
      <c r="AK61" s="34">
        <v>253.6</v>
      </c>
      <c r="AL61" s="45">
        <v>8</v>
      </c>
      <c r="AM61" s="31">
        <v>3.2</v>
      </c>
      <c r="AN61" s="45">
        <v>6.8</v>
      </c>
      <c r="AO61" s="45">
        <v>2</v>
      </c>
      <c r="AP61" s="34">
        <f>238.9/1000</f>
        <v>0.2389</v>
      </c>
      <c r="AQ61" s="34">
        <f>37.9/1000</f>
        <v>3.7899999999999996E-2</v>
      </c>
      <c r="AR61" s="34"/>
      <c r="AS61" s="34">
        <v>16.600000000000001</v>
      </c>
      <c r="AT61" s="45">
        <v>10</v>
      </c>
      <c r="AU61" s="34"/>
      <c r="AV61" s="34"/>
      <c r="AW61" s="34">
        <f>21/1000</f>
        <v>2.1000000000000001E-2</v>
      </c>
      <c r="AX61" s="68" t="e">
        <f t="shared" si="0"/>
        <v>#DIV/0!</v>
      </c>
    </row>
    <row r="62" spans="2:50" x14ac:dyDescent="0.2">
      <c r="B62" s="9"/>
      <c r="C62" s="19">
        <v>38271</v>
      </c>
      <c r="D62" s="74" t="s">
        <v>10</v>
      </c>
      <c r="E62" s="34"/>
      <c r="F62" s="34"/>
      <c r="G62" s="34"/>
      <c r="H62" s="34"/>
      <c r="I62" s="34"/>
      <c r="J62" s="31">
        <v>0</v>
      </c>
      <c r="K62" s="31"/>
      <c r="L62" s="31">
        <v>0.9</v>
      </c>
      <c r="M62" s="34"/>
      <c r="N62" s="31"/>
      <c r="O62" s="31"/>
      <c r="P62" s="34"/>
      <c r="Q62" s="34"/>
      <c r="R62" s="34"/>
      <c r="S62" s="34"/>
      <c r="T62" s="45">
        <v>1.0999999999999999E-2</v>
      </c>
      <c r="U62" s="48">
        <v>0</v>
      </c>
      <c r="V62" s="34"/>
      <c r="W62" s="34"/>
      <c r="X62" s="34"/>
      <c r="Y62" s="34"/>
      <c r="Z62" s="34">
        <v>8.3699999999999992</v>
      </c>
      <c r="AA62" s="34"/>
      <c r="AB62" s="34">
        <v>0</v>
      </c>
      <c r="AC62" s="34">
        <v>420</v>
      </c>
      <c r="AD62" s="34"/>
      <c r="AE62" s="34">
        <v>6.7</v>
      </c>
      <c r="AF62" s="34"/>
      <c r="AG62" s="34"/>
      <c r="AH62" s="34"/>
      <c r="AI62" s="52">
        <v>1700</v>
      </c>
      <c r="AJ62" s="52">
        <v>500</v>
      </c>
      <c r="AK62" s="34">
        <v>222.6</v>
      </c>
      <c r="AL62" s="45">
        <v>8</v>
      </c>
      <c r="AM62" s="31">
        <v>8.5</v>
      </c>
      <c r="AN62" s="45">
        <v>7.7</v>
      </c>
      <c r="AO62" s="45">
        <v>2</v>
      </c>
      <c r="AP62" s="34">
        <f>298.4/1000</f>
        <v>0.2984</v>
      </c>
      <c r="AQ62" s="34">
        <f>55.9/1000</f>
        <v>5.5899999999999998E-2</v>
      </c>
      <c r="AR62" s="34"/>
      <c r="AS62" s="34">
        <v>18.8</v>
      </c>
      <c r="AT62" s="45">
        <v>10</v>
      </c>
      <c r="AU62" s="34"/>
      <c r="AV62" s="34"/>
      <c r="AW62" s="34">
        <f>105.7/1000</f>
        <v>0.1057</v>
      </c>
      <c r="AX62" s="68" t="e">
        <f t="shared" si="0"/>
        <v>#DIV/0!</v>
      </c>
    </row>
    <row r="63" spans="2:50" x14ac:dyDescent="0.2">
      <c r="B63" s="8"/>
      <c r="C63" s="19">
        <v>38271</v>
      </c>
      <c r="D63" s="75" t="s">
        <v>11</v>
      </c>
      <c r="E63" s="34"/>
      <c r="F63" s="34"/>
      <c r="G63" s="34"/>
      <c r="H63" s="34"/>
      <c r="I63" s="34"/>
      <c r="J63" s="31">
        <v>0</v>
      </c>
      <c r="K63" s="31"/>
      <c r="L63" s="31">
        <v>0.7</v>
      </c>
      <c r="M63" s="34"/>
      <c r="N63" s="31"/>
      <c r="O63" s="31"/>
      <c r="P63" s="34"/>
      <c r="Q63" s="34"/>
      <c r="R63" s="34"/>
      <c r="S63" s="34"/>
      <c r="T63" s="45">
        <v>0.01</v>
      </c>
      <c r="U63" s="48">
        <v>0</v>
      </c>
      <c r="V63" s="34"/>
      <c r="W63" s="34"/>
      <c r="X63" s="34"/>
      <c r="Y63" s="34"/>
      <c r="Z63" s="34">
        <v>8.4</v>
      </c>
      <c r="AA63" s="34"/>
      <c r="AB63" s="34">
        <v>0</v>
      </c>
      <c r="AC63" s="34">
        <v>428</v>
      </c>
      <c r="AD63" s="34"/>
      <c r="AE63" s="34">
        <v>3</v>
      </c>
      <c r="AF63" s="34"/>
      <c r="AG63" s="34"/>
      <c r="AH63" s="34"/>
      <c r="AI63" s="52">
        <v>13000</v>
      </c>
      <c r="AJ63" s="52">
        <v>10000</v>
      </c>
      <c r="AK63" s="34">
        <v>228.3</v>
      </c>
      <c r="AL63" s="45">
        <v>8</v>
      </c>
      <c r="AM63" s="31">
        <v>6.3</v>
      </c>
      <c r="AN63" s="34">
        <v>5.0999999999999996</v>
      </c>
      <c r="AO63" s="45">
        <v>2</v>
      </c>
      <c r="AP63" s="34">
        <f>454.4/1000</f>
        <v>0.45439999999999997</v>
      </c>
      <c r="AQ63" s="34">
        <f>53.8/1000</f>
        <v>5.3800000000000001E-2</v>
      </c>
      <c r="AR63" s="34"/>
      <c r="AS63" s="34">
        <v>25.1</v>
      </c>
      <c r="AT63" s="34">
        <v>119.5</v>
      </c>
      <c r="AU63" s="34"/>
      <c r="AV63" s="34"/>
      <c r="AW63" s="34">
        <f>15.8/1000</f>
        <v>1.5800000000000002E-2</v>
      </c>
      <c r="AX63" s="68" t="e">
        <f t="shared" si="0"/>
        <v>#DIV/0!</v>
      </c>
    </row>
    <row r="64" spans="2:50" x14ac:dyDescent="0.2">
      <c r="B64" s="8"/>
      <c r="C64" s="19">
        <v>38271</v>
      </c>
      <c r="D64" s="76" t="s">
        <v>12</v>
      </c>
      <c r="E64" s="34"/>
      <c r="F64" s="34"/>
      <c r="G64" s="34"/>
      <c r="H64" s="34"/>
      <c r="I64" s="34"/>
      <c r="J64" s="31">
        <v>0</v>
      </c>
      <c r="K64" s="31"/>
      <c r="L64" s="31">
        <v>0.7</v>
      </c>
      <c r="M64" s="34"/>
      <c r="N64" s="31"/>
      <c r="O64" s="31"/>
      <c r="P64" s="34"/>
      <c r="Q64" s="34"/>
      <c r="R64" s="34"/>
      <c r="S64" s="34"/>
      <c r="T64" s="45">
        <v>0.01</v>
      </c>
      <c r="U64" s="48">
        <v>0</v>
      </c>
      <c r="V64" s="34"/>
      <c r="W64" s="34"/>
      <c r="X64" s="34"/>
      <c r="Y64" s="34"/>
      <c r="Z64" s="34">
        <v>8.43</v>
      </c>
      <c r="AA64" s="34"/>
      <c r="AB64" s="34">
        <v>33</v>
      </c>
      <c r="AC64" s="34">
        <v>461</v>
      </c>
      <c r="AD64" s="34"/>
      <c r="AE64" s="34">
        <v>7.3</v>
      </c>
      <c r="AF64" s="34"/>
      <c r="AG64" s="34"/>
      <c r="AH64" s="34"/>
      <c r="AI64" s="52">
        <v>13000</v>
      </c>
      <c r="AJ64" s="52">
        <v>2400</v>
      </c>
      <c r="AK64" s="34">
        <v>1405</v>
      </c>
      <c r="AL64" s="45">
        <v>8</v>
      </c>
      <c r="AM64" s="31">
        <v>9.1</v>
      </c>
      <c r="AN64" s="34">
        <v>5.7</v>
      </c>
      <c r="AO64" s="45">
        <v>2</v>
      </c>
      <c r="AP64" s="34">
        <f>1552/1000</f>
        <v>1.552</v>
      </c>
      <c r="AQ64" s="34">
        <f>58.2/1000</f>
        <v>5.8200000000000002E-2</v>
      </c>
      <c r="AR64" s="34"/>
      <c r="AS64" s="34">
        <v>24.1</v>
      </c>
      <c r="AT64" s="34">
        <v>70.5</v>
      </c>
      <c r="AU64" s="34"/>
      <c r="AV64" s="34"/>
      <c r="AW64" s="34">
        <f>31.5/1000</f>
        <v>3.15E-2</v>
      </c>
      <c r="AX64" s="68" t="e">
        <f t="shared" si="0"/>
        <v>#DIV/0!</v>
      </c>
    </row>
    <row r="65" spans="1:50" x14ac:dyDescent="0.2">
      <c r="B65" s="10">
        <v>2005</v>
      </c>
      <c r="C65" s="19">
        <v>38474</v>
      </c>
      <c r="D65" s="27" t="s">
        <v>9</v>
      </c>
      <c r="E65" s="34"/>
      <c r="F65" s="34"/>
      <c r="G65" s="34"/>
      <c r="H65" s="34"/>
      <c r="I65" s="34"/>
      <c r="J65" s="31"/>
      <c r="K65" s="34"/>
      <c r="L65" s="34">
        <v>0.8</v>
      </c>
      <c r="M65" s="34">
        <v>29</v>
      </c>
      <c r="N65" s="34"/>
      <c r="O65" s="34"/>
      <c r="P65" s="34"/>
      <c r="Q65" s="34"/>
      <c r="R65" s="34"/>
      <c r="S65" s="34">
        <v>0.22</v>
      </c>
      <c r="T65" s="34"/>
      <c r="U65" s="48"/>
      <c r="V65" s="34"/>
      <c r="W65" s="34"/>
      <c r="X65" s="34"/>
      <c r="Y65" s="34"/>
      <c r="Z65" s="34"/>
      <c r="AA65" s="34"/>
      <c r="AB65" s="34"/>
      <c r="AC65" s="34">
        <v>461</v>
      </c>
      <c r="AD65" s="34"/>
      <c r="AE65" s="34"/>
      <c r="AF65" s="34"/>
      <c r="AG65" s="34"/>
      <c r="AH65" s="34"/>
      <c r="AI65" s="52">
        <v>2200</v>
      </c>
      <c r="AJ65" s="52">
        <v>500</v>
      </c>
      <c r="AK65" s="34"/>
      <c r="AL65" s="34"/>
      <c r="AM65" s="31">
        <v>0.5</v>
      </c>
      <c r="AN65" s="34"/>
      <c r="AO65" s="31">
        <v>41.3</v>
      </c>
      <c r="AP65" s="34"/>
      <c r="AQ65" s="34">
        <f>175.3/1000</f>
        <v>0.17530000000000001</v>
      </c>
      <c r="AR65" s="34"/>
      <c r="AS65" s="34"/>
      <c r="AT65" s="34">
        <v>10</v>
      </c>
      <c r="AU65" s="34"/>
      <c r="AV65" s="34"/>
      <c r="AW65" s="34"/>
      <c r="AX65" s="68">
        <f t="shared" si="0"/>
        <v>2.7586206896551727E-2</v>
      </c>
    </row>
    <row r="66" spans="1:50" x14ac:dyDescent="0.2">
      <c r="B66" s="9"/>
      <c r="C66" s="19">
        <v>38474</v>
      </c>
      <c r="D66" s="74" t="s">
        <v>10</v>
      </c>
      <c r="E66" s="34"/>
      <c r="F66" s="34"/>
      <c r="G66" s="34"/>
      <c r="H66" s="34"/>
      <c r="I66" s="34"/>
      <c r="J66" s="31"/>
      <c r="K66" s="34"/>
      <c r="L66" s="34">
        <v>0.7</v>
      </c>
      <c r="M66" s="34">
        <v>23</v>
      </c>
      <c r="N66" s="34"/>
      <c r="O66" s="34"/>
      <c r="P66" s="34"/>
      <c r="Q66" s="34"/>
      <c r="R66" s="34"/>
      <c r="S66" s="34">
        <v>0.25</v>
      </c>
      <c r="T66" s="34"/>
      <c r="U66" s="48"/>
      <c r="V66" s="34"/>
      <c r="W66" s="34"/>
      <c r="X66" s="34"/>
      <c r="Y66" s="34"/>
      <c r="Z66" s="34"/>
      <c r="AA66" s="34"/>
      <c r="AB66" s="34"/>
      <c r="AC66" s="34">
        <v>481</v>
      </c>
      <c r="AD66" s="34"/>
      <c r="AE66" s="34"/>
      <c r="AF66" s="34"/>
      <c r="AG66" s="34"/>
      <c r="AH66" s="34"/>
      <c r="AI66" s="52">
        <v>8000</v>
      </c>
      <c r="AJ66" s="52">
        <v>800</v>
      </c>
      <c r="AK66" s="34"/>
      <c r="AL66" s="34"/>
      <c r="AM66" s="31">
        <v>0.5</v>
      </c>
      <c r="AN66" s="34"/>
      <c r="AO66" s="31">
        <v>27.3</v>
      </c>
      <c r="AP66" s="34"/>
      <c r="AQ66" s="34">
        <f>178.8/1000</f>
        <v>0.17880000000000001</v>
      </c>
      <c r="AR66" s="34"/>
      <c r="AS66" s="34"/>
      <c r="AT66" s="34">
        <v>10</v>
      </c>
      <c r="AU66" s="34"/>
      <c r="AV66" s="34"/>
      <c r="AW66" s="34"/>
      <c r="AX66" s="68">
        <f t="shared" si="0"/>
        <v>3.043478260869565E-2</v>
      </c>
    </row>
    <row r="67" spans="1:50" x14ac:dyDescent="0.2">
      <c r="B67" s="8"/>
      <c r="C67" s="19">
        <v>38474</v>
      </c>
      <c r="D67" s="75" t="s">
        <v>11</v>
      </c>
      <c r="E67" s="34"/>
      <c r="F67" s="34"/>
      <c r="G67" s="34"/>
      <c r="H67" s="34"/>
      <c r="I67" s="34"/>
      <c r="J67" s="31"/>
      <c r="K67" s="31"/>
      <c r="L67" s="31">
        <v>0.6</v>
      </c>
      <c r="M67" s="34">
        <v>27</v>
      </c>
      <c r="N67" s="31"/>
      <c r="O67" s="31"/>
      <c r="P67" s="34"/>
      <c r="Q67" s="34"/>
      <c r="R67" s="34"/>
      <c r="S67" s="34">
        <v>0.25</v>
      </c>
      <c r="T67" s="34"/>
      <c r="U67" s="48"/>
      <c r="V67" s="34"/>
      <c r="W67" s="34"/>
      <c r="X67" s="34"/>
      <c r="Y67" s="34"/>
      <c r="Z67" s="34"/>
      <c r="AA67" s="34"/>
      <c r="AB67" s="34"/>
      <c r="AC67" s="34">
        <v>497</v>
      </c>
      <c r="AD67" s="34"/>
      <c r="AE67" s="34"/>
      <c r="AF67" s="34"/>
      <c r="AG67" s="34"/>
      <c r="AH67" s="34"/>
      <c r="AI67" s="52">
        <v>2200</v>
      </c>
      <c r="AJ67" s="52">
        <v>1300</v>
      </c>
      <c r="AK67" s="34"/>
      <c r="AL67" s="34"/>
      <c r="AM67" s="31">
        <v>0.5</v>
      </c>
      <c r="AN67" s="34"/>
      <c r="AO67" s="31">
        <v>14.8</v>
      </c>
      <c r="AP67" s="34"/>
      <c r="AQ67" s="34">
        <f>200/1000</f>
        <v>0.2</v>
      </c>
      <c r="AR67" s="34"/>
      <c r="AS67" s="34"/>
      <c r="AT67" s="34">
        <v>29.3</v>
      </c>
      <c r="AU67" s="34"/>
      <c r="AV67" s="34"/>
      <c r="AW67" s="34"/>
      <c r="AX67" s="68">
        <f t="shared" si="0"/>
        <v>2.2222222222222223E-2</v>
      </c>
    </row>
    <row r="68" spans="1:50" x14ac:dyDescent="0.2">
      <c r="B68" s="8"/>
      <c r="C68" s="19">
        <v>38474</v>
      </c>
      <c r="D68" s="76" t="s">
        <v>12</v>
      </c>
      <c r="E68" s="34"/>
      <c r="F68" s="34"/>
      <c r="G68" s="34"/>
      <c r="H68" s="34"/>
      <c r="I68" s="34"/>
      <c r="J68" s="31"/>
      <c r="K68" s="31"/>
      <c r="L68" s="31">
        <v>0.7</v>
      </c>
      <c r="M68" s="34">
        <v>35</v>
      </c>
      <c r="N68" s="31"/>
      <c r="O68" s="31"/>
      <c r="P68" s="34"/>
      <c r="Q68" s="34"/>
      <c r="R68" s="34"/>
      <c r="S68" s="34">
        <v>0.27</v>
      </c>
      <c r="T68" s="34"/>
      <c r="U68" s="48"/>
      <c r="V68" s="34"/>
      <c r="W68" s="34"/>
      <c r="X68" s="34"/>
      <c r="Y68" s="34"/>
      <c r="Z68" s="34"/>
      <c r="AA68" s="34"/>
      <c r="AB68" s="34"/>
      <c r="AC68" s="34">
        <v>593</v>
      </c>
      <c r="AD68" s="34"/>
      <c r="AE68" s="34"/>
      <c r="AF68" s="34"/>
      <c r="AG68" s="34"/>
      <c r="AH68" s="34"/>
      <c r="AI68" s="52">
        <v>5000</v>
      </c>
      <c r="AJ68" s="52">
        <v>800</v>
      </c>
      <c r="AK68" s="34"/>
      <c r="AL68" s="34"/>
      <c r="AM68" s="31">
        <v>1.2</v>
      </c>
      <c r="AN68" s="34"/>
      <c r="AO68" s="31">
        <v>17.3</v>
      </c>
      <c r="AP68" s="34"/>
      <c r="AQ68" s="34">
        <f>206.6/1000</f>
        <v>0.20660000000000001</v>
      </c>
      <c r="AR68" s="34"/>
      <c r="AS68" s="34"/>
      <c r="AT68" s="45">
        <v>10</v>
      </c>
      <c r="AU68" s="34"/>
      <c r="AV68" s="34"/>
      <c r="AW68" s="34"/>
      <c r="AX68" s="68">
        <f t="shared" si="0"/>
        <v>0.02</v>
      </c>
    </row>
    <row r="69" spans="1:50" x14ac:dyDescent="0.2">
      <c r="A69" s="4" t="s">
        <v>3</v>
      </c>
      <c r="B69" s="8">
        <v>2006</v>
      </c>
      <c r="C69" s="19">
        <v>38896</v>
      </c>
      <c r="D69" s="27" t="s">
        <v>9</v>
      </c>
      <c r="E69" s="34"/>
      <c r="F69" s="34"/>
      <c r="G69" s="34"/>
      <c r="H69" s="34"/>
      <c r="I69" s="34"/>
      <c r="J69" s="31">
        <v>0</v>
      </c>
      <c r="K69" s="34"/>
      <c r="L69" s="34">
        <v>0.2</v>
      </c>
      <c r="M69" s="34">
        <v>18</v>
      </c>
      <c r="N69" s="34"/>
      <c r="O69" s="34"/>
      <c r="P69" s="34"/>
      <c r="Q69" s="34"/>
      <c r="R69" s="34"/>
      <c r="S69" s="34">
        <v>0.03</v>
      </c>
      <c r="T69" s="31">
        <v>0.01</v>
      </c>
      <c r="U69" s="48">
        <v>0</v>
      </c>
      <c r="V69" s="34"/>
      <c r="W69" s="34"/>
      <c r="X69" s="34"/>
      <c r="Y69" s="34"/>
      <c r="Z69" s="34">
        <v>8.42</v>
      </c>
      <c r="AA69" s="34"/>
      <c r="AB69" s="34">
        <v>0</v>
      </c>
      <c r="AC69" s="34">
        <v>349</v>
      </c>
      <c r="AD69" s="34"/>
      <c r="AE69" s="34">
        <v>5.2</v>
      </c>
      <c r="AF69" s="34"/>
      <c r="AG69" s="34"/>
      <c r="AH69" s="34"/>
      <c r="AI69" s="52">
        <v>7900</v>
      </c>
      <c r="AJ69" s="52">
        <v>2400</v>
      </c>
      <c r="AK69" s="34">
        <v>207</v>
      </c>
      <c r="AL69" s="34">
        <v>100.6</v>
      </c>
      <c r="AM69" s="31">
        <v>0.5</v>
      </c>
      <c r="AN69" s="31">
        <v>1</v>
      </c>
      <c r="AO69" s="31">
        <v>3</v>
      </c>
      <c r="AP69" s="34">
        <f>55.3/1000</f>
        <v>5.5299999999999995E-2</v>
      </c>
      <c r="AQ69" s="34">
        <f>15.3/1000</f>
        <v>1.5300000000000001E-2</v>
      </c>
      <c r="AR69" s="34"/>
      <c r="AS69" s="34">
        <v>8</v>
      </c>
      <c r="AT69" s="31">
        <v>15.7</v>
      </c>
      <c r="AU69" s="34"/>
      <c r="AV69" s="34"/>
      <c r="AW69" s="34">
        <f>0.8/1000</f>
        <v>8.0000000000000004E-4</v>
      </c>
      <c r="AX69" s="68">
        <f t="shared" si="0"/>
        <v>1.1111111111111112E-2</v>
      </c>
    </row>
    <row r="70" spans="1:50" x14ac:dyDescent="0.2">
      <c r="B70" s="9"/>
      <c r="C70" s="19">
        <v>38896</v>
      </c>
      <c r="D70" s="74" t="s">
        <v>10</v>
      </c>
      <c r="E70" s="34"/>
      <c r="F70" s="34"/>
      <c r="G70" s="34"/>
      <c r="H70" s="34"/>
      <c r="I70" s="34"/>
      <c r="J70" s="31">
        <v>0</v>
      </c>
      <c r="K70" s="34"/>
      <c r="L70" s="34">
        <v>0.2</v>
      </c>
      <c r="M70" s="34">
        <v>14</v>
      </c>
      <c r="N70" s="34"/>
      <c r="O70" s="34"/>
      <c r="P70" s="34"/>
      <c r="Q70" s="34"/>
      <c r="R70" s="34"/>
      <c r="S70" s="34">
        <v>0.03</v>
      </c>
      <c r="T70" s="34">
        <v>0.03</v>
      </c>
      <c r="U70" s="48">
        <v>0</v>
      </c>
      <c r="V70" s="34"/>
      <c r="W70" s="34"/>
      <c r="X70" s="34"/>
      <c r="Y70" s="34"/>
      <c r="Z70" s="34">
        <v>8.2799999999999994</v>
      </c>
      <c r="AA70" s="34"/>
      <c r="AB70" s="34">
        <v>1</v>
      </c>
      <c r="AC70" s="34">
        <v>358</v>
      </c>
      <c r="AD70" s="34"/>
      <c r="AE70" s="34">
        <v>5.2</v>
      </c>
      <c r="AF70" s="34"/>
      <c r="AG70" s="34"/>
      <c r="AH70" s="34"/>
      <c r="AI70" s="52">
        <v>240000</v>
      </c>
      <c r="AJ70" s="52">
        <v>130000</v>
      </c>
      <c r="AK70" s="34">
        <v>76.2</v>
      </c>
      <c r="AL70" s="34">
        <v>88.7</v>
      </c>
      <c r="AM70" s="31">
        <v>0.88</v>
      </c>
      <c r="AN70" s="31">
        <v>1</v>
      </c>
      <c r="AO70" s="31">
        <v>3</v>
      </c>
      <c r="AP70" s="34">
        <f>41.6/1000</f>
        <v>4.1599999999999998E-2</v>
      </c>
      <c r="AQ70" s="34">
        <f>3/1000</f>
        <v>3.0000000000000001E-3</v>
      </c>
      <c r="AR70" s="34"/>
      <c r="AS70" s="34">
        <v>6.1</v>
      </c>
      <c r="AT70" s="31">
        <v>10</v>
      </c>
      <c r="AU70" s="34"/>
      <c r="AV70" s="34"/>
      <c r="AW70" s="34">
        <f>0.8/1000</f>
        <v>8.0000000000000004E-4</v>
      </c>
      <c r="AX70" s="68">
        <f t="shared" si="0"/>
        <v>1.4285714285714287E-2</v>
      </c>
    </row>
    <row r="71" spans="1:50" x14ac:dyDescent="0.2">
      <c r="B71" s="8"/>
      <c r="C71" s="19">
        <v>38896</v>
      </c>
      <c r="D71" s="75" t="s">
        <v>11</v>
      </c>
      <c r="E71" s="34"/>
      <c r="F71" s="34"/>
      <c r="G71" s="34"/>
      <c r="H71" s="34"/>
      <c r="I71" s="34"/>
      <c r="J71" s="31">
        <v>0</v>
      </c>
      <c r="K71" s="34"/>
      <c r="L71" s="34">
        <v>0.3</v>
      </c>
      <c r="M71" s="34">
        <v>31</v>
      </c>
      <c r="N71" s="34"/>
      <c r="O71" s="34"/>
      <c r="P71" s="34"/>
      <c r="Q71" s="34"/>
      <c r="R71" s="34"/>
      <c r="S71" s="34">
        <v>0.03</v>
      </c>
      <c r="T71" s="34">
        <v>0.01</v>
      </c>
      <c r="U71" s="48">
        <v>0</v>
      </c>
      <c r="V71" s="34"/>
      <c r="W71" s="34"/>
      <c r="X71" s="34"/>
      <c r="Y71" s="34"/>
      <c r="Z71" s="34">
        <v>8.36</v>
      </c>
      <c r="AA71" s="34"/>
      <c r="AB71" s="34">
        <v>1</v>
      </c>
      <c r="AC71" s="34">
        <v>359</v>
      </c>
      <c r="AD71" s="34"/>
      <c r="AE71" s="34">
        <v>0.8</v>
      </c>
      <c r="AF71" s="34"/>
      <c r="AG71" s="34"/>
      <c r="AH71" s="34"/>
      <c r="AI71" s="52">
        <v>4600</v>
      </c>
      <c r="AJ71" s="52">
        <v>1700</v>
      </c>
      <c r="AK71" s="31">
        <v>30</v>
      </c>
      <c r="AL71" s="34">
        <v>107.2</v>
      </c>
      <c r="AM71" s="31">
        <v>0.61</v>
      </c>
      <c r="AN71" s="31">
        <v>1</v>
      </c>
      <c r="AO71" s="31">
        <v>3</v>
      </c>
      <c r="AP71" s="34">
        <f>22.5/1000</f>
        <v>2.2499999999999999E-2</v>
      </c>
      <c r="AQ71" s="34">
        <f>4/1000</f>
        <v>4.0000000000000001E-3</v>
      </c>
      <c r="AR71" s="34"/>
      <c r="AS71" s="34">
        <v>7.2</v>
      </c>
      <c r="AT71" s="31">
        <v>21.4</v>
      </c>
      <c r="AU71" s="34"/>
      <c r="AV71" s="34"/>
      <c r="AW71" s="34">
        <f>0.8/1000</f>
        <v>8.0000000000000004E-4</v>
      </c>
      <c r="AX71" s="68">
        <f t="shared" si="0"/>
        <v>9.6774193548387101E-3</v>
      </c>
    </row>
    <row r="72" spans="1:50" x14ac:dyDescent="0.2">
      <c r="B72" s="8"/>
      <c r="C72" s="19">
        <v>38896</v>
      </c>
      <c r="D72" s="76" t="s">
        <v>12</v>
      </c>
      <c r="E72" s="34"/>
      <c r="F72" s="34"/>
      <c r="G72" s="34"/>
      <c r="H72" s="34"/>
      <c r="I72" s="34"/>
      <c r="J72" s="31">
        <v>0</v>
      </c>
      <c r="K72" s="34"/>
      <c r="L72" s="34">
        <v>0.2</v>
      </c>
      <c r="M72" s="34">
        <v>10</v>
      </c>
      <c r="N72" s="34"/>
      <c r="O72" s="34"/>
      <c r="P72" s="34"/>
      <c r="Q72" s="34"/>
      <c r="R72" s="34"/>
      <c r="S72" s="34">
        <v>0.03</v>
      </c>
      <c r="T72" s="34">
        <v>0.01</v>
      </c>
      <c r="U72" s="48">
        <v>0</v>
      </c>
      <c r="V72" s="34"/>
      <c r="W72" s="34"/>
      <c r="X72" s="34"/>
      <c r="Y72" s="34"/>
      <c r="Z72" s="34">
        <v>8.4700000000000006</v>
      </c>
      <c r="AA72" s="34"/>
      <c r="AB72" s="34">
        <v>4</v>
      </c>
      <c r="AC72" s="34">
        <v>405</v>
      </c>
      <c r="AD72" s="34"/>
      <c r="AE72" s="34">
        <v>1.6</v>
      </c>
      <c r="AF72" s="34"/>
      <c r="AG72" s="34"/>
      <c r="AH72" s="34"/>
      <c r="AI72" s="52">
        <v>2700</v>
      </c>
      <c r="AJ72" s="52">
        <v>2200</v>
      </c>
      <c r="AK72" s="31">
        <v>30</v>
      </c>
      <c r="AL72" s="34">
        <v>157.6</v>
      </c>
      <c r="AM72" s="31">
        <v>0.83</v>
      </c>
      <c r="AN72" s="31">
        <v>1</v>
      </c>
      <c r="AO72" s="31">
        <v>3</v>
      </c>
      <c r="AP72" s="34">
        <f>14.9/1000</f>
        <v>1.49E-2</v>
      </c>
      <c r="AQ72" s="34">
        <f>1.1/1000</f>
        <v>1.1000000000000001E-3</v>
      </c>
      <c r="AR72" s="34"/>
      <c r="AS72" s="34">
        <v>8.9</v>
      </c>
      <c r="AT72" s="31">
        <v>38.9</v>
      </c>
      <c r="AU72" s="34"/>
      <c r="AV72" s="34"/>
      <c r="AW72" s="34">
        <f>0.8/1000</f>
        <v>8.0000000000000004E-4</v>
      </c>
      <c r="AX72" s="68">
        <f t="shared" si="0"/>
        <v>0.02</v>
      </c>
    </row>
    <row r="73" spans="1:50" x14ac:dyDescent="0.2">
      <c r="B73" s="8"/>
      <c r="C73" s="19">
        <v>38896</v>
      </c>
      <c r="D73" s="77" t="s">
        <v>13</v>
      </c>
      <c r="E73" s="34"/>
      <c r="F73" s="34"/>
      <c r="G73" s="34"/>
      <c r="H73" s="34"/>
      <c r="I73" s="34"/>
      <c r="J73" s="31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48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52"/>
      <c r="AJ73" s="52"/>
      <c r="AK73" s="34"/>
      <c r="AL73" s="34"/>
      <c r="AM73" s="31"/>
      <c r="AN73" s="34"/>
      <c r="AO73" s="31"/>
      <c r="AP73" s="34"/>
      <c r="AQ73" s="34"/>
      <c r="AR73" s="34"/>
      <c r="AS73" s="34"/>
      <c r="AT73" s="31"/>
      <c r="AU73" s="34"/>
      <c r="AV73" s="34"/>
      <c r="AW73" s="34"/>
      <c r="AX73" s="68" t="e">
        <f t="shared" si="0"/>
        <v>#DIV/0!</v>
      </c>
    </row>
    <row r="74" spans="1:50" x14ac:dyDescent="0.2">
      <c r="B74" s="8"/>
      <c r="C74" s="19">
        <v>38896</v>
      </c>
      <c r="D74" s="78" t="s">
        <v>14</v>
      </c>
      <c r="E74" s="34"/>
      <c r="F74" s="34"/>
      <c r="G74" s="34"/>
      <c r="H74" s="34"/>
      <c r="I74" s="34"/>
      <c r="J74" s="3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48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52"/>
      <c r="AJ74" s="52"/>
      <c r="AK74" s="34"/>
      <c r="AL74" s="34"/>
      <c r="AM74" s="31"/>
      <c r="AN74" s="34"/>
      <c r="AO74" s="31"/>
      <c r="AP74" s="34"/>
      <c r="AQ74" s="34"/>
      <c r="AR74" s="34"/>
      <c r="AS74" s="34"/>
      <c r="AT74" s="31"/>
      <c r="AU74" s="34"/>
      <c r="AV74" s="34"/>
      <c r="AW74" s="34"/>
      <c r="AX74" s="68" t="e">
        <f t="shared" si="0"/>
        <v>#DIV/0!</v>
      </c>
    </row>
    <row r="75" spans="1:50" x14ac:dyDescent="0.2">
      <c r="B75" s="10">
        <v>2011</v>
      </c>
      <c r="C75" s="23">
        <v>40625</v>
      </c>
      <c r="D75" s="27" t="s">
        <v>9</v>
      </c>
      <c r="E75" s="34"/>
      <c r="F75" s="34"/>
      <c r="G75" s="34"/>
      <c r="H75" s="34"/>
      <c r="I75" s="34"/>
      <c r="J75" s="31">
        <v>0.1</v>
      </c>
      <c r="K75" s="34"/>
      <c r="L75" s="34">
        <v>1.2</v>
      </c>
      <c r="M75" s="34">
        <v>54</v>
      </c>
      <c r="N75" s="34"/>
      <c r="O75" s="34"/>
      <c r="P75" s="34"/>
      <c r="Q75" s="34"/>
      <c r="R75" s="34"/>
      <c r="S75" s="34">
        <v>0.13</v>
      </c>
      <c r="T75" s="34">
        <v>0.08</v>
      </c>
      <c r="U75" s="48">
        <v>2.3E-2</v>
      </c>
      <c r="V75" s="34"/>
      <c r="W75" s="34"/>
      <c r="X75" s="34"/>
      <c r="Y75" s="34"/>
      <c r="Z75" s="34">
        <v>7.5</v>
      </c>
      <c r="AA75" s="34"/>
      <c r="AB75" s="34">
        <v>38</v>
      </c>
      <c r="AC75" s="34">
        <v>320</v>
      </c>
      <c r="AD75" s="34"/>
      <c r="AE75" s="34">
        <v>2</v>
      </c>
      <c r="AF75" s="34"/>
      <c r="AG75" s="34"/>
      <c r="AH75" s="34"/>
      <c r="AI75" s="52">
        <v>22000</v>
      </c>
      <c r="AJ75" s="52">
        <v>2800</v>
      </c>
      <c r="AK75" s="34">
        <v>1965</v>
      </c>
      <c r="AL75" s="34"/>
      <c r="AM75" s="31">
        <v>20</v>
      </c>
      <c r="AN75" s="34">
        <v>30.9</v>
      </c>
      <c r="AO75" s="31">
        <v>50</v>
      </c>
      <c r="AP75" s="34">
        <f>3432/1000</f>
        <v>3.4319999999999999</v>
      </c>
      <c r="AQ75" s="34">
        <f>60.1/1000</f>
        <v>6.0100000000000001E-2</v>
      </c>
      <c r="AR75" s="34"/>
      <c r="AS75" s="34">
        <v>34.799999999999997</v>
      </c>
      <c r="AT75" s="31">
        <v>100</v>
      </c>
      <c r="AU75" s="34"/>
      <c r="AV75" s="34"/>
      <c r="AW75" s="34">
        <f>53/1000</f>
        <v>5.2999999999999999E-2</v>
      </c>
      <c r="AX75" s="68">
        <f t="shared" si="0"/>
        <v>2.2222222222222223E-2</v>
      </c>
    </row>
    <row r="76" spans="1:50" x14ac:dyDescent="0.2">
      <c r="B76" s="9"/>
      <c r="C76" s="21">
        <v>40625</v>
      </c>
      <c r="D76" s="74" t="s">
        <v>10</v>
      </c>
      <c r="E76" s="34"/>
      <c r="F76" s="34"/>
      <c r="G76" s="34"/>
      <c r="H76" s="34"/>
      <c r="I76" s="34"/>
      <c r="J76" s="31">
        <v>0.1</v>
      </c>
      <c r="K76" s="34"/>
      <c r="L76" s="34">
        <v>1</v>
      </c>
      <c r="M76" s="34">
        <v>58</v>
      </c>
      <c r="N76" s="34"/>
      <c r="O76" s="34"/>
      <c r="P76" s="34"/>
      <c r="Q76" s="34"/>
      <c r="R76" s="34"/>
      <c r="S76" s="34">
        <v>0.12</v>
      </c>
      <c r="T76" s="34">
        <v>0.05</v>
      </c>
      <c r="U76" s="48">
        <v>0.01</v>
      </c>
      <c r="V76" s="34"/>
      <c r="W76" s="34"/>
      <c r="X76" s="34"/>
      <c r="Y76" s="34"/>
      <c r="Z76" s="34">
        <v>7.64</v>
      </c>
      <c r="AA76" s="34"/>
      <c r="AB76" s="34">
        <v>22</v>
      </c>
      <c r="AC76" s="34">
        <v>328</v>
      </c>
      <c r="AD76" s="34"/>
      <c r="AE76" s="34">
        <v>6.4</v>
      </c>
      <c r="AF76" s="34"/>
      <c r="AG76" s="34"/>
      <c r="AH76" s="34"/>
      <c r="AI76" s="52">
        <v>9400</v>
      </c>
      <c r="AJ76" s="52">
        <v>1300</v>
      </c>
      <c r="AK76" s="34">
        <v>2533</v>
      </c>
      <c r="AL76" s="34"/>
      <c r="AM76" s="31">
        <v>20</v>
      </c>
      <c r="AN76" s="34">
        <v>20.7</v>
      </c>
      <c r="AO76" s="31">
        <v>50</v>
      </c>
      <c r="AP76" s="34">
        <f>3100/1000</f>
        <v>3.1</v>
      </c>
      <c r="AQ76" s="34">
        <f>65.6/1000</f>
        <v>6.5599999999999992E-2</v>
      </c>
      <c r="AR76" s="34"/>
      <c r="AS76" s="34">
        <v>15.4</v>
      </c>
      <c r="AT76" s="31">
        <v>100</v>
      </c>
      <c r="AU76" s="34"/>
      <c r="AV76" s="34"/>
      <c r="AW76" s="34">
        <f>55.2/1000</f>
        <v>5.5200000000000006E-2</v>
      </c>
      <c r="AX76" s="68">
        <f t="shared" si="0"/>
        <v>1.7241379310344827E-2</v>
      </c>
    </row>
    <row r="77" spans="1:50" x14ac:dyDescent="0.2">
      <c r="B77" s="8"/>
      <c r="C77" s="21">
        <v>40625</v>
      </c>
      <c r="D77" s="75" t="s">
        <v>11</v>
      </c>
      <c r="E77" s="34"/>
      <c r="F77" s="34"/>
      <c r="G77" s="34"/>
      <c r="H77" s="34"/>
      <c r="I77" s="34"/>
      <c r="J77" s="31">
        <v>0.1</v>
      </c>
      <c r="K77" s="34"/>
      <c r="L77" s="34">
        <v>1.3</v>
      </c>
      <c r="M77" s="34">
        <v>44</v>
      </c>
      <c r="N77" s="34"/>
      <c r="O77" s="34"/>
      <c r="P77" s="34"/>
      <c r="Q77" s="34"/>
      <c r="R77" s="34"/>
      <c r="S77" s="34">
        <v>0.12</v>
      </c>
      <c r="T77" s="34">
        <v>0.04</v>
      </c>
      <c r="U77" s="48">
        <v>1.7000000000000001E-2</v>
      </c>
      <c r="V77" s="34"/>
      <c r="W77" s="34"/>
      <c r="X77" s="34"/>
      <c r="Y77" s="34"/>
      <c r="Z77" s="34">
        <v>7.77</v>
      </c>
      <c r="AA77" s="34"/>
      <c r="AB77" s="34">
        <v>28</v>
      </c>
      <c r="AC77" s="34">
        <v>337</v>
      </c>
      <c r="AD77" s="34"/>
      <c r="AE77" s="34">
        <v>8.4</v>
      </c>
      <c r="AF77" s="34"/>
      <c r="AG77" s="34"/>
      <c r="AH77" s="34"/>
      <c r="AI77" s="52">
        <v>24000</v>
      </c>
      <c r="AJ77" s="52">
        <v>4900</v>
      </c>
      <c r="AK77" s="34">
        <v>3932</v>
      </c>
      <c r="AL77" s="34"/>
      <c r="AM77" s="31">
        <v>20</v>
      </c>
      <c r="AN77" s="34">
        <v>18.899999999999999</v>
      </c>
      <c r="AO77" s="31">
        <v>50</v>
      </c>
      <c r="AP77" s="34">
        <f>4195/1000</f>
        <v>4.1950000000000003</v>
      </c>
      <c r="AQ77" s="34">
        <f>69.8/1000</f>
        <v>6.9800000000000001E-2</v>
      </c>
      <c r="AR77" s="34"/>
      <c r="AS77" s="34">
        <v>29.4</v>
      </c>
      <c r="AT77" s="31">
        <v>100</v>
      </c>
      <c r="AU77" s="34"/>
      <c r="AV77" s="34"/>
      <c r="AW77" s="34">
        <f>1249/1000</f>
        <v>1.2490000000000001</v>
      </c>
      <c r="AX77" s="68">
        <f t="shared" ref="AX77:AX140" si="1">+L77/M77</f>
        <v>2.9545454545454545E-2</v>
      </c>
    </row>
    <row r="78" spans="1:50" x14ac:dyDescent="0.2">
      <c r="B78" s="8"/>
      <c r="C78" s="21">
        <v>40625</v>
      </c>
      <c r="D78" s="76" t="s">
        <v>12</v>
      </c>
      <c r="E78" s="34"/>
      <c r="F78" s="34"/>
      <c r="G78" s="34"/>
      <c r="H78" s="34"/>
      <c r="I78" s="34"/>
      <c r="J78" s="31">
        <v>0.1</v>
      </c>
      <c r="K78" s="34"/>
      <c r="L78" s="34">
        <v>1</v>
      </c>
      <c r="M78" s="34">
        <v>50</v>
      </c>
      <c r="N78" s="34"/>
      <c r="O78" s="34"/>
      <c r="P78" s="34"/>
      <c r="Q78" s="34"/>
      <c r="R78" s="34"/>
      <c r="S78" s="34">
        <v>0.19</v>
      </c>
      <c r="T78" s="34">
        <v>7.0000000000000007E-2</v>
      </c>
      <c r="U78" s="48">
        <v>4.0000000000000001E-3</v>
      </c>
      <c r="V78" s="34"/>
      <c r="W78" s="34"/>
      <c r="X78" s="34"/>
      <c r="Y78" s="34"/>
      <c r="Z78" s="34">
        <v>7.88</v>
      </c>
      <c r="AA78" s="34"/>
      <c r="AB78" s="34">
        <v>193</v>
      </c>
      <c r="AC78" s="34">
        <v>513</v>
      </c>
      <c r="AD78" s="34"/>
      <c r="AE78" s="34">
        <v>17.600000000000001</v>
      </c>
      <c r="AF78" s="34"/>
      <c r="AG78" s="34"/>
      <c r="AH78" s="34"/>
      <c r="AI78" s="52">
        <v>22000</v>
      </c>
      <c r="AJ78" s="52">
        <v>3300</v>
      </c>
      <c r="AK78" s="34">
        <v>7656</v>
      </c>
      <c r="AL78" s="34"/>
      <c r="AM78" s="31">
        <v>20</v>
      </c>
      <c r="AN78" s="34">
        <v>28.2</v>
      </c>
      <c r="AO78" s="31">
        <v>50</v>
      </c>
      <c r="AP78" s="34">
        <f>9803/1000</f>
        <v>9.8030000000000008</v>
      </c>
      <c r="AQ78" s="34">
        <f>166.2/1000</f>
        <v>0.16619999999999999</v>
      </c>
      <c r="AR78" s="34"/>
      <c r="AS78" s="34">
        <v>33.5</v>
      </c>
      <c r="AT78" s="31">
        <v>100</v>
      </c>
      <c r="AU78" s="34"/>
      <c r="AV78" s="34"/>
      <c r="AW78" s="34">
        <f>63.3/1000</f>
        <v>6.3299999999999995E-2</v>
      </c>
      <c r="AX78" s="68">
        <f t="shared" si="1"/>
        <v>0.02</v>
      </c>
    </row>
    <row r="79" spans="1:50" x14ac:dyDescent="0.2">
      <c r="B79" s="8"/>
      <c r="C79" s="21">
        <v>40625</v>
      </c>
      <c r="D79" s="77" t="s">
        <v>13</v>
      </c>
      <c r="E79" s="34"/>
      <c r="F79" s="34"/>
      <c r="G79" s="34"/>
      <c r="H79" s="34"/>
      <c r="I79" s="34"/>
      <c r="J79" s="31">
        <v>0.1</v>
      </c>
      <c r="K79" s="34"/>
      <c r="L79" s="34">
        <v>1</v>
      </c>
      <c r="M79" s="34">
        <v>58</v>
      </c>
      <c r="N79" s="34"/>
      <c r="O79" s="34"/>
      <c r="P79" s="34"/>
      <c r="Q79" s="34"/>
      <c r="R79" s="34"/>
      <c r="S79" s="34">
        <v>0.1</v>
      </c>
      <c r="T79" s="34">
        <v>0.05</v>
      </c>
      <c r="U79" s="48">
        <v>7.0000000000000001E-3</v>
      </c>
      <c r="V79" s="34"/>
      <c r="W79" s="34"/>
      <c r="X79" s="34"/>
      <c r="Y79" s="34"/>
      <c r="Z79" s="34">
        <v>7.9</v>
      </c>
      <c r="AA79" s="34"/>
      <c r="AB79" s="34">
        <v>37</v>
      </c>
      <c r="AC79" s="34">
        <v>342</v>
      </c>
      <c r="AD79" s="34"/>
      <c r="AE79" s="34">
        <v>5.6</v>
      </c>
      <c r="AF79" s="34"/>
      <c r="AG79" s="34"/>
      <c r="AH79" s="34"/>
      <c r="AI79" s="52">
        <v>17000</v>
      </c>
      <c r="AJ79" s="52">
        <v>1700</v>
      </c>
      <c r="AK79" s="34">
        <v>5269</v>
      </c>
      <c r="AL79" s="34"/>
      <c r="AM79" s="31">
        <v>20</v>
      </c>
      <c r="AN79" s="34">
        <v>17.7</v>
      </c>
      <c r="AO79" s="31">
        <v>50</v>
      </c>
      <c r="AP79" s="34">
        <f>5002/1000</f>
        <v>5.0019999999999998</v>
      </c>
      <c r="AQ79" s="34">
        <f>66.5/1000</f>
        <v>6.6500000000000004E-2</v>
      </c>
      <c r="AR79" s="34"/>
      <c r="AS79" s="34">
        <v>25.7</v>
      </c>
      <c r="AT79" s="31">
        <v>100</v>
      </c>
      <c r="AU79" s="34"/>
      <c r="AV79" s="34"/>
      <c r="AW79" s="34">
        <f>31.9/1000</f>
        <v>3.1899999999999998E-2</v>
      </c>
      <c r="AX79" s="68">
        <f t="shared" si="1"/>
        <v>1.7241379310344827E-2</v>
      </c>
    </row>
    <row r="80" spans="1:50" x14ac:dyDescent="0.2">
      <c r="B80" s="8"/>
      <c r="C80" s="21">
        <v>40625</v>
      </c>
      <c r="D80" s="78" t="s">
        <v>14</v>
      </c>
      <c r="E80" s="34"/>
      <c r="F80" s="34"/>
      <c r="G80" s="34"/>
      <c r="H80" s="34"/>
      <c r="I80" s="34"/>
      <c r="J80" s="31">
        <v>0.1</v>
      </c>
      <c r="K80" s="34"/>
      <c r="L80" s="34">
        <v>0.3</v>
      </c>
      <c r="M80" s="34">
        <v>12</v>
      </c>
      <c r="N80" s="34"/>
      <c r="O80" s="34"/>
      <c r="P80" s="34"/>
      <c r="Q80" s="34"/>
      <c r="R80" s="34"/>
      <c r="S80" s="34">
        <v>7.0000000000000007E-2</v>
      </c>
      <c r="T80" s="34">
        <v>0.03</v>
      </c>
      <c r="U80" s="31">
        <v>2E-3</v>
      </c>
      <c r="V80" s="34"/>
      <c r="W80" s="34"/>
      <c r="X80" s="34"/>
      <c r="Y80" s="34"/>
      <c r="Z80" s="34">
        <v>8.1</v>
      </c>
      <c r="AA80" s="34"/>
      <c r="AB80" s="34">
        <v>37</v>
      </c>
      <c r="AC80" s="34">
        <v>455</v>
      </c>
      <c r="AD80" s="34"/>
      <c r="AE80" s="34">
        <v>6</v>
      </c>
      <c r="AF80" s="34"/>
      <c r="AG80" s="34"/>
      <c r="AH80" s="34"/>
      <c r="AI80" s="58">
        <v>16000</v>
      </c>
      <c r="AJ80" s="58">
        <v>16000</v>
      </c>
      <c r="AK80" s="34">
        <v>1186</v>
      </c>
      <c r="AL80" s="34"/>
      <c r="AM80" s="31">
        <v>20</v>
      </c>
      <c r="AN80" s="34">
        <v>13.4</v>
      </c>
      <c r="AO80" s="31">
        <v>50</v>
      </c>
      <c r="AP80" s="34">
        <f>2106/1000</f>
        <v>2.1059999999999999</v>
      </c>
      <c r="AQ80" s="34">
        <f>35/1000</f>
        <v>3.5000000000000003E-2</v>
      </c>
      <c r="AR80" s="34"/>
      <c r="AS80" s="34">
        <v>27.7</v>
      </c>
      <c r="AT80" s="31">
        <v>100</v>
      </c>
      <c r="AU80" s="34"/>
      <c r="AV80" s="34"/>
      <c r="AW80" s="34">
        <f>23.9/1000</f>
        <v>2.3899999999999998E-2</v>
      </c>
      <c r="AX80" s="68">
        <f t="shared" si="1"/>
        <v>2.4999999999999998E-2</v>
      </c>
    </row>
    <row r="81" spans="2:50" x14ac:dyDescent="0.2">
      <c r="B81" s="10"/>
      <c r="C81" s="21">
        <v>40716</v>
      </c>
      <c r="D81" s="27" t="s">
        <v>9</v>
      </c>
      <c r="E81" s="34"/>
      <c r="F81" s="34"/>
      <c r="G81" s="34"/>
      <c r="H81" s="34"/>
      <c r="I81" s="34"/>
      <c r="J81" s="34"/>
      <c r="K81" s="34"/>
      <c r="L81" s="34">
        <v>0.6</v>
      </c>
      <c r="M81" s="34">
        <v>16</v>
      </c>
      <c r="N81" s="34"/>
      <c r="O81" s="34"/>
      <c r="P81" s="34"/>
      <c r="Q81" s="34"/>
      <c r="R81" s="34"/>
      <c r="S81" s="34"/>
      <c r="T81" s="34"/>
      <c r="U81" s="48"/>
      <c r="V81" s="34"/>
      <c r="W81" s="34"/>
      <c r="X81" s="34"/>
      <c r="Y81" s="34"/>
      <c r="Z81" s="34">
        <v>7.98</v>
      </c>
      <c r="AA81" s="34"/>
      <c r="AB81" s="34"/>
      <c r="AC81" s="34"/>
      <c r="AD81" s="34"/>
      <c r="AE81" s="34"/>
      <c r="AF81" s="34"/>
      <c r="AG81" s="34"/>
      <c r="AH81" s="34"/>
      <c r="AI81" s="52">
        <v>2400</v>
      </c>
      <c r="AJ81" s="52">
        <v>790</v>
      </c>
      <c r="AK81" s="34"/>
      <c r="AL81" s="34"/>
      <c r="AM81" s="31">
        <v>20</v>
      </c>
      <c r="AN81" s="34">
        <v>6.3</v>
      </c>
      <c r="AO81" s="31">
        <v>6</v>
      </c>
      <c r="AP81" s="34">
        <f>285.9/1000</f>
        <v>0.28589999999999999</v>
      </c>
      <c r="AQ81" s="34">
        <f>20.9/1000</f>
        <v>2.0899999999999998E-2</v>
      </c>
      <c r="AR81" s="34"/>
      <c r="AS81" s="31">
        <v>15</v>
      </c>
      <c r="AT81" s="31">
        <v>100</v>
      </c>
      <c r="AU81" s="34"/>
      <c r="AV81" s="34"/>
      <c r="AW81" s="34">
        <f>4.1/1000</f>
        <v>4.0999999999999995E-3</v>
      </c>
      <c r="AX81" s="68">
        <f t="shared" si="1"/>
        <v>3.7499999999999999E-2</v>
      </c>
    </row>
    <row r="82" spans="2:50" x14ac:dyDescent="0.2">
      <c r="B82" s="9"/>
      <c r="C82" s="22">
        <v>40716</v>
      </c>
      <c r="D82" s="74" t="s">
        <v>10</v>
      </c>
      <c r="E82" s="34"/>
      <c r="F82" s="34"/>
      <c r="G82" s="34"/>
      <c r="H82" s="34"/>
      <c r="I82" s="34"/>
      <c r="J82" s="34"/>
      <c r="K82" s="34"/>
      <c r="L82" s="34">
        <v>0.6</v>
      </c>
      <c r="M82" s="34">
        <v>18</v>
      </c>
      <c r="N82" s="34"/>
      <c r="O82" s="34"/>
      <c r="P82" s="34"/>
      <c r="Q82" s="34"/>
      <c r="R82" s="34"/>
      <c r="S82" s="34"/>
      <c r="T82" s="34"/>
      <c r="U82" s="48"/>
      <c r="V82" s="34"/>
      <c r="W82" s="34"/>
      <c r="X82" s="34"/>
      <c r="Y82" s="34"/>
      <c r="Z82" s="34">
        <v>8.01</v>
      </c>
      <c r="AA82" s="34"/>
      <c r="AB82" s="34"/>
      <c r="AC82" s="34"/>
      <c r="AD82" s="34"/>
      <c r="AE82" s="34"/>
      <c r="AF82" s="34"/>
      <c r="AG82" s="34"/>
      <c r="AH82" s="34"/>
      <c r="AI82" s="52">
        <v>2200</v>
      </c>
      <c r="AJ82" s="52">
        <v>1300</v>
      </c>
      <c r="AK82" s="34"/>
      <c r="AL82" s="34"/>
      <c r="AM82" s="31">
        <v>20</v>
      </c>
      <c r="AN82" s="34">
        <v>6.4</v>
      </c>
      <c r="AO82" s="31">
        <v>6</v>
      </c>
      <c r="AP82" s="34">
        <f>305.6/1000</f>
        <v>0.30560000000000004</v>
      </c>
      <c r="AQ82" s="34">
        <f>52/1000</f>
        <v>5.1999999999999998E-2</v>
      </c>
      <c r="AR82" s="34"/>
      <c r="AS82" s="31">
        <v>15</v>
      </c>
      <c r="AT82" s="31">
        <v>100</v>
      </c>
      <c r="AU82" s="34"/>
      <c r="AV82" s="34"/>
      <c r="AW82" s="34">
        <f>38.5/1000</f>
        <v>3.85E-2</v>
      </c>
      <c r="AX82" s="68">
        <f t="shared" si="1"/>
        <v>3.3333333333333333E-2</v>
      </c>
    </row>
    <row r="83" spans="2:50" x14ac:dyDescent="0.2">
      <c r="B83" s="8"/>
      <c r="C83" s="22">
        <v>40716</v>
      </c>
      <c r="D83" s="75" t="s">
        <v>11</v>
      </c>
      <c r="E83" s="34"/>
      <c r="F83" s="34"/>
      <c r="G83" s="34"/>
      <c r="H83" s="34"/>
      <c r="I83" s="34"/>
      <c r="J83" s="34"/>
      <c r="K83" s="34"/>
      <c r="L83" s="34">
        <v>0.6</v>
      </c>
      <c r="M83" s="34">
        <v>8</v>
      </c>
      <c r="N83" s="34"/>
      <c r="O83" s="34"/>
      <c r="P83" s="34"/>
      <c r="Q83" s="34"/>
      <c r="R83" s="34"/>
      <c r="S83" s="34"/>
      <c r="T83" s="34"/>
      <c r="U83" s="48"/>
      <c r="V83" s="34"/>
      <c r="W83" s="34"/>
      <c r="X83" s="34"/>
      <c r="Y83" s="34"/>
      <c r="Z83" s="34">
        <v>8.06</v>
      </c>
      <c r="AA83" s="34"/>
      <c r="AB83" s="34"/>
      <c r="AC83" s="34"/>
      <c r="AD83" s="34"/>
      <c r="AE83" s="34"/>
      <c r="AF83" s="34"/>
      <c r="AG83" s="34"/>
      <c r="AH83" s="34"/>
      <c r="AI83" s="52">
        <v>1100</v>
      </c>
      <c r="AJ83" s="52">
        <v>490</v>
      </c>
      <c r="AK83" s="34"/>
      <c r="AL83" s="34"/>
      <c r="AM83" s="31">
        <v>20</v>
      </c>
      <c r="AN83" s="34">
        <v>5.9</v>
      </c>
      <c r="AO83" s="31">
        <v>6</v>
      </c>
      <c r="AP83" s="34">
        <f>307/1000</f>
        <v>0.307</v>
      </c>
      <c r="AQ83" s="34">
        <f>44.6/1000</f>
        <v>4.4600000000000001E-2</v>
      </c>
      <c r="AR83" s="34"/>
      <c r="AS83" s="31">
        <v>15</v>
      </c>
      <c r="AT83" s="31">
        <v>100</v>
      </c>
      <c r="AU83" s="34"/>
      <c r="AV83" s="34"/>
      <c r="AW83" s="34">
        <f>124.6/1000</f>
        <v>0.12459999999999999</v>
      </c>
      <c r="AX83" s="68">
        <f t="shared" si="1"/>
        <v>7.4999999999999997E-2</v>
      </c>
    </row>
    <row r="84" spans="2:50" x14ac:dyDescent="0.2">
      <c r="B84" s="8"/>
      <c r="C84" s="22">
        <v>40716</v>
      </c>
      <c r="D84" s="76" t="s">
        <v>12</v>
      </c>
      <c r="E84" s="34"/>
      <c r="F84" s="34"/>
      <c r="G84" s="34"/>
      <c r="H84" s="34"/>
      <c r="I84" s="34"/>
      <c r="J84" s="34"/>
      <c r="K84" s="34"/>
      <c r="L84" s="34">
        <v>0.6</v>
      </c>
      <c r="M84" s="34">
        <v>16</v>
      </c>
      <c r="N84" s="34"/>
      <c r="O84" s="34"/>
      <c r="P84" s="34"/>
      <c r="Q84" s="34"/>
      <c r="R84" s="34"/>
      <c r="S84" s="34"/>
      <c r="T84" s="34"/>
      <c r="U84" s="48"/>
      <c r="V84" s="34"/>
      <c r="W84" s="34"/>
      <c r="X84" s="34"/>
      <c r="Y84" s="34"/>
      <c r="Z84" s="34">
        <v>8.11</v>
      </c>
      <c r="AA84" s="34"/>
      <c r="AB84" s="34"/>
      <c r="AC84" s="34"/>
      <c r="AD84" s="34"/>
      <c r="AE84" s="34"/>
      <c r="AF84" s="34"/>
      <c r="AG84" s="34"/>
      <c r="AH84" s="34"/>
      <c r="AI84" s="52">
        <v>17000</v>
      </c>
      <c r="AJ84" s="52">
        <v>7900</v>
      </c>
      <c r="AK84" s="34"/>
      <c r="AL84" s="34"/>
      <c r="AM84" s="31">
        <v>20</v>
      </c>
      <c r="AN84" s="34">
        <v>6.2</v>
      </c>
      <c r="AO84" s="31">
        <v>6</v>
      </c>
      <c r="AP84" s="34">
        <f>260.1/1000</f>
        <v>0.2601</v>
      </c>
      <c r="AQ84" s="34">
        <f>34.5/1000</f>
        <v>3.4500000000000003E-2</v>
      </c>
      <c r="AR84" s="34"/>
      <c r="AS84" s="31">
        <v>15</v>
      </c>
      <c r="AT84" s="31">
        <v>100</v>
      </c>
      <c r="AU84" s="34"/>
      <c r="AV84" s="34"/>
      <c r="AW84" s="34">
        <f>94.7/1000</f>
        <v>9.4700000000000006E-2</v>
      </c>
      <c r="AX84" s="68">
        <f t="shared" si="1"/>
        <v>3.7499999999999999E-2</v>
      </c>
    </row>
    <row r="85" spans="2:50" x14ac:dyDescent="0.2">
      <c r="B85" s="8"/>
      <c r="C85" s="22">
        <v>40716</v>
      </c>
      <c r="D85" s="77" t="s">
        <v>13</v>
      </c>
      <c r="E85" s="34"/>
      <c r="F85" s="34"/>
      <c r="G85" s="34"/>
      <c r="H85" s="34"/>
      <c r="I85" s="34"/>
      <c r="J85" s="34"/>
      <c r="K85" s="34"/>
      <c r="L85" s="34">
        <v>0.7</v>
      </c>
      <c r="M85" s="34">
        <v>14</v>
      </c>
      <c r="N85" s="34"/>
      <c r="O85" s="34"/>
      <c r="P85" s="34"/>
      <c r="Q85" s="34"/>
      <c r="R85" s="34"/>
      <c r="S85" s="34"/>
      <c r="T85" s="34"/>
      <c r="U85" s="48"/>
      <c r="V85" s="34"/>
      <c r="W85" s="34"/>
      <c r="X85" s="34"/>
      <c r="Y85" s="34"/>
      <c r="Z85" s="34">
        <v>8.0399999999999991</v>
      </c>
      <c r="AA85" s="34"/>
      <c r="AB85" s="34"/>
      <c r="AC85" s="34"/>
      <c r="AD85" s="34"/>
      <c r="AE85" s="34"/>
      <c r="AF85" s="34"/>
      <c r="AG85" s="34"/>
      <c r="AH85" s="34"/>
      <c r="AI85" s="52">
        <v>940</v>
      </c>
      <c r="AJ85" s="52">
        <v>700</v>
      </c>
      <c r="AK85" s="34"/>
      <c r="AL85" s="34"/>
      <c r="AM85" s="31">
        <v>20</v>
      </c>
      <c r="AN85" s="34">
        <v>5.7</v>
      </c>
      <c r="AO85" s="31">
        <v>6</v>
      </c>
      <c r="AP85" s="34">
        <f>288/1000</f>
        <v>0.28799999999999998</v>
      </c>
      <c r="AQ85" s="34">
        <f>46.4/1000</f>
        <v>4.6399999999999997E-2</v>
      </c>
      <c r="AR85" s="34"/>
      <c r="AS85" s="31">
        <v>15</v>
      </c>
      <c r="AT85" s="31">
        <v>100</v>
      </c>
      <c r="AU85" s="34"/>
      <c r="AV85" s="34"/>
      <c r="AW85" s="34">
        <f>50.4/1000</f>
        <v>5.04E-2</v>
      </c>
      <c r="AX85" s="68">
        <f t="shared" si="1"/>
        <v>4.9999999999999996E-2</v>
      </c>
    </row>
    <row r="86" spans="2:50" x14ac:dyDescent="0.2">
      <c r="B86" s="8"/>
      <c r="C86" s="22">
        <v>40716</v>
      </c>
      <c r="D86" s="78" t="s">
        <v>14</v>
      </c>
      <c r="E86" s="34"/>
      <c r="F86" s="34"/>
      <c r="G86" s="34"/>
      <c r="H86" s="34"/>
      <c r="I86" s="34"/>
      <c r="J86" s="34"/>
      <c r="K86" s="34"/>
      <c r="L86" s="34">
        <v>0.3</v>
      </c>
      <c r="M86" s="34">
        <v>6</v>
      </c>
      <c r="N86" s="34"/>
      <c r="O86" s="34"/>
      <c r="P86" s="34"/>
      <c r="Q86" s="34"/>
      <c r="R86" s="34"/>
      <c r="S86" s="34"/>
      <c r="T86" s="34"/>
      <c r="U86" s="48"/>
      <c r="V86" s="34"/>
      <c r="W86" s="34"/>
      <c r="X86" s="34"/>
      <c r="Y86" s="34"/>
      <c r="Z86" s="34">
        <v>7.82</v>
      </c>
      <c r="AA86" s="34"/>
      <c r="AB86" s="34"/>
      <c r="AC86" s="34"/>
      <c r="AD86" s="34"/>
      <c r="AE86" s="34"/>
      <c r="AF86" s="34"/>
      <c r="AG86" s="34"/>
      <c r="AH86" s="34"/>
      <c r="AI86" s="52">
        <v>1300</v>
      </c>
      <c r="AJ86" s="52">
        <v>790</v>
      </c>
      <c r="AK86" s="34"/>
      <c r="AL86" s="34"/>
      <c r="AM86" s="31">
        <v>20</v>
      </c>
      <c r="AN86" s="34">
        <v>4.5</v>
      </c>
      <c r="AO86" s="31">
        <v>6</v>
      </c>
      <c r="AP86" s="34">
        <f>77.8/1000</f>
        <v>7.7799999999999994E-2</v>
      </c>
      <c r="AQ86" s="34">
        <f>9.7/1000</f>
        <v>9.6999999999999986E-3</v>
      </c>
      <c r="AR86" s="34"/>
      <c r="AS86" s="31">
        <v>15</v>
      </c>
      <c r="AT86" s="31">
        <v>100</v>
      </c>
      <c r="AU86" s="34"/>
      <c r="AV86" s="34"/>
      <c r="AW86" s="34">
        <f>56.1/1000</f>
        <v>5.6100000000000004E-2</v>
      </c>
      <c r="AX86" s="68">
        <f t="shared" si="1"/>
        <v>4.9999999999999996E-2</v>
      </c>
    </row>
    <row r="87" spans="2:50" x14ac:dyDescent="0.2">
      <c r="B87" s="10"/>
      <c r="C87" s="22">
        <v>40821</v>
      </c>
      <c r="D87" s="27" t="s">
        <v>9</v>
      </c>
      <c r="E87" s="34"/>
      <c r="F87" s="34"/>
      <c r="G87" s="34"/>
      <c r="H87" s="34"/>
      <c r="I87" s="34"/>
      <c r="J87" s="31">
        <v>1</v>
      </c>
      <c r="K87" s="34"/>
      <c r="L87" s="34">
        <v>0.8</v>
      </c>
      <c r="M87" s="34">
        <v>58</v>
      </c>
      <c r="N87" s="34"/>
      <c r="O87" s="34"/>
      <c r="P87" s="34"/>
      <c r="Q87" s="34"/>
      <c r="R87" s="34"/>
      <c r="S87" s="34">
        <v>0.3</v>
      </c>
      <c r="T87" s="34">
        <v>0.11</v>
      </c>
      <c r="U87" s="31">
        <v>2E-3</v>
      </c>
      <c r="V87" s="34"/>
      <c r="W87" s="34"/>
      <c r="X87" s="34"/>
      <c r="Y87" s="34"/>
      <c r="Z87" s="34">
        <v>7.82</v>
      </c>
      <c r="AA87" s="34"/>
      <c r="AB87" s="34">
        <v>105</v>
      </c>
      <c r="AC87" s="34">
        <v>366</v>
      </c>
      <c r="AD87" s="34"/>
      <c r="AE87" s="34">
        <v>5.2</v>
      </c>
      <c r="AF87" s="34"/>
      <c r="AG87" s="34"/>
      <c r="AH87" s="34"/>
      <c r="AI87" s="52">
        <v>4900</v>
      </c>
      <c r="AJ87" s="52">
        <v>4900</v>
      </c>
      <c r="AK87" s="34">
        <v>20140</v>
      </c>
      <c r="AL87" s="34"/>
      <c r="AM87" s="31">
        <v>20</v>
      </c>
      <c r="AN87" s="34">
        <v>22</v>
      </c>
      <c r="AO87" s="31">
        <v>20</v>
      </c>
      <c r="AP87" s="34">
        <f>12890/1000</f>
        <v>12.89</v>
      </c>
      <c r="AQ87" s="34">
        <f>121.7/1000</f>
        <v>0.1217</v>
      </c>
      <c r="AR87" s="34"/>
      <c r="AS87" s="37">
        <v>50</v>
      </c>
      <c r="AT87" s="31">
        <v>100</v>
      </c>
      <c r="AU87" s="34"/>
      <c r="AV87" s="34"/>
      <c r="AW87" s="34">
        <f>54.7/1000</f>
        <v>5.4700000000000006E-2</v>
      </c>
      <c r="AX87" s="68">
        <f t="shared" si="1"/>
        <v>1.3793103448275864E-2</v>
      </c>
    </row>
    <row r="88" spans="2:50" x14ac:dyDescent="0.2">
      <c r="B88" s="9"/>
      <c r="C88" s="21">
        <v>40821</v>
      </c>
      <c r="D88" s="74" t="s">
        <v>10</v>
      </c>
      <c r="E88" s="34"/>
      <c r="F88" s="34"/>
      <c r="G88" s="34"/>
      <c r="H88" s="34"/>
      <c r="I88" s="34"/>
      <c r="J88" s="31">
        <v>1</v>
      </c>
      <c r="K88" s="34"/>
      <c r="L88" s="34">
        <v>1</v>
      </c>
      <c r="M88" s="34">
        <v>58</v>
      </c>
      <c r="N88" s="34"/>
      <c r="O88" s="34"/>
      <c r="P88" s="34"/>
      <c r="Q88" s="34"/>
      <c r="R88" s="34"/>
      <c r="S88" s="34">
        <v>23</v>
      </c>
      <c r="T88" s="34">
        <v>0.15</v>
      </c>
      <c r="U88" s="31">
        <v>2E-3</v>
      </c>
      <c r="V88" s="34"/>
      <c r="W88" s="34"/>
      <c r="X88" s="34"/>
      <c r="Y88" s="34"/>
      <c r="Z88" s="34">
        <v>7.81</v>
      </c>
      <c r="AA88" s="34"/>
      <c r="AB88" s="34">
        <v>116</v>
      </c>
      <c r="AC88" s="34">
        <v>412</v>
      </c>
      <c r="AD88" s="34"/>
      <c r="AE88" s="34">
        <v>2.8</v>
      </c>
      <c r="AF88" s="34"/>
      <c r="AG88" s="34"/>
      <c r="AH88" s="34"/>
      <c r="AI88" s="52">
        <v>13000</v>
      </c>
      <c r="AJ88" s="52">
        <v>13000</v>
      </c>
      <c r="AK88" s="34">
        <v>13960</v>
      </c>
      <c r="AL88" s="34"/>
      <c r="AM88" s="31">
        <v>20</v>
      </c>
      <c r="AN88" s="34">
        <v>24.4</v>
      </c>
      <c r="AO88" s="31">
        <v>20</v>
      </c>
      <c r="AP88" s="34">
        <f>9922/1000</f>
        <v>9.9220000000000006</v>
      </c>
      <c r="AQ88" s="34">
        <f>113.3/1000</f>
        <v>0.1133</v>
      </c>
      <c r="AR88" s="34"/>
      <c r="AS88" s="37">
        <v>50</v>
      </c>
      <c r="AT88" s="31">
        <v>100</v>
      </c>
      <c r="AU88" s="34"/>
      <c r="AV88" s="34"/>
      <c r="AW88" s="34">
        <f>52.9/1000</f>
        <v>5.2899999999999996E-2</v>
      </c>
      <c r="AX88" s="68">
        <f t="shared" si="1"/>
        <v>1.7241379310344827E-2</v>
      </c>
    </row>
    <row r="89" spans="2:50" x14ac:dyDescent="0.2">
      <c r="B89" s="8"/>
      <c r="C89" s="21">
        <v>40821</v>
      </c>
      <c r="D89" s="75" t="s">
        <v>11</v>
      </c>
      <c r="E89" s="34"/>
      <c r="F89" s="34"/>
      <c r="G89" s="34"/>
      <c r="H89" s="34"/>
      <c r="I89" s="34"/>
      <c r="J89" s="31">
        <v>1</v>
      </c>
      <c r="K89" s="34"/>
      <c r="L89" s="34">
        <v>0.8</v>
      </c>
      <c r="M89" s="34">
        <v>46</v>
      </c>
      <c r="N89" s="34"/>
      <c r="O89" s="34"/>
      <c r="P89" s="34"/>
      <c r="Q89" s="34"/>
      <c r="R89" s="34"/>
      <c r="S89" s="34">
        <v>0.14000000000000001</v>
      </c>
      <c r="T89" s="34">
        <v>0.09</v>
      </c>
      <c r="U89" s="31">
        <v>2E-3</v>
      </c>
      <c r="V89" s="34"/>
      <c r="W89" s="34"/>
      <c r="X89" s="34"/>
      <c r="Y89" s="34"/>
      <c r="Z89" s="34">
        <v>7.88</v>
      </c>
      <c r="AA89" s="34"/>
      <c r="AB89" s="34">
        <v>101</v>
      </c>
      <c r="AC89" s="34">
        <v>430</v>
      </c>
      <c r="AD89" s="34"/>
      <c r="AE89" s="34">
        <v>2.8</v>
      </c>
      <c r="AF89" s="34"/>
      <c r="AG89" s="34"/>
      <c r="AH89" s="34"/>
      <c r="AI89" s="52">
        <v>17000</v>
      </c>
      <c r="AJ89" s="52">
        <v>13000</v>
      </c>
      <c r="AK89" s="34">
        <v>17020</v>
      </c>
      <c r="AL89" s="34"/>
      <c r="AM89" s="31">
        <v>20</v>
      </c>
      <c r="AN89" s="34">
        <v>18.399999999999999</v>
      </c>
      <c r="AO89" s="31">
        <v>20</v>
      </c>
      <c r="AP89" s="34">
        <f>11720/1000</f>
        <v>11.72</v>
      </c>
      <c r="AQ89" s="34">
        <f>116.6/1000</f>
        <v>0.1166</v>
      </c>
      <c r="AR89" s="34"/>
      <c r="AS89" s="37">
        <v>50</v>
      </c>
      <c r="AT89" s="31">
        <v>100</v>
      </c>
      <c r="AU89" s="34"/>
      <c r="AV89" s="34"/>
      <c r="AW89" s="34">
        <f>35/1000</f>
        <v>3.5000000000000003E-2</v>
      </c>
      <c r="AX89" s="68">
        <f t="shared" si="1"/>
        <v>1.7391304347826087E-2</v>
      </c>
    </row>
    <row r="90" spans="2:50" x14ac:dyDescent="0.2">
      <c r="B90" s="8"/>
      <c r="C90" s="21">
        <v>40821</v>
      </c>
      <c r="D90" s="76" t="s">
        <v>12</v>
      </c>
      <c r="E90" s="34"/>
      <c r="F90" s="34"/>
      <c r="G90" s="34"/>
      <c r="H90" s="34"/>
      <c r="I90" s="34"/>
      <c r="J90" s="31">
        <v>1</v>
      </c>
      <c r="K90" s="34"/>
      <c r="L90" s="34">
        <v>0.6</v>
      </c>
      <c r="M90" s="34">
        <v>46</v>
      </c>
      <c r="N90" s="34"/>
      <c r="O90" s="34"/>
      <c r="P90" s="34"/>
      <c r="Q90" s="34"/>
      <c r="R90" s="34"/>
      <c r="S90" s="34">
        <v>0.27</v>
      </c>
      <c r="T90" s="34">
        <v>0.09</v>
      </c>
      <c r="U90" s="31">
        <v>2E-3</v>
      </c>
      <c r="V90" s="34"/>
      <c r="W90" s="34"/>
      <c r="X90" s="34"/>
      <c r="Y90" s="34"/>
      <c r="Z90" s="34">
        <v>8.0299999999999994</v>
      </c>
      <c r="AA90" s="34"/>
      <c r="AB90" s="34">
        <v>143</v>
      </c>
      <c r="AC90" s="34">
        <v>438</v>
      </c>
      <c r="AD90" s="34"/>
      <c r="AE90" s="34">
        <v>3.2</v>
      </c>
      <c r="AF90" s="34"/>
      <c r="AG90" s="34"/>
      <c r="AH90" s="34"/>
      <c r="AI90" s="52">
        <v>17000</v>
      </c>
      <c r="AJ90" s="52">
        <v>4900</v>
      </c>
      <c r="AK90" s="34">
        <v>16970</v>
      </c>
      <c r="AL90" s="34"/>
      <c r="AM90" s="31">
        <v>20</v>
      </c>
      <c r="AN90" s="34">
        <v>22.5</v>
      </c>
      <c r="AO90" s="31">
        <v>20</v>
      </c>
      <c r="AP90" s="34">
        <f>13190/1000</f>
        <v>13.19</v>
      </c>
      <c r="AQ90" s="34">
        <f>155.7/1000</f>
        <v>0.15569999999999998</v>
      </c>
      <c r="AR90" s="34"/>
      <c r="AS90" s="37">
        <v>50</v>
      </c>
      <c r="AT90" s="31">
        <v>100</v>
      </c>
      <c r="AU90" s="34"/>
      <c r="AV90" s="34"/>
      <c r="AW90" s="34">
        <f>46.9/1000</f>
        <v>4.6899999999999997E-2</v>
      </c>
      <c r="AX90" s="68">
        <f t="shared" si="1"/>
        <v>1.3043478260869565E-2</v>
      </c>
    </row>
    <row r="91" spans="2:50" x14ac:dyDescent="0.2">
      <c r="B91" s="8"/>
      <c r="C91" s="21">
        <v>40821</v>
      </c>
      <c r="D91" s="77" t="s">
        <v>13</v>
      </c>
      <c r="E91" s="34"/>
      <c r="F91" s="34"/>
      <c r="G91" s="34"/>
      <c r="H91" s="34"/>
      <c r="I91" s="34"/>
      <c r="J91" s="31">
        <v>1</v>
      </c>
      <c r="K91" s="34"/>
      <c r="L91" s="34">
        <v>1.1000000000000001</v>
      </c>
      <c r="M91" s="34">
        <v>64</v>
      </c>
      <c r="N91" s="34"/>
      <c r="O91" s="34"/>
      <c r="P91" s="34"/>
      <c r="Q91" s="34"/>
      <c r="R91" s="34"/>
      <c r="S91" s="34">
        <v>0.28999999999999998</v>
      </c>
      <c r="T91" s="34">
        <v>0.09</v>
      </c>
      <c r="U91" s="31">
        <v>2E-3</v>
      </c>
      <c r="V91" s="34"/>
      <c r="W91" s="34"/>
      <c r="X91" s="34"/>
      <c r="Y91" s="34"/>
      <c r="Z91" s="34">
        <v>7.94</v>
      </c>
      <c r="AA91" s="34"/>
      <c r="AB91" s="34">
        <v>103</v>
      </c>
      <c r="AC91" s="34">
        <v>399</v>
      </c>
      <c r="AD91" s="34"/>
      <c r="AE91" s="34">
        <v>4.4000000000000004</v>
      </c>
      <c r="AF91" s="34"/>
      <c r="AG91" s="34"/>
      <c r="AH91" s="34"/>
      <c r="AI91" s="52">
        <v>49000</v>
      </c>
      <c r="AJ91" s="52">
        <v>7900</v>
      </c>
      <c r="AK91" s="34">
        <v>20810</v>
      </c>
      <c r="AL91" s="34"/>
      <c r="AM91" s="31">
        <v>20</v>
      </c>
      <c r="AN91" s="34">
        <v>20.7</v>
      </c>
      <c r="AO91" s="31">
        <v>20</v>
      </c>
      <c r="AP91" s="34">
        <f>13500/1000</f>
        <v>13.5</v>
      </c>
      <c r="AQ91" s="34">
        <f>146.5/1000</f>
        <v>0.14649999999999999</v>
      </c>
      <c r="AR91" s="34"/>
      <c r="AS91" s="34">
        <v>14.9</v>
      </c>
      <c r="AT91" s="31">
        <v>100</v>
      </c>
      <c r="AU91" s="34"/>
      <c r="AV91" s="34"/>
      <c r="AW91" s="34">
        <f>45.1/1000</f>
        <v>4.5100000000000001E-2</v>
      </c>
      <c r="AX91" s="68">
        <f t="shared" si="1"/>
        <v>1.7187500000000001E-2</v>
      </c>
    </row>
    <row r="92" spans="2:50" x14ac:dyDescent="0.2">
      <c r="B92" s="8"/>
      <c r="C92" s="21">
        <v>40821</v>
      </c>
      <c r="D92" s="78" t="s">
        <v>14</v>
      </c>
      <c r="E92" s="34"/>
      <c r="F92" s="34"/>
      <c r="G92" s="34"/>
      <c r="H92" s="34"/>
      <c r="I92" s="34"/>
      <c r="J92" s="31">
        <v>1</v>
      </c>
      <c r="K92" s="34"/>
      <c r="L92" s="34">
        <v>0.4</v>
      </c>
      <c r="M92" s="34">
        <v>14</v>
      </c>
      <c r="N92" s="34"/>
      <c r="O92" s="34"/>
      <c r="P92" s="34"/>
      <c r="Q92" s="34"/>
      <c r="R92" s="34"/>
      <c r="S92" s="34">
        <v>0.06</v>
      </c>
      <c r="T92" s="34">
        <v>0.09</v>
      </c>
      <c r="U92" s="31">
        <v>2E-3</v>
      </c>
      <c r="V92" s="34"/>
      <c r="W92" s="34"/>
      <c r="X92" s="34"/>
      <c r="Y92" s="34"/>
      <c r="Z92" s="34">
        <v>8.1199999999999992</v>
      </c>
      <c r="AA92" s="34"/>
      <c r="AB92" s="34">
        <v>9</v>
      </c>
      <c r="AC92" s="34">
        <v>367</v>
      </c>
      <c r="AD92" s="34"/>
      <c r="AE92" s="34">
        <v>7.6</v>
      </c>
      <c r="AF92" s="34"/>
      <c r="AG92" s="34"/>
      <c r="AH92" s="34"/>
      <c r="AI92" s="52">
        <v>4900</v>
      </c>
      <c r="AJ92" s="52">
        <v>1300</v>
      </c>
      <c r="AK92" s="34">
        <v>704.5</v>
      </c>
      <c r="AL92" s="34"/>
      <c r="AM92" s="31">
        <v>20</v>
      </c>
      <c r="AN92" s="34">
        <v>20.2</v>
      </c>
      <c r="AO92" s="31">
        <v>20</v>
      </c>
      <c r="AP92" s="34">
        <f>726.5/1000</f>
        <v>0.72650000000000003</v>
      </c>
      <c r="AQ92" s="34">
        <f>13.2/1000</f>
        <v>1.32E-2</v>
      </c>
      <c r="AR92" s="34"/>
      <c r="AS92" s="34">
        <v>117.2</v>
      </c>
      <c r="AT92" s="31">
        <v>100</v>
      </c>
      <c r="AU92" s="34"/>
      <c r="AV92" s="34"/>
      <c r="AW92" s="34">
        <f>256.2/1000</f>
        <v>0.25619999999999998</v>
      </c>
      <c r="AX92" s="68">
        <f t="shared" si="1"/>
        <v>2.8571428571428574E-2</v>
      </c>
    </row>
    <row r="93" spans="2:50" x14ac:dyDescent="0.2">
      <c r="B93" s="10"/>
      <c r="C93" s="21">
        <v>40897</v>
      </c>
      <c r="D93" s="27" t="s">
        <v>9</v>
      </c>
      <c r="E93" s="34"/>
      <c r="F93" s="34"/>
      <c r="G93" s="34"/>
      <c r="H93" s="34"/>
      <c r="I93" s="34"/>
      <c r="J93" s="31"/>
      <c r="K93" s="34"/>
      <c r="L93" s="34">
        <v>1</v>
      </c>
      <c r="M93" s="34">
        <v>42</v>
      </c>
      <c r="N93" s="34"/>
      <c r="O93" s="34"/>
      <c r="P93" s="34"/>
      <c r="Q93" s="34"/>
      <c r="R93" s="34"/>
      <c r="S93" s="34"/>
      <c r="T93" s="34"/>
      <c r="U93" s="31"/>
      <c r="V93" s="34"/>
      <c r="W93" s="34"/>
      <c r="X93" s="34"/>
      <c r="Y93" s="34"/>
      <c r="Z93" s="34">
        <v>7.84</v>
      </c>
      <c r="AA93" s="34"/>
      <c r="AB93" s="52"/>
      <c r="AC93" s="34"/>
      <c r="AD93" s="34"/>
      <c r="AE93" s="34"/>
      <c r="AF93" s="34"/>
      <c r="AG93" s="34"/>
      <c r="AH93" s="34"/>
      <c r="AI93" s="52">
        <v>4000</v>
      </c>
      <c r="AJ93" s="52">
        <v>3500</v>
      </c>
      <c r="AK93" s="34"/>
      <c r="AL93" s="34"/>
      <c r="AM93" s="31">
        <v>20</v>
      </c>
      <c r="AN93" s="31">
        <v>4</v>
      </c>
      <c r="AO93" s="31">
        <v>20</v>
      </c>
      <c r="AP93" s="34">
        <f>5927/1000</f>
        <v>5.9269999999999996</v>
      </c>
      <c r="AQ93" s="34"/>
      <c r="AR93" s="34"/>
      <c r="AS93" s="37">
        <v>50</v>
      </c>
      <c r="AT93" s="31">
        <v>100</v>
      </c>
      <c r="AU93" s="34"/>
      <c r="AV93" s="34"/>
      <c r="AW93" s="34">
        <f>15.8/1000</f>
        <v>1.5800000000000002E-2</v>
      </c>
      <c r="AX93" s="68">
        <f t="shared" si="1"/>
        <v>2.3809523809523808E-2</v>
      </c>
    </row>
    <row r="94" spans="2:50" x14ac:dyDescent="0.2">
      <c r="B94" s="9"/>
      <c r="C94" s="21">
        <v>40897</v>
      </c>
      <c r="D94" s="74" t="s">
        <v>10</v>
      </c>
      <c r="E94" s="34"/>
      <c r="F94" s="34"/>
      <c r="G94" s="34"/>
      <c r="H94" s="34"/>
      <c r="I94" s="34"/>
      <c r="J94" s="31"/>
      <c r="K94" s="34"/>
      <c r="L94" s="34">
        <v>0.9</v>
      </c>
      <c r="M94" s="34">
        <v>38</v>
      </c>
      <c r="N94" s="34"/>
      <c r="O94" s="34"/>
      <c r="P94" s="34"/>
      <c r="Q94" s="34"/>
      <c r="R94" s="34"/>
      <c r="S94" s="34"/>
      <c r="T94" s="34"/>
      <c r="U94" s="31"/>
      <c r="V94" s="34"/>
      <c r="W94" s="34"/>
      <c r="X94" s="34"/>
      <c r="Y94" s="34"/>
      <c r="Z94" s="34">
        <v>7.74</v>
      </c>
      <c r="AA94" s="34"/>
      <c r="AB94" s="52"/>
      <c r="AC94" s="34"/>
      <c r="AD94" s="34"/>
      <c r="AE94" s="34"/>
      <c r="AF94" s="34"/>
      <c r="AG94" s="34"/>
      <c r="AH94" s="34"/>
      <c r="AI94" s="52">
        <v>11000</v>
      </c>
      <c r="AJ94" s="52">
        <v>3300</v>
      </c>
      <c r="AK94" s="34"/>
      <c r="AL94" s="34"/>
      <c r="AM94" s="31">
        <v>20</v>
      </c>
      <c r="AN94" s="31">
        <v>4</v>
      </c>
      <c r="AO94" s="31">
        <v>20</v>
      </c>
      <c r="AP94" s="34">
        <f>8325/1000</f>
        <v>8.3249999999999993</v>
      </c>
      <c r="AQ94" s="34"/>
      <c r="AR94" s="34"/>
      <c r="AS94" s="37">
        <v>50</v>
      </c>
      <c r="AT94" s="31">
        <v>100</v>
      </c>
      <c r="AU94" s="34"/>
      <c r="AV94" s="34"/>
      <c r="AW94" s="34">
        <f>38.2/1000</f>
        <v>3.8200000000000005E-2</v>
      </c>
      <c r="AX94" s="68">
        <f t="shared" si="1"/>
        <v>2.368421052631579E-2</v>
      </c>
    </row>
    <row r="95" spans="2:50" x14ac:dyDescent="0.2">
      <c r="B95" s="8"/>
      <c r="C95" s="21">
        <v>40897</v>
      </c>
      <c r="D95" s="75" t="s">
        <v>11</v>
      </c>
      <c r="E95" s="34"/>
      <c r="F95" s="34"/>
      <c r="G95" s="34"/>
      <c r="H95" s="34"/>
      <c r="I95" s="34"/>
      <c r="J95" s="31"/>
      <c r="K95" s="34"/>
      <c r="L95" s="34">
        <v>1.4</v>
      </c>
      <c r="M95" s="34">
        <v>40</v>
      </c>
      <c r="N95" s="34"/>
      <c r="O95" s="34"/>
      <c r="P95" s="34"/>
      <c r="Q95" s="34"/>
      <c r="R95" s="34"/>
      <c r="S95" s="34"/>
      <c r="T95" s="34"/>
      <c r="U95" s="31"/>
      <c r="V95" s="34"/>
      <c r="W95" s="34"/>
      <c r="X95" s="34"/>
      <c r="Y95" s="34"/>
      <c r="Z95" s="34">
        <v>7.72</v>
      </c>
      <c r="AA95" s="34"/>
      <c r="AB95" s="34"/>
      <c r="AC95" s="34"/>
      <c r="AD95" s="34"/>
      <c r="AE95" s="34"/>
      <c r="AF95" s="34"/>
      <c r="AG95" s="34"/>
      <c r="AH95" s="34"/>
      <c r="AI95" s="52">
        <v>17000</v>
      </c>
      <c r="AJ95" s="52">
        <v>7000</v>
      </c>
      <c r="AK95" s="34"/>
      <c r="AL95" s="34"/>
      <c r="AM95" s="31">
        <v>20</v>
      </c>
      <c r="AN95" s="34">
        <v>6.1</v>
      </c>
      <c r="AO95" s="31">
        <v>20</v>
      </c>
      <c r="AP95" s="34">
        <f>14580/1000</f>
        <v>14.58</v>
      </c>
      <c r="AQ95" s="34"/>
      <c r="AR95" s="34"/>
      <c r="AS95" s="37">
        <v>50</v>
      </c>
      <c r="AT95" s="31">
        <v>100</v>
      </c>
      <c r="AU95" s="34"/>
      <c r="AV95" s="34"/>
      <c r="AW95" s="34">
        <f>37.7/1000</f>
        <v>3.7700000000000004E-2</v>
      </c>
      <c r="AX95" s="68">
        <f t="shared" si="1"/>
        <v>3.4999999999999996E-2</v>
      </c>
    </row>
    <row r="96" spans="2:50" x14ac:dyDescent="0.2">
      <c r="B96" s="8"/>
      <c r="C96" s="21">
        <v>40897</v>
      </c>
      <c r="D96" s="76" t="s">
        <v>12</v>
      </c>
      <c r="E96" s="34"/>
      <c r="F96" s="34"/>
      <c r="G96" s="34"/>
      <c r="H96" s="34"/>
      <c r="I96" s="34"/>
      <c r="J96" s="31"/>
      <c r="K96" s="34"/>
      <c r="L96" s="34">
        <v>1.1000000000000001</v>
      </c>
      <c r="M96" s="34">
        <v>46</v>
      </c>
      <c r="N96" s="34"/>
      <c r="O96" s="34"/>
      <c r="P96" s="34"/>
      <c r="Q96" s="34"/>
      <c r="R96" s="34"/>
      <c r="S96" s="34"/>
      <c r="T96" s="34"/>
      <c r="U96" s="31"/>
      <c r="V96" s="34"/>
      <c r="W96" s="34"/>
      <c r="X96" s="34"/>
      <c r="Y96" s="34"/>
      <c r="Z96" s="34">
        <v>7.79</v>
      </c>
      <c r="AA96" s="34"/>
      <c r="AB96" s="34"/>
      <c r="AC96" s="34"/>
      <c r="AD96" s="34"/>
      <c r="AE96" s="34"/>
      <c r="AF96" s="34"/>
      <c r="AG96" s="34"/>
      <c r="AH96" s="34"/>
      <c r="AI96" s="52">
        <v>11000</v>
      </c>
      <c r="AJ96" s="52">
        <v>3300</v>
      </c>
      <c r="AK96" s="34"/>
      <c r="AL96" s="34"/>
      <c r="AM96" s="31">
        <v>20</v>
      </c>
      <c r="AN96" s="34">
        <v>11.9</v>
      </c>
      <c r="AO96" s="31">
        <v>25.3</v>
      </c>
      <c r="AP96" s="34">
        <f>20030/1000</f>
        <v>20.03</v>
      </c>
      <c r="AQ96" s="34"/>
      <c r="AR96" s="34"/>
      <c r="AS96" s="37">
        <v>50</v>
      </c>
      <c r="AT96" s="31">
        <v>100</v>
      </c>
      <c r="AU96" s="34"/>
      <c r="AV96" s="34"/>
      <c r="AW96" s="34">
        <f>78.4/1000</f>
        <v>7.8400000000000011E-2</v>
      </c>
      <c r="AX96" s="68">
        <f t="shared" si="1"/>
        <v>2.391304347826087E-2</v>
      </c>
    </row>
    <row r="97" spans="2:50" x14ac:dyDescent="0.2">
      <c r="B97" s="8"/>
      <c r="C97" s="21">
        <v>40897</v>
      </c>
      <c r="D97" s="77" t="s">
        <v>13</v>
      </c>
      <c r="E97" s="34"/>
      <c r="F97" s="34"/>
      <c r="G97" s="34"/>
      <c r="H97" s="34"/>
      <c r="I97" s="34"/>
      <c r="J97" s="31"/>
      <c r="K97" s="34"/>
      <c r="L97" s="34">
        <v>0.8</v>
      </c>
      <c r="M97" s="34">
        <v>32</v>
      </c>
      <c r="N97" s="34"/>
      <c r="O97" s="34"/>
      <c r="P97" s="34"/>
      <c r="Q97" s="34"/>
      <c r="R97" s="34"/>
      <c r="S97" s="34"/>
      <c r="T97" s="34"/>
      <c r="U97" s="31"/>
      <c r="V97" s="34"/>
      <c r="W97" s="34"/>
      <c r="X97" s="34"/>
      <c r="Y97" s="34"/>
      <c r="Z97" s="34">
        <v>7.8</v>
      </c>
      <c r="AA97" s="34"/>
      <c r="AB97" s="34"/>
      <c r="AC97" s="34"/>
      <c r="AD97" s="34"/>
      <c r="AE97" s="34"/>
      <c r="AF97" s="34"/>
      <c r="AG97" s="34"/>
      <c r="AH97" s="34"/>
      <c r="AI97" s="52">
        <v>11000</v>
      </c>
      <c r="AJ97" s="52">
        <v>3300</v>
      </c>
      <c r="AK97" s="34"/>
      <c r="AL97" s="34"/>
      <c r="AM97" s="31">
        <v>20</v>
      </c>
      <c r="AN97" s="31">
        <v>4</v>
      </c>
      <c r="AO97" s="31">
        <v>20</v>
      </c>
      <c r="AP97" s="34">
        <f>8992/1000</f>
        <v>8.9920000000000009</v>
      </c>
      <c r="AQ97" s="34"/>
      <c r="AR97" s="34"/>
      <c r="AS97" s="37">
        <v>50</v>
      </c>
      <c r="AT97" s="31">
        <v>100</v>
      </c>
      <c r="AU97" s="34"/>
      <c r="AV97" s="34"/>
      <c r="AW97" s="34">
        <f>22.6/1000</f>
        <v>2.2600000000000002E-2</v>
      </c>
      <c r="AX97" s="68">
        <f t="shared" si="1"/>
        <v>2.5000000000000001E-2</v>
      </c>
    </row>
    <row r="98" spans="2:50" x14ac:dyDescent="0.2">
      <c r="B98" s="8"/>
      <c r="C98" s="21">
        <v>40897</v>
      </c>
      <c r="D98" s="78" t="s">
        <v>14</v>
      </c>
      <c r="E98" s="34"/>
      <c r="F98" s="34"/>
      <c r="G98" s="34"/>
      <c r="H98" s="34"/>
      <c r="I98" s="34"/>
      <c r="J98" s="31"/>
      <c r="K98" s="34"/>
      <c r="L98" s="34">
        <v>0.2</v>
      </c>
      <c r="M98" s="34">
        <v>12</v>
      </c>
      <c r="N98" s="34"/>
      <c r="O98" s="34"/>
      <c r="P98" s="34"/>
      <c r="Q98" s="34"/>
      <c r="R98" s="34"/>
      <c r="S98" s="34"/>
      <c r="T98" s="34"/>
      <c r="U98" s="31"/>
      <c r="V98" s="34"/>
      <c r="W98" s="34"/>
      <c r="X98" s="34"/>
      <c r="Y98" s="34"/>
      <c r="Z98" s="34">
        <v>8.11</v>
      </c>
      <c r="AA98" s="34"/>
      <c r="AB98" s="34"/>
      <c r="AC98" s="34"/>
      <c r="AD98" s="34"/>
      <c r="AE98" s="34"/>
      <c r="AF98" s="34"/>
      <c r="AG98" s="34"/>
      <c r="AH98" s="34"/>
      <c r="AI98" s="52">
        <v>4900</v>
      </c>
      <c r="AJ98" s="52">
        <v>1700</v>
      </c>
      <c r="AK98" s="34"/>
      <c r="AL98" s="34"/>
      <c r="AM98" s="31">
        <v>20</v>
      </c>
      <c r="AN98" s="34">
        <v>50</v>
      </c>
      <c r="AO98" s="31">
        <v>23.3</v>
      </c>
      <c r="AP98" s="34">
        <f>13210/1000</f>
        <v>13.21</v>
      </c>
      <c r="AQ98" s="34"/>
      <c r="AR98" s="34"/>
      <c r="AS98" s="37">
        <v>50</v>
      </c>
      <c r="AT98" s="31">
        <v>100</v>
      </c>
      <c r="AU98" s="34"/>
      <c r="AV98" s="34"/>
      <c r="AW98" s="34">
        <f>34.3/1000</f>
        <v>3.4299999999999997E-2</v>
      </c>
      <c r="AX98" s="68">
        <f t="shared" si="1"/>
        <v>1.6666666666666666E-2</v>
      </c>
    </row>
    <row r="99" spans="2:50" x14ac:dyDescent="0.2">
      <c r="B99" s="10">
        <v>2012</v>
      </c>
      <c r="C99" s="21">
        <v>41008</v>
      </c>
      <c r="D99" s="27" t="s">
        <v>9</v>
      </c>
      <c r="E99" s="34"/>
      <c r="F99" s="34"/>
      <c r="G99" s="34"/>
      <c r="H99" s="34"/>
      <c r="I99" s="34"/>
      <c r="J99" s="37">
        <v>1</v>
      </c>
      <c r="K99" s="34"/>
      <c r="L99" s="34">
        <v>0.7</v>
      </c>
      <c r="M99" s="34">
        <v>21</v>
      </c>
      <c r="N99" s="34"/>
      <c r="O99" s="34"/>
      <c r="P99" s="34"/>
      <c r="Q99" s="34"/>
      <c r="R99" s="34"/>
      <c r="S99" s="34">
        <v>0.03</v>
      </c>
      <c r="T99" s="34">
        <v>0.02</v>
      </c>
      <c r="U99" s="31">
        <v>2</v>
      </c>
      <c r="V99" s="34"/>
      <c r="W99" s="34"/>
      <c r="X99" s="34"/>
      <c r="Y99" s="34"/>
      <c r="Z99" s="34">
        <v>8.3000000000000007</v>
      </c>
      <c r="AA99" s="34"/>
      <c r="AB99" s="34">
        <v>13</v>
      </c>
      <c r="AC99" s="34">
        <v>255</v>
      </c>
      <c r="AD99" s="34"/>
      <c r="AE99" s="34">
        <v>26</v>
      </c>
      <c r="AF99" s="34"/>
      <c r="AG99" s="34"/>
      <c r="AH99" s="34"/>
      <c r="AI99" s="52">
        <v>7900</v>
      </c>
      <c r="AJ99" s="52">
        <v>3300</v>
      </c>
      <c r="AK99" s="34">
        <v>1149</v>
      </c>
      <c r="AL99" s="34"/>
      <c r="AM99" s="31">
        <v>20</v>
      </c>
      <c r="AN99" s="34">
        <v>501.9</v>
      </c>
      <c r="AO99" s="31">
        <v>20</v>
      </c>
      <c r="AP99" s="34">
        <f>1934/1000</f>
        <v>1.9339999999999999</v>
      </c>
      <c r="AQ99" s="34">
        <f>31.4/1000</f>
        <v>3.1399999999999997E-2</v>
      </c>
      <c r="AR99" s="34"/>
      <c r="AS99" s="37">
        <v>50</v>
      </c>
      <c r="AT99" s="31">
        <v>100</v>
      </c>
      <c r="AU99" s="34"/>
      <c r="AV99" s="34"/>
      <c r="AW99" s="34">
        <f>58.3/1000</f>
        <v>5.8299999999999998E-2</v>
      </c>
      <c r="AX99" s="68">
        <f t="shared" si="1"/>
        <v>3.3333333333333333E-2</v>
      </c>
    </row>
    <row r="100" spans="2:50" x14ac:dyDescent="0.2">
      <c r="B100" s="9"/>
      <c r="C100" s="21">
        <v>41008</v>
      </c>
      <c r="D100" s="74" t="s">
        <v>10</v>
      </c>
      <c r="E100" s="34"/>
      <c r="F100" s="34"/>
      <c r="G100" s="34"/>
      <c r="H100" s="34"/>
      <c r="I100" s="34"/>
      <c r="J100" s="37">
        <v>1</v>
      </c>
      <c r="K100" s="34"/>
      <c r="L100" s="34">
        <v>0.8</v>
      </c>
      <c r="M100" s="34">
        <v>21</v>
      </c>
      <c r="N100" s="34"/>
      <c r="O100" s="34"/>
      <c r="P100" s="34"/>
      <c r="Q100" s="34"/>
      <c r="R100" s="34"/>
      <c r="S100" s="34">
        <v>0.05</v>
      </c>
      <c r="T100" s="31">
        <v>0.01</v>
      </c>
      <c r="U100" s="48">
        <v>6.9</v>
      </c>
      <c r="V100" s="34"/>
      <c r="W100" s="34"/>
      <c r="X100" s="34"/>
      <c r="Y100" s="34"/>
      <c r="Z100" s="34">
        <v>8.1</v>
      </c>
      <c r="AA100" s="34"/>
      <c r="AB100" s="34">
        <v>153</v>
      </c>
      <c r="AC100" s="34">
        <v>367</v>
      </c>
      <c r="AD100" s="34"/>
      <c r="AE100" s="34">
        <v>28</v>
      </c>
      <c r="AF100" s="34"/>
      <c r="AG100" s="34"/>
      <c r="AH100" s="34"/>
      <c r="AI100" s="52">
        <v>11000</v>
      </c>
      <c r="AJ100" s="52">
        <v>2200</v>
      </c>
      <c r="AK100" s="34">
        <v>3296</v>
      </c>
      <c r="AL100" s="34"/>
      <c r="AM100" s="31">
        <v>20</v>
      </c>
      <c r="AN100" s="34">
        <v>12.5</v>
      </c>
      <c r="AO100" s="31">
        <v>20</v>
      </c>
      <c r="AP100" s="34">
        <f>3618/1000</f>
        <v>3.6179999999999999</v>
      </c>
      <c r="AQ100" s="34">
        <f>114/1000</f>
        <v>0.114</v>
      </c>
      <c r="AR100" s="34"/>
      <c r="AS100" s="37">
        <v>50</v>
      </c>
      <c r="AT100" s="31">
        <v>100</v>
      </c>
      <c r="AU100" s="34"/>
      <c r="AV100" s="34"/>
      <c r="AW100" s="34">
        <f>33.6/1000</f>
        <v>3.3600000000000005E-2</v>
      </c>
      <c r="AX100" s="68">
        <f t="shared" si="1"/>
        <v>3.8095238095238099E-2</v>
      </c>
    </row>
    <row r="101" spans="2:50" x14ac:dyDescent="0.2">
      <c r="B101" s="8"/>
      <c r="C101" s="21">
        <v>41008</v>
      </c>
      <c r="D101" s="75" t="s">
        <v>11</v>
      </c>
      <c r="E101" s="34"/>
      <c r="F101" s="34"/>
      <c r="G101" s="34"/>
      <c r="H101" s="34"/>
      <c r="I101" s="34"/>
      <c r="J101" s="37">
        <v>1</v>
      </c>
      <c r="K101" s="34"/>
      <c r="L101" s="34">
        <v>3.1</v>
      </c>
      <c r="M101" s="34">
        <v>107</v>
      </c>
      <c r="N101" s="34"/>
      <c r="O101" s="34"/>
      <c r="P101" s="34"/>
      <c r="Q101" s="34"/>
      <c r="R101" s="34"/>
      <c r="S101" s="34">
        <v>0.69</v>
      </c>
      <c r="T101" s="34">
        <v>0.1</v>
      </c>
      <c r="U101" s="48">
        <v>23.6</v>
      </c>
      <c r="V101" s="34"/>
      <c r="W101" s="34"/>
      <c r="X101" s="34"/>
      <c r="Y101" s="34"/>
      <c r="Z101" s="34">
        <v>7.91</v>
      </c>
      <c r="AA101" s="34"/>
      <c r="AB101" s="34">
        <v>2320</v>
      </c>
      <c r="AC101" s="34">
        <v>2968</v>
      </c>
      <c r="AD101" s="34"/>
      <c r="AE101" s="34">
        <v>18.670000000000002</v>
      </c>
      <c r="AF101" s="34"/>
      <c r="AG101" s="34"/>
      <c r="AH101" s="34"/>
      <c r="AI101" s="52">
        <v>170000</v>
      </c>
      <c r="AJ101" s="52">
        <v>11000</v>
      </c>
      <c r="AK101" s="34">
        <v>64810</v>
      </c>
      <c r="AL101" s="34"/>
      <c r="AM101" s="31">
        <v>20</v>
      </c>
      <c r="AN101" s="34">
        <v>111.9</v>
      </c>
      <c r="AO101" s="34">
        <v>67.599999999999994</v>
      </c>
      <c r="AP101" s="34">
        <f>78620/1000</f>
        <v>78.62</v>
      </c>
      <c r="AQ101" s="34">
        <f>2218/1000</f>
        <v>2.218</v>
      </c>
      <c r="AR101" s="34"/>
      <c r="AS101" s="34">
        <v>86.6</v>
      </c>
      <c r="AT101" s="31">
        <v>100</v>
      </c>
      <c r="AU101" s="34"/>
      <c r="AV101" s="34"/>
      <c r="AW101" s="34">
        <f>292.5/1000</f>
        <v>0.29249999999999998</v>
      </c>
      <c r="AX101" s="68">
        <f t="shared" si="1"/>
        <v>2.897196261682243E-2</v>
      </c>
    </row>
    <row r="102" spans="2:50" x14ac:dyDescent="0.2">
      <c r="B102" s="8"/>
      <c r="C102" s="21">
        <v>41008</v>
      </c>
      <c r="D102" s="76" t="s">
        <v>12</v>
      </c>
      <c r="E102" s="34"/>
      <c r="F102" s="34"/>
      <c r="G102" s="34"/>
      <c r="H102" s="34"/>
      <c r="I102" s="34"/>
      <c r="J102" s="37">
        <v>1</v>
      </c>
      <c r="K102" s="34"/>
      <c r="L102" s="34">
        <v>0.9</v>
      </c>
      <c r="M102" s="34">
        <v>32</v>
      </c>
      <c r="N102" s="34"/>
      <c r="O102" s="34"/>
      <c r="P102" s="34"/>
      <c r="Q102" s="34"/>
      <c r="R102" s="34"/>
      <c r="S102" s="34">
        <v>0.12</v>
      </c>
      <c r="T102" s="34">
        <v>0.01</v>
      </c>
      <c r="U102" s="48">
        <v>11.9</v>
      </c>
      <c r="V102" s="34"/>
      <c r="W102" s="34"/>
      <c r="X102" s="34"/>
      <c r="Y102" s="34"/>
      <c r="Z102" s="34">
        <v>8.31</v>
      </c>
      <c r="AA102" s="34"/>
      <c r="AB102" s="34">
        <v>180</v>
      </c>
      <c r="AC102" s="34">
        <v>458</v>
      </c>
      <c r="AD102" s="34"/>
      <c r="AE102" s="34">
        <v>61.6</v>
      </c>
      <c r="AF102" s="34"/>
      <c r="AG102" s="34"/>
      <c r="AH102" s="34"/>
      <c r="AI102" s="52">
        <v>79000</v>
      </c>
      <c r="AJ102" s="52">
        <v>17000</v>
      </c>
      <c r="AK102" s="34">
        <v>8639</v>
      </c>
      <c r="AL102" s="34"/>
      <c r="AM102" s="31">
        <v>20</v>
      </c>
      <c r="AN102" s="34">
        <v>160.69999999999999</v>
      </c>
      <c r="AO102" s="31">
        <v>20</v>
      </c>
      <c r="AP102" s="34">
        <f>8047/1000</f>
        <v>8.0470000000000006</v>
      </c>
      <c r="AQ102" s="34">
        <f>159.2/1000</f>
        <v>0.15919999999999998</v>
      </c>
      <c r="AR102" s="34"/>
      <c r="AS102" s="37">
        <v>50</v>
      </c>
      <c r="AT102" s="31">
        <v>100</v>
      </c>
      <c r="AU102" s="34"/>
      <c r="AV102" s="34"/>
      <c r="AW102" s="34">
        <f>43.8/1000</f>
        <v>4.3799999999999999E-2</v>
      </c>
      <c r="AX102" s="68">
        <f t="shared" si="1"/>
        <v>2.8125000000000001E-2</v>
      </c>
    </row>
    <row r="103" spans="2:50" x14ac:dyDescent="0.2">
      <c r="B103" s="8"/>
      <c r="C103" s="21">
        <v>41008</v>
      </c>
      <c r="D103" s="77" t="s">
        <v>13</v>
      </c>
      <c r="E103" s="34"/>
      <c r="F103" s="34"/>
      <c r="G103" s="34"/>
      <c r="H103" s="34"/>
      <c r="I103" s="34"/>
      <c r="J103" s="37">
        <v>1</v>
      </c>
      <c r="K103" s="34"/>
      <c r="L103" s="34">
        <v>1</v>
      </c>
      <c r="M103" s="34">
        <v>19</v>
      </c>
      <c r="N103" s="34"/>
      <c r="O103" s="34"/>
      <c r="P103" s="34"/>
      <c r="Q103" s="34"/>
      <c r="R103" s="34"/>
      <c r="S103" s="34">
        <v>7.0000000000000007E-2</v>
      </c>
      <c r="T103" s="31">
        <v>0.01</v>
      </c>
      <c r="U103" s="48">
        <v>12.5</v>
      </c>
      <c r="V103" s="34"/>
      <c r="W103" s="34"/>
      <c r="X103" s="34"/>
      <c r="Y103" s="34"/>
      <c r="Z103" s="34">
        <v>8.3000000000000007</v>
      </c>
      <c r="AA103" s="34"/>
      <c r="AB103" s="34">
        <v>170</v>
      </c>
      <c r="AC103" s="34">
        <v>398</v>
      </c>
      <c r="AD103" s="34"/>
      <c r="AE103" s="34">
        <v>52</v>
      </c>
      <c r="AF103" s="34"/>
      <c r="AG103" s="34"/>
      <c r="AH103" s="34"/>
      <c r="AI103" s="52">
        <v>790</v>
      </c>
      <c r="AJ103" s="52">
        <v>330</v>
      </c>
      <c r="AK103" s="34">
        <v>3998</v>
      </c>
      <c r="AL103" s="34"/>
      <c r="AM103" s="31">
        <v>20</v>
      </c>
      <c r="AN103" s="34">
        <v>244.9</v>
      </c>
      <c r="AO103" s="31">
        <v>20</v>
      </c>
      <c r="AP103" s="34">
        <f>4576/1000</f>
        <v>4.5759999999999996</v>
      </c>
      <c r="AQ103" s="34">
        <f>132.3/1000</f>
        <v>0.1323</v>
      </c>
      <c r="AR103" s="34"/>
      <c r="AS103" s="37">
        <v>50</v>
      </c>
      <c r="AT103" s="31">
        <v>100</v>
      </c>
      <c r="AU103" s="34"/>
      <c r="AV103" s="34"/>
      <c r="AW103" s="34">
        <f>79.6/1000</f>
        <v>7.959999999999999E-2</v>
      </c>
      <c r="AX103" s="68">
        <f t="shared" si="1"/>
        <v>5.2631578947368418E-2</v>
      </c>
    </row>
    <row r="104" spans="2:50" x14ac:dyDescent="0.2">
      <c r="B104" s="8"/>
      <c r="C104" s="21">
        <v>41008</v>
      </c>
      <c r="D104" s="78" t="s">
        <v>14</v>
      </c>
      <c r="E104" s="34"/>
      <c r="F104" s="34"/>
      <c r="G104" s="34"/>
      <c r="H104" s="34"/>
      <c r="I104" s="34"/>
      <c r="J104" s="31">
        <v>1</v>
      </c>
      <c r="K104" s="34"/>
      <c r="L104" s="34">
        <v>0.2</v>
      </c>
      <c r="M104" s="34">
        <v>4</v>
      </c>
      <c r="N104" s="34"/>
      <c r="O104" s="34"/>
      <c r="P104" s="34"/>
      <c r="Q104" s="34"/>
      <c r="R104" s="34"/>
      <c r="S104" s="31">
        <v>0.01</v>
      </c>
      <c r="T104" s="31">
        <v>0.01</v>
      </c>
      <c r="U104" s="48">
        <v>2.5</v>
      </c>
      <c r="V104" s="34"/>
      <c r="W104" s="34"/>
      <c r="X104" s="34"/>
      <c r="Y104" s="34"/>
      <c r="Z104" s="34">
        <v>8.1</v>
      </c>
      <c r="AA104" s="34"/>
      <c r="AB104" s="34">
        <v>9</v>
      </c>
      <c r="AC104" s="34">
        <v>403</v>
      </c>
      <c r="AD104" s="34"/>
      <c r="AE104" s="34">
        <v>34.799999999999997</v>
      </c>
      <c r="AF104" s="34"/>
      <c r="AG104" s="34"/>
      <c r="AH104" s="34"/>
      <c r="AI104" s="52">
        <v>1700</v>
      </c>
      <c r="AJ104" s="52">
        <v>230</v>
      </c>
      <c r="AK104" s="34">
        <v>144.1</v>
      </c>
      <c r="AL104" s="34"/>
      <c r="AM104" s="31">
        <v>20</v>
      </c>
      <c r="AN104" s="34">
        <v>13.6</v>
      </c>
      <c r="AO104" s="31">
        <v>20</v>
      </c>
      <c r="AP104" s="34">
        <f>161.8/1000</f>
        <v>0.1618</v>
      </c>
      <c r="AQ104" s="31">
        <f>9.5/1000</f>
        <v>9.4999999999999998E-3</v>
      </c>
      <c r="AR104" s="34"/>
      <c r="AS104" s="37">
        <v>50</v>
      </c>
      <c r="AT104" s="31">
        <v>100</v>
      </c>
      <c r="AU104" s="34"/>
      <c r="AV104" s="34"/>
      <c r="AW104" s="34">
        <f>15.9/1000</f>
        <v>1.5900000000000001E-2</v>
      </c>
      <c r="AX104" s="68">
        <f t="shared" si="1"/>
        <v>0.05</v>
      </c>
    </row>
    <row r="105" spans="2:50" x14ac:dyDescent="0.2">
      <c r="B105" s="10"/>
      <c r="C105" s="21">
        <v>41086</v>
      </c>
      <c r="D105" s="27" t="s">
        <v>9</v>
      </c>
      <c r="E105" s="34"/>
      <c r="F105" s="34"/>
      <c r="G105" s="34"/>
      <c r="H105" s="34"/>
      <c r="I105" s="34"/>
      <c r="J105" s="34"/>
      <c r="K105" s="34"/>
      <c r="L105" s="34">
        <v>3.25</v>
      </c>
      <c r="M105" s="34">
        <v>68</v>
      </c>
      <c r="N105" s="34"/>
      <c r="O105" s="34"/>
      <c r="P105" s="34"/>
      <c r="Q105" s="34"/>
      <c r="R105" s="34"/>
      <c r="S105" s="34"/>
      <c r="T105" s="34"/>
      <c r="U105" s="48"/>
      <c r="V105" s="34"/>
      <c r="W105" s="34"/>
      <c r="X105" s="34"/>
      <c r="Y105" s="34"/>
      <c r="Z105" s="34">
        <v>7.66</v>
      </c>
      <c r="AA105" s="34"/>
      <c r="AB105" s="34"/>
      <c r="AC105" s="34"/>
      <c r="AD105" s="34"/>
      <c r="AE105" s="34"/>
      <c r="AF105" s="34"/>
      <c r="AG105" s="34"/>
      <c r="AH105" s="34"/>
      <c r="AI105" s="58">
        <v>14000</v>
      </c>
      <c r="AJ105" s="58">
        <v>14000</v>
      </c>
      <c r="AK105" s="34"/>
      <c r="AL105" s="34"/>
      <c r="AM105" s="31">
        <v>20</v>
      </c>
      <c r="AN105" s="31">
        <v>12.4</v>
      </c>
      <c r="AO105" s="31">
        <v>20</v>
      </c>
      <c r="AP105" s="34">
        <f>6255.7/1000</f>
        <v>6.2557</v>
      </c>
      <c r="AQ105" s="34"/>
      <c r="AR105" s="34"/>
      <c r="AS105" s="37">
        <v>50</v>
      </c>
      <c r="AT105" s="31">
        <v>100</v>
      </c>
      <c r="AU105" s="34"/>
      <c r="AV105" s="34"/>
      <c r="AW105" s="34">
        <f>27.1/1000</f>
        <v>2.7100000000000003E-2</v>
      </c>
      <c r="AX105" s="68">
        <f t="shared" si="1"/>
        <v>4.779411764705882E-2</v>
      </c>
    </row>
    <row r="106" spans="2:50" x14ac:dyDescent="0.2">
      <c r="B106" s="9"/>
      <c r="C106" s="21">
        <v>41086</v>
      </c>
      <c r="D106" s="74" t="s">
        <v>10</v>
      </c>
      <c r="E106" s="34"/>
      <c r="F106" s="34"/>
      <c r="G106" s="34"/>
      <c r="H106" s="34"/>
      <c r="I106" s="34"/>
      <c r="J106" s="34"/>
      <c r="K106" s="34"/>
      <c r="L106" s="34">
        <v>3.5</v>
      </c>
      <c r="M106" s="34">
        <v>62</v>
      </c>
      <c r="N106" s="34"/>
      <c r="O106" s="34"/>
      <c r="P106" s="34"/>
      <c r="Q106" s="34"/>
      <c r="R106" s="34"/>
      <c r="S106" s="34"/>
      <c r="T106" s="34"/>
      <c r="U106" s="48"/>
      <c r="V106" s="34"/>
      <c r="W106" s="34"/>
      <c r="X106" s="34"/>
      <c r="Y106" s="34"/>
      <c r="Z106" s="34">
        <v>7.47</v>
      </c>
      <c r="AA106" s="34"/>
      <c r="AB106" s="34"/>
      <c r="AC106" s="34"/>
      <c r="AD106" s="34"/>
      <c r="AE106" s="34"/>
      <c r="AF106" s="34"/>
      <c r="AG106" s="34"/>
      <c r="AH106" s="34"/>
      <c r="AI106" s="52">
        <v>17000</v>
      </c>
      <c r="AJ106" s="52">
        <v>13000</v>
      </c>
      <c r="AK106" s="34"/>
      <c r="AL106" s="34"/>
      <c r="AM106" s="31">
        <v>20</v>
      </c>
      <c r="AN106" s="34">
        <v>12.7</v>
      </c>
      <c r="AO106" s="31">
        <v>20</v>
      </c>
      <c r="AP106" s="34">
        <f>5831.1/1000</f>
        <v>5.8311000000000002</v>
      </c>
      <c r="AQ106" s="34"/>
      <c r="AR106" s="34"/>
      <c r="AS106" s="37">
        <v>50</v>
      </c>
      <c r="AT106" s="31">
        <v>100</v>
      </c>
      <c r="AU106" s="34"/>
      <c r="AV106" s="34"/>
      <c r="AW106" s="34">
        <f>31.8/1000</f>
        <v>3.1800000000000002E-2</v>
      </c>
      <c r="AX106" s="68">
        <f t="shared" si="1"/>
        <v>5.6451612903225805E-2</v>
      </c>
    </row>
    <row r="107" spans="2:50" x14ac:dyDescent="0.2">
      <c r="B107" s="8"/>
      <c r="C107" s="21">
        <v>41086</v>
      </c>
      <c r="D107" s="75" t="s">
        <v>11</v>
      </c>
      <c r="E107" s="34"/>
      <c r="F107" s="34"/>
      <c r="G107" s="34"/>
      <c r="H107" s="34"/>
      <c r="I107" s="34"/>
      <c r="J107" s="34"/>
      <c r="K107" s="34"/>
      <c r="L107" s="34">
        <v>3.75</v>
      </c>
      <c r="M107" s="34">
        <v>70</v>
      </c>
      <c r="N107" s="34"/>
      <c r="O107" s="34"/>
      <c r="P107" s="34"/>
      <c r="Q107" s="34"/>
      <c r="R107" s="34"/>
      <c r="S107" s="34"/>
      <c r="T107" s="34"/>
      <c r="U107" s="48"/>
      <c r="V107" s="34"/>
      <c r="W107" s="34"/>
      <c r="X107" s="34"/>
      <c r="Y107" s="34"/>
      <c r="Z107" s="34">
        <v>7.49</v>
      </c>
      <c r="AA107" s="34"/>
      <c r="AB107" s="34"/>
      <c r="AC107" s="34"/>
      <c r="AD107" s="34"/>
      <c r="AE107" s="34"/>
      <c r="AF107" s="34"/>
      <c r="AG107" s="34"/>
      <c r="AH107" s="34"/>
      <c r="AI107" s="52">
        <v>160000</v>
      </c>
      <c r="AJ107" s="52">
        <v>92000</v>
      </c>
      <c r="AK107" s="34"/>
      <c r="AL107" s="34"/>
      <c r="AM107" s="31">
        <v>20</v>
      </c>
      <c r="AN107" s="34">
        <v>13.3</v>
      </c>
      <c r="AO107" s="31">
        <v>20</v>
      </c>
      <c r="AP107" s="34">
        <f>7367.8/1000</f>
        <v>7.3677999999999999</v>
      </c>
      <c r="AQ107" s="34"/>
      <c r="AR107" s="34"/>
      <c r="AS107" s="37">
        <v>50</v>
      </c>
      <c r="AT107" s="31">
        <v>100</v>
      </c>
      <c r="AU107" s="34"/>
      <c r="AV107" s="34"/>
      <c r="AW107" s="34">
        <f>44.8/1000</f>
        <v>4.48E-2</v>
      </c>
      <c r="AX107" s="68">
        <f t="shared" si="1"/>
        <v>5.3571428571428568E-2</v>
      </c>
    </row>
    <row r="108" spans="2:50" x14ac:dyDescent="0.2">
      <c r="B108" s="8"/>
      <c r="C108" s="21">
        <v>41086</v>
      </c>
      <c r="D108" s="76" t="s">
        <v>12</v>
      </c>
      <c r="E108" s="34"/>
      <c r="F108" s="34"/>
      <c r="G108" s="34"/>
      <c r="H108" s="34"/>
      <c r="I108" s="34"/>
      <c r="J108" s="34"/>
      <c r="K108" s="34"/>
      <c r="L108" s="34">
        <v>2.5499999999999998</v>
      </c>
      <c r="M108" s="34">
        <v>50</v>
      </c>
      <c r="N108" s="34"/>
      <c r="O108" s="34"/>
      <c r="P108" s="34"/>
      <c r="Q108" s="34"/>
      <c r="R108" s="34"/>
      <c r="S108" s="34"/>
      <c r="T108" s="34"/>
      <c r="U108" s="48"/>
      <c r="V108" s="34"/>
      <c r="W108" s="34"/>
      <c r="X108" s="34"/>
      <c r="Y108" s="34"/>
      <c r="Z108" s="34">
        <v>7.6</v>
      </c>
      <c r="AA108" s="34"/>
      <c r="AB108" s="34"/>
      <c r="AC108" s="34"/>
      <c r="AD108" s="34"/>
      <c r="AE108" s="34"/>
      <c r="AF108" s="34"/>
      <c r="AG108" s="34"/>
      <c r="AH108" s="34"/>
      <c r="AI108" s="52">
        <v>24000</v>
      </c>
      <c r="AJ108" s="52">
        <v>13000</v>
      </c>
      <c r="AK108" s="34"/>
      <c r="AL108" s="34"/>
      <c r="AM108" s="31">
        <v>20</v>
      </c>
      <c r="AN108" s="34">
        <v>10.8</v>
      </c>
      <c r="AO108" s="31">
        <v>20</v>
      </c>
      <c r="AP108" s="34">
        <f>5085.3/1000</f>
        <v>5.0853000000000002</v>
      </c>
      <c r="AQ108" s="34"/>
      <c r="AR108" s="34"/>
      <c r="AS108" s="37">
        <v>50</v>
      </c>
      <c r="AT108" s="31">
        <v>100</v>
      </c>
      <c r="AU108" s="34"/>
      <c r="AV108" s="34"/>
      <c r="AW108" s="34">
        <f>54.1/1000</f>
        <v>5.4100000000000002E-2</v>
      </c>
      <c r="AX108" s="68">
        <f t="shared" si="1"/>
        <v>5.0999999999999997E-2</v>
      </c>
    </row>
    <row r="109" spans="2:50" x14ac:dyDescent="0.2">
      <c r="B109" s="8"/>
      <c r="C109" s="21">
        <v>41086</v>
      </c>
      <c r="D109" s="77" t="s">
        <v>13</v>
      </c>
      <c r="E109" s="34"/>
      <c r="F109" s="34"/>
      <c r="G109" s="34"/>
      <c r="H109" s="34"/>
      <c r="I109" s="34"/>
      <c r="J109" s="34"/>
      <c r="K109" s="34"/>
      <c r="L109" s="34">
        <v>3.45</v>
      </c>
      <c r="M109" s="34">
        <v>60</v>
      </c>
      <c r="N109" s="34"/>
      <c r="O109" s="34"/>
      <c r="P109" s="34"/>
      <c r="Q109" s="34"/>
      <c r="R109" s="34"/>
      <c r="S109" s="34"/>
      <c r="T109" s="34"/>
      <c r="U109" s="48"/>
      <c r="V109" s="34"/>
      <c r="W109" s="34"/>
      <c r="X109" s="34"/>
      <c r="Y109" s="34"/>
      <c r="Z109" s="34">
        <v>7.58</v>
      </c>
      <c r="AA109" s="34"/>
      <c r="AB109" s="34"/>
      <c r="AC109" s="34"/>
      <c r="AD109" s="34"/>
      <c r="AE109" s="34"/>
      <c r="AF109" s="34"/>
      <c r="AG109" s="34"/>
      <c r="AH109" s="34"/>
      <c r="AI109" s="52">
        <v>54000</v>
      </c>
      <c r="AJ109" s="52">
        <v>24000</v>
      </c>
      <c r="AK109" s="34"/>
      <c r="AL109" s="34"/>
      <c r="AM109" s="31">
        <v>20</v>
      </c>
      <c r="AN109" s="34">
        <v>15.2</v>
      </c>
      <c r="AO109" s="31">
        <v>20</v>
      </c>
      <c r="AP109" s="34">
        <f>5956.5/1000</f>
        <v>5.9565000000000001</v>
      </c>
      <c r="AQ109" s="34"/>
      <c r="AR109" s="34"/>
      <c r="AS109" s="37">
        <v>50</v>
      </c>
      <c r="AT109" s="31">
        <v>100</v>
      </c>
      <c r="AU109" s="34"/>
      <c r="AV109" s="34"/>
      <c r="AW109" s="34">
        <f>36.7/1000</f>
        <v>3.6700000000000003E-2</v>
      </c>
      <c r="AX109" s="68">
        <f t="shared" si="1"/>
        <v>5.7500000000000002E-2</v>
      </c>
    </row>
    <row r="110" spans="2:50" x14ac:dyDescent="0.2">
      <c r="B110" s="8"/>
      <c r="C110" s="21">
        <v>41086</v>
      </c>
      <c r="D110" s="78" t="s">
        <v>14</v>
      </c>
      <c r="E110" s="34"/>
      <c r="F110" s="34"/>
      <c r="G110" s="34"/>
      <c r="H110" s="34"/>
      <c r="I110" s="34"/>
      <c r="J110" s="34"/>
      <c r="K110" s="34"/>
      <c r="L110" s="34">
        <v>0.55000000000000004</v>
      </c>
      <c r="M110" s="34">
        <v>27</v>
      </c>
      <c r="N110" s="34"/>
      <c r="O110" s="34"/>
      <c r="P110" s="34"/>
      <c r="Q110" s="34"/>
      <c r="R110" s="34"/>
      <c r="S110" s="34"/>
      <c r="T110" s="34"/>
      <c r="U110" s="48"/>
      <c r="V110" s="34"/>
      <c r="W110" s="34"/>
      <c r="X110" s="34"/>
      <c r="Y110" s="34"/>
      <c r="Z110" s="34">
        <v>7.51</v>
      </c>
      <c r="AA110" s="34"/>
      <c r="AB110" s="34"/>
      <c r="AC110" s="34"/>
      <c r="AD110" s="34"/>
      <c r="AE110" s="34"/>
      <c r="AF110" s="34"/>
      <c r="AG110" s="34"/>
      <c r="AH110" s="34"/>
      <c r="AI110" s="52">
        <v>700</v>
      </c>
      <c r="AJ110" s="52">
        <v>490</v>
      </c>
      <c r="AK110" s="34"/>
      <c r="AL110" s="34"/>
      <c r="AM110" s="31">
        <v>20</v>
      </c>
      <c r="AN110" s="34">
        <v>5</v>
      </c>
      <c r="AO110" s="31">
        <v>20</v>
      </c>
      <c r="AP110" s="34">
        <f>260/1000</f>
        <v>0.26</v>
      </c>
      <c r="AQ110" s="34"/>
      <c r="AR110" s="34"/>
      <c r="AS110" s="37">
        <v>50</v>
      </c>
      <c r="AT110" s="31">
        <v>100</v>
      </c>
      <c r="AU110" s="34"/>
      <c r="AV110" s="34"/>
      <c r="AW110" s="34">
        <f>122.5/1000</f>
        <v>0.1225</v>
      </c>
      <c r="AX110" s="68">
        <f t="shared" si="1"/>
        <v>2.0370370370370372E-2</v>
      </c>
    </row>
    <row r="111" spans="2:50" x14ac:dyDescent="0.2">
      <c r="B111" s="10"/>
      <c r="C111" s="21">
        <v>41179</v>
      </c>
      <c r="D111" s="27" t="s">
        <v>9</v>
      </c>
      <c r="E111" s="34"/>
      <c r="F111" s="34"/>
      <c r="G111" s="34"/>
      <c r="H111" s="34"/>
      <c r="I111" s="34"/>
      <c r="J111" s="31">
        <v>0.1</v>
      </c>
      <c r="K111" s="34"/>
      <c r="L111" s="34">
        <v>1.1000000000000001</v>
      </c>
      <c r="M111" s="31">
        <v>25</v>
      </c>
      <c r="N111" s="34"/>
      <c r="O111" s="34"/>
      <c r="P111" s="34"/>
      <c r="Q111" s="34"/>
      <c r="R111" s="34"/>
      <c r="S111" s="34">
        <v>0.03</v>
      </c>
      <c r="T111" s="34">
        <v>0.04</v>
      </c>
      <c r="U111" s="31">
        <v>2E-3</v>
      </c>
      <c r="V111" s="34"/>
      <c r="W111" s="34"/>
      <c r="X111" s="34"/>
      <c r="Y111" s="34"/>
      <c r="Z111" s="34">
        <v>8.64</v>
      </c>
      <c r="AA111" s="34"/>
      <c r="AB111" s="31">
        <v>6.4</v>
      </c>
      <c r="AC111" s="34">
        <v>401</v>
      </c>
      <c r="AD111" s="34"/>
      <c r="AE111" s="34">
        <v>9.6</v>
      </c>
      <c r="AF111" s="34"/>
      <c r="AG111" s="34"/>
      <c r="AH111" s="34"/>
      <c r="AI111" s="52">
        <v>1700</v>
      </c>
      <c r="AJ111" s="52">
        <v>790</v>
      </c>
      <c r="AK111" s="34">
        <v>35.1</v>
      </c>
      <c r="AL111" s="34"/>
      <c r="AM111" s="31">
        <v>20</v>
      </c>
      <c r="AN111" s="34">
        <v>9.6</v>
      </c>
      <c r="AO111" s="31">
        <v>20</v>
      </c>
      <c r="AP111" s="34">
        <f>66.6/1000</f>
        <v>6.6599999999999993E-2</v>
      </c>
      <c r="AQ111" s="34">
        <f>37.1/1000</f>
        <v>3.7100000000000001E-2</v>
      </c>
      <c r="AR111" s="34"/>
      <c r="AS111" s="37">
        <v>50</v>
      </c>
      <c r="AT111" s="31">
        <v>100</v>
      </c>
      <c r="AU111" s="34"/>
      <c r="AV111" s="34"/>
      <c r="AW111" s="34">
        <f>12.5/1000</f>
        <v>1.2500000000000001E-2</v>
      </c>
      <c r="AX111" s="68">
        <f t="shared" si="1"/>
        <v>4.4000000000000004E-2</v>
      </c>
    </row>
    <row r="112" spans="2:50" x14ac:dyDescent="0.2">
      <c r="B112" s="9"/>
      <c r="C112" s="21">
        <v>41179</v>
      </c>
      <c r="D112" s="74" t="s">
        <v>10</v>
      </c>
      <c r="E112" s="34"/>
      <c r="F112" s="34"/>
      <c r="G112" s="34"/>
      <c r="H112" s="34"/>
      <c r="I112" s="34"/>
      <c r="J112" s="31">
        <v>0.1</v>
      </c>
      <c r="K112" s="34"/>
      <c r="L112" s="34">
        <v>1.1000000000000001</v>
      </c>
      <c r="M112" s="31">
        <v>25</v>
      </c>
      <c r="N112" s="34"/>
      <c r="O112" s="34"/>
      <c r="P112" s="34"/>
      <c r="Q112" s="34"/>
      <c r="R112" s="34"/>
      <c r="S112" s="31">
        <v>0.03</v>
      </c>
      <c r="T112" s="34">
        <v>0.04</v>
      </c>
      <c r="U112" s="31">
        <v>2E-3</v>
      </c>
      <c r="V112" s="34"/>
      <c r="W112" s="34"/>
      <c r="X112" s="34"/>
      <c r="Y112" s="34"/>
      <c r="Z112" s="34">
        <v>8.66</v>
      </c>
      <c r="AA112" s="34"/>
      <c r="AB112" s="31">
        <v>6.4</v>
      </c>
      <c r="AC112" s="34">
        <v>382</v>
      </c>
      <c r="AD112" s="34"/>
      <c r="AE112" s="34">
        <v>10.4</v>
      </c>
      <c r="AF112" s="34"/>
      <c r="AG112" s="34"/>
      <c r="AH112" s="34"/>
      <c r="AI112" s="52">
        <v>1400</v>
      </c>
      <c r="AJ112" s="52">
        <v>700</v>
      </c>
      <c r="AK112" s="34">
        <v>46.9</v>
      </c>
      <c r="AL112" s="34"/>
      <c r="AM112" s="31">
        <v>20</v>
      </c>
      <c r="AN112" s="34">
        <v>8.5</v>
      </c>
      <c r="AO112" s="31">
        <v>20</v>
      </c>
      <c r="AP112" s="34">
        <f>74.8/1000</f>
        <v>7.4799999999999991E-2</v>
      </c>
      <c r="AQ112" s="34">
        <f>83.4/1000</f>
        <v>8.3400000000000002E-2</v>
      </c>
      <c r="AR112" s="34"/>
      <c r="AS112" s="37">
        <v>50</v>
      </c>
      <c r="AT112" s="31">
        <v>100</v>
      </c>
      <c r="AU112" s="34"/>
      <c r="AV112" s="34"/>
      <c r="AW112" s="34">
        <f>15.8/1000</f>
        <v>1.5800000000000002E-2</v>
      </c>
      <c r="AX112" s="68">
        <f t="shared" si="1"/>
        <v>4.4000000000000004E-2</v>
      </c>
    </row>
    <row r="113" spans="1:50" x14ac:dyDescent="0.2">
      <c r="B113" s="8"/>
      <c r="C113" s="21">
        <v>41179</v>
      </c>
      <c r="D113" s="75" t="s">
        <v>11</v>
      </c>
      <c r="E113" s="34"/>
      <c r="F113" s="34"/>
      <c r="G113" s="34"/>
      <c r="H113" s="34"/>
      <c r="I113" s="34"/>
      <c r="J113" s="31">
        <v>0.1</v>
      </c>
      <c r="K113" s="34"/>
      <c r="L113" s="34">
        <v>0.9</v>
      </c>
      <c r="M113" s="31">
        <v>25</v>
      </c>
      <c r="N113" s="34"/>
      <c r="O113" s="34"/>
      <c r="P113" s="34"/>
      <c r="Q113" s="34"/>
      <c r="R113" s="34"/>
      <c r="S113" s="34">
        <v>0.05</v>
      </c>
      <c r="T113" s="34">
        <v>0.04</v>
      </c>
      <c r="U113" s="31">
        <v>2E-3</v>
      </c>
      <c r="V113" s="34"/>
      <c r="W113" s="34"/>
      <c r="X113" s="34"/>
      <c r="Y113" s="34"/>
      <c r="Z113" s="34">
        <v>8.75</v>
      </c>
      <c r="AA113" s="34"/>
      <c r="AB113" s="31">
        <v>6.4</v>
      </c>
      <c r="AC113" s="34">
        <v>375</v>
      </c>
      <c r="AD113" s="34"/>
      <c r="AE113" s="34">
        <v>2.4</v>
      </c>
      <c r="AF113" s="34"/>
      <c r="AG113" s="34"/>
      <c r="AH113" s="34"/>
      <c r="AI113" s="52">
        <v>1100</v>
      </c>
      <c r="AJ113" s="52">
        <v>20</v>
      </c>
      <c r="AK113" s="34">
        <v>86.2</v>
      </c>
      <c r="AL113" s="34"/>
      <c r="AM113" s="31">
        <v>20</v>
      </c>
      <c r="AN113" s="34">
        <v>8.6</v>
      </c>
      <c r="AO113" s="31">
        <v>20</v>
      </c>
      <c r="AP113" s="34">
        <f>105.4/1000</f>
        <v>0.10540000000000001</v>
      </c>
      <c r="AQ113" s="45">
        <f>33/1000</f>
        <v>3.3000000000000002E-2</v>
      </c>
      <c r="AR113" s="34"/>
      <c r="AS113" s="37">
        <v>50</v>
      </c>
      <c r="AT113" s="31">
        <v>100</v>
      </c>
      <c r="AU113" s="34"/>
      <c r="AV113" s="34"/>
      <c r="AW113" s="34">
        <f>15.5/1000</f>
        <v>1.55E-2</v>
      </c>
      <c r="AX113" s="68">
        <f t="shared" si="1"/>
        <v>3.6000000000000004E-2</v>
      </c>
    </row>
    <row r="114" spans="1:50" x14ac:dyDescent="0.2">
      <c r="B114" s="8"/>
      <c r="C114" s="21">
        <v>41179</v>
      </c>
      <c r="D114" s="76" t="s">
        <v>12</v>
      </c>
      <c r="E114" s="34"/>
      <c r="F114" s="34"/>
      <c r="G114" s="34"/>
      <c r="H114" s="34"/>
      <c r="I114" s="34"/>
      <c r="J114" s="31">
        <v>0.1</v>
      </c>
      <c r="K114" s="34"/>
      <c r="L114" s="31">
        <v>0.89</v>
      </c>
      <c r="M114" s="31">
        <v>25</v>
      </c>
      <c r="N114" s="34"/>
      <c r="O114" s="34"/>
      <c r="P114" s="34"/>
      <c r="Q114" s="34"/>
      <c r="R114" s="34"/>
      <c r="S114" s="31">
        <v>0.03</v>
      </c>
      <c r="T114" s="34">
        <v>0.04</v>
      </c>
      <c r="U114" s="31">
        <v>2E-3</v>
      </c>
      <c r="V114" s="34"/>
      <c r="W114" s="34"/>
      <c r="X114" s="34"/>
      <c r="Y114" s="34"/>
      <c r="Z114" s="34">
        <v>8.6300000000000008</v>
      </c>
      <c r="AA114" s="34"/>
      <c r="AB114" s="31">
        <v>6.4</v>
      </c>
      <c r="AC114" s="34">
        <v>464</v>
      </c>
      <c r="AD114" s="34"/>
      <c r="AE114" s="34">
        <v>5.6</v>
      </c>
      <c r="AF114" s="34"/>
      <c r="AG114" s="34"/>
      <c r="AH114" s="34"/>
      <c r="AI114" s="52">
        <v>490</v>
      </c>
      <c r="AJ114" s="52">
        <v>45</v>
      </c>
      <c r="AK114" s="34">
        <v>58.1</v>
      </c>
      <c r="AL114" s="34"/>
      <c r="AM114" s="31">
        <v>20</v>
      </c>
      <c r="AN114" s="34">
        <v>49.9</v>
      </c>
      <c r="AO114" s="31">
        <v>20</v>
      </c>
      <c r="AP114" s="34">
        <f>54.8/1000</f>
        <v>5.4799999999999995E-2</v>
      </c>
      <c r="AQ114" s="34">
        <f>7.5/1000</f>
        <v>7.4999999999999997E-3</v>
      </c>
      <c r="AR114" s="34"/>
      <c r="AS114" s="37">
        <v>50</v>
      </c>
      <c r="AT114" s="31">
        <v>100</v>
      </c>
      <c r="AU114" s="34"/>
      <c r="AV114" s="34"/>
      <c r="AW114" s="34">
        <f>15.8/1000</f>
        <v>1.5800000000000002E-2</v>
      </c>
      <c r="AX114" s="68">
        <f t="shared" si="1"/>
        <v>3.56E-2</v>
      </c>
    </row>
    <row r="115" spans="1:50" x14ac:dyDescent="0.2">
      <c r="B115" s="8"/>
      <c r="C115" s="21">
        <v>41179</v>
      </c>
      <c r="D115" s="77" t="s">
        <v>13</v>
      </c>
      <c r="E115" s="34"/>
      <c r="F115" s="34"/>
      <c r="G115" s="34"/>
      <c r="H115" s="34"/>
      <c r="I115" s="34"/>
      <c r="J115" s="31">
        <v>0.1</v>
      </c>
      <c r="K115" s="34"/>
      <c r="L115" s="34">
        <v>1.2</v>
      </c>
      <c r="M115" s="31">
        <v>25</v>
      </c>
      <c r="N115" s="34"/>
      <c r="O115" s="34"/>
      <c r="P115" s="34"/>
      <c r="Q115" s="34"/>
      <c r="R115" s="34"/>
      <c r="S115" s="31">
        <v>0.03</v>
      </c>
      <c r="T115" s="34">
        <v>0.04</v>
      </c>
      <c r="U115" s="31">
        <v>2E-3</v>
      </c>
      <c r="V115" s="34"/>
      <c r="W115" s="34"/>
      <c r="X115" s="34"/>
      <c r="Y115" s="34"/>
      <c r="Z115" s="34">
        <v>8.65</v>
      </c>
      <c r="AA115" s="34"/>
      <c r="AB115" s="31">
        <v>6.4</v>
      </c>
      <c r="AC115" s="34">
        <v>435</v>
      </c>
      <c r="AD115" s="34"/>
      <c r="AE115" s="34">
        <v>0.8</v>
      </c>
      <c r="AF115" s="34"/>
      <c r="AG115" s="34"/>
      <c r="AH115" s="34"/>
      <c r="AI115" s="52">
        <v>700</v>
      </c>
      <c r="AJ115" s="52">
        <v>330</v>
      </c>
      <c r="AK115" s="34">
        <v>79</v>
      </c>
      <c r="AL115" s="34"/>
      <c r="AM115" s="31">
        <v>20</v>
      </c>
      <c r="AN115" s="34">
        <v>7.5</v>
      </c>
      <c r="AO115" s="31">
        <v>20</v>
      </c>
      <c r="AP115" s="34">
        <f>100.4/1000</f>
        <v>0.1004</v>
      </c>
      <c r="AQ115" s="34">
        <f>80.5/1000</f>
        <v>8.0500000000000002E-2</v>
      </c>
      <c r="AR115" s="34"/>
      <c r="AS115" s="37">
        <v>50</v>
      </c>
      <c r="AT115" s="31">
        <v>100</v>
      </c>
      <c r="AU115" s="34"/>
      <c r="AV115" s="34"/>
      <c r="AW115" s="34">
        <f>14.5/1000</f>
        <v>1.4500000000000001E-2</v>
      </c>
      <c r="AX115" s="68">
        <f t="shared" si="1"/>
        <v>4.8000000000000001E-2</v>
      </c>
    </row>
    <row r="116" spans="1:50" x14ac:dyDescent="0.2">
      <c r="B116" s="8"/>
      <c r="C116" s="21">
        <v>41179</v>
      </c>
      <c r="D116" s="78" t="s">
        <v>14</v>
      </c>
      <c r="E116" s="34"/>
      <c r="F116" s="34"/>
      <c r="G116" s="34"/>
      <c r="H116" s="34"/>
      <c r="I116" s="34"/>
      <c r="J116" s="31">
        <v>0.1</v>
      </c>
      <c r="K116" s="34"/>
      <c r="L116" s="31">
        <v>0.89</v>
      </c>
      <c r="M116" s="31">
        <v>25</v>
      </c>
      <c r="N116" s="34"/>
      <c r="O116" s="34"/>
      <c r="P116" s="34"/>
      <c r="Q116" s="34"/>
      <c r="R116" s="34"/>
      <c r="S116" s="31">
        <v>0.03</v>
      </c>
      <c r="T116" s="34">
        <v>0.04</v>
      </c>
      <c r="U116" s="31">
        <v>2E-3</v>
      </c>
      <c r="V116" s="34"/>
      <c r="W116" s="34"/>
      <c r="X116" s="34"/>
      <c r="Y116" s="34"/>
      <c r="Z116" s="34">
        <v>7.75</v>
      </c>
      <c r="AA116" s="34"/>
      <c r="AB116" s="31">
        <v>6.4</v>
      </c>
      <c r="AC116" s="34">
        <v>458</v>
      </c>
      <c r="AD116" s="34"/>
      <c r="AE116" s="34">
        <v>9.6</v>
      </c>
      <c r="AF116" s="34"/>
      <c r="AG116" s="34"/>
      <c r="AH116" s="34"/>
      <c r="AI116" s="52">
        <v>23</v>
      </c>
      <c r="AJ116" s="31">
        <v>1.8</v>
      </c>
      <c r="AK116" s="34">
        <v>351</v>
      </c>
      <c r="AL116" s="34"/>
      <c r="AM116" s="31">
        <v>20</v>
      </c>
      <c r="AN116" s="31">
        <v>4</v>
      </c>
      <c r="AO116" s="31">
        <v>20</v>
      </c>
      <c r="AP116" s="34">
        <f>322.2/1000</f>
        <v>0.32219999999999999</v>
      </c>
      <c r="AQ116" s="34">
        <f>39.9/1000</f>
        <v>3.9899999999999998E-2</v>
      </c>
      <c r="AR116" s="34"/>
      <c r="AS116" s="37">
        <v>50</v>
      </c>
      <c r="AT116" s="31">
        <v>100</v>
      </c>
      <c r="AU116" s="34"/>
      <c r="AV116" s="34"/>
      <c r="AW116" s="34">
        <f>19.4/1000</f>
        <v>1.9399999999999997E-2</v>
      </c>
      <c r="AX116" s="68">
        <f t="shared" si="1"/>
        <v>3.56E-2</v>
      </c>
    </row>
    <row r="117" spans="1:50" x14ac:dyDescent="0.2">
      <c r="A117" s="3"/>
      <c r="B117" s="10"/>
      <c r="C117" s="21">
        <v>41247</v>
      </c>
      <c r="D117" s="27" t="s">
        <v>9</v>
      </c>
      <c r="E117" s="34"/>
      <c r="F117" s="34"/>
      <c r="G117" s="34"/>
      <c r="H117" s="34"/>
      <c r="I117" s="34"/>
      <c r="J117" s="34"/>
      <c r="K117" s="34"/>
      <c r="L117" s="31">
        <v>0.89</v>
      </c>
      <c r="M117" s="31">
        <v>25</v>
      </c>
      <c r="N117" s="34"/>
      <c r="O117" s="34"/>
      <c r="P117" s="34"/>
      <c r="Q117" s="34"/>
      <c r="R117" s="34"/>
      <c r="S117" s="34"/>
      <c r="T117" s="34"/>
      <c r="U117" s="48"/>
      <c r="V117" s="34"/>
      <c r="W117" s="34"/>
      <c r="X117" s="34"/>
      <c r="Y117" s="34"/>
      <c r="Z117" s="34">
        <v>8.3699999999999992</v>
      </c>
      <c r="AA117" s="34"/>
      <c r="AB117" s="34"/>
      <c r="AC117" s="34"/>
      <c r="AD117" s="34"/>
      <c r="AE117" s="34"/>
      <c r="AF117" s="34"/>
      <c r="AG117" s="34"/>
      <c r="AH117" s="34"/>
      <c r="AI117" s="52">
        <v>3300</v>
      </c>
      <c r="AJ117" s="52">
        <v>790</v>
      </c>
      <c r="AK117" s="34"/>
      <c r="AL117" s="34"/>
      <c r="AM117" s="31">
        <v>20</v>
      </c>
      <c r="AN117" s="34">
        <v>7.4</v>
      </c>
      <c r="AO117" s="31">
        <v>20</v>
      </c>
      <c r="AP117" s="34">
        <f>406/1000</f>
        <v>0.40600000000000003</v>
      </c>
      <c r="AQ117" s="34"/>
      <c r="AR117" s="34"/>
      <c r="AS117" s="37">
        <v>50</v>
      </c>
      <c r="AT117" s="31">
        <v>100</v>
      </c>
      <c r="AU117" s="34"/>
      <c r="AV117" s="34"/>
      <c r="AW117" s="34">
        <f>25.7/1000</f>
        <v>2.5700000000000001E-2</v>
      </c>
      <c r="AX117" s="68">
        <f t="shared" si="1"/>
        <v>3.56E-2</v>
      </c>
    </row>
    <row r="118" spans="1:50" x14ac:dyDescent="0.2">
      <c r="B118" s="9"/>
      <c r="C118" s="21">
        <v>41247</v>
      </c>
      <c r="D118" s="74" t="s">
        <v>10</v>
      </c>
      <c r="E118" s="34"/>
      <c r="F118" s="34"/>
      <c r="G118" s="34"/>
      <c r="H118" s="34"/>
      <c r="I118" s="34"/>
      <c r="J118" s="34"/>
      <c r="K118" s="34"/>
      <c r="L118" s="31">
        <v>0.89</v>
      </c>
      <c r="M118" s="31">
        <v>25</v>
      </c>
      <c r="N118" s="34"/>
      <c r="O118" s="34"/>
      <c r="P118" s="34"/>
      <c r="Q118" s="34"/>
      <c r="R118" s="34"/>
      <c r="S118" s="34"/>
      <c r="T118" s="34"/>
      <c r="U118" s="48"/>
      <c r="V118" s="34"/>
      <c r="W118" s="34"/>
      <c r="X118" s="34"/>
      <c r="Y118" s="34"/>
      <c r="Z118" s="34">
        <v>8.31</v>
      </c>
      <c r="AA118" s="34"/>
      <c r="AB118" s="34"/>
      <c r="AC118" s="34"/>
      <c r="AD118" s="34"/>
      <c r="AE118" s="34"/>
      <c r="AF118" s="34"/>
      <c r="AG118" s="34"/>
      <c r="AH118" s="34"/>
      <c r="AI118" s="52">
        <v>1700</v>
      </c>
      <c r="AJ118" s="52">
        <v>1300</v>
      </c>
      <c r="AK118" s="34"/>
      <c r="AL118" s="34"/>
      <c r="AM118" s="31">
        <v>20</v>
      </c>
      <c r="AN118" s="34">
        <v>6.2</v>
      </c>
      <c r="AO118" s="31">
        <v>20</v>
      </c>
      <c r="AP118" s="34">
        <f>337.4/1000</f>
        <v>0.33739999999999998</v>
      </c>
      <c r="AQ118" s="34"/>
      <c r="AR118" s="34"/>
      <c r="AS118" s="37">
        <v>50</v>
      </c>
      <c r="AT118" s="31">
        <v>100</v>
      </c>
      <c r="AU118" s="34"/>
      <c r="AV118" s="34"/>
      <c r="AW118" s="34">
        <f>12/1000</f>
        <v>1.2E-2</v>
      </c>
      <c r="AX118" s="68">
        <f t="shared" si="1"/>
        <v>3.56E-2</v>
      </c>
    </row>
    <row r="119" spans="1:50" x14ac:dyDescent="0.2">
      <c r="B119" s="8"/>
      <c r="C119" s="21">
        <v>41247</v>
      </c>
      <c r="D119" s="75" t="s">
        <v>11</v>
      </c>
      <c r="E119" s="34"/>
      <c r="F119" s="34"/>
      <c r="G119" s="34"/>
      <c r="H119" s="34"/>
      <c r="I119" s="34"/>
      <c r="J119" s="34"/>
      <c r="K119" s="34"/>
      <c r="L119" s="31">
        <v>0.89</v>
      </c>
      <c r="M119" s="31">
        <v>25</v>
      </c>
      <c r="N119" s="34"/>
      <c r="O119" s="34"/>
      <c r="P119" s="34"/>
      <c r="Q119" s="34"/>
      <c r="R119" s="34"/>
      <c r="S119" s="34"/>
      <c r="T119" s="34"/>
      <c r="U119" s="48"/>
      <c r="V119" s="34"/>
      <c r="W119" s="34"/>
      <c r="X119" s="34"/>
      <c r="Y119" s="34"/>
      <c r="Z119" s="34">
        <v>8.3000000000000007</v>
      </c>
      <c r="AA119" s="34"/>
      <c r="AB119" s="34"/>
      <c r="AC119" s="34"/>
      <c r="AD119" s="34"/>
      <c r="AE119" s="34"/>
      <c r="AF119" s="34"/>
      <c r="AG119" s="34"/>
      <c r="AH119" s="34"/>
      <c r="AI119" s="52">
        <v>790</v>
      </c>
      <c r="AJ119" s="52">
        <v>490</v>
      </c>
      <c r="AK119" s="34"/>
      <c r="AL119" s="34"/>
      <c r="AM119" s="31">
        <v>20</v>
      </c>
      <c r="AN119" s="34">
        <v>5.6</v>
      </c>
      <c r="AO119" s="31">
        <v>20</v>
      </c>
      <c r="AP119" s="34">
        <f>368.9/1000</f>
        <v>0.36889999999999995</v>
      </c>
      <c r="AQ119" s="34"/>
      <c r="AR119" s="34"/>
      <c r="AS119" s="37">
        <v>50</v>
      </c>
      <c r="AT119" s="31">
        <v>100</v>
      </c>
      <c r="AU119" s="34"/>
      <c r="AV119" s="34"/>
      <c r="AW119" s="34">
        <f>30.8/1000</f>
        <v>3.0800000000000001E-2</v>
      </c>
      <c r="AX119" s="68">
        <f t="shared" si="1"/>
        <v>3.56E-2</v>
      </c>
    </row>
    <row r="120" spans="1:50" x14ac:dyDescent="0.2">
      <c r="B120" s="8"/>
      <c r="C120" s="21">
        <v>41247</v>
      </c>
      <c r="D120" s="76" t="s">
        <v>12</v>
      </c>
      <c r="E120" s="34"/>
      <c r="F120" s="34"/>
      <c r="G120" s="34"/>
      <c r="H120" s="34"/>
      <c r="I120" s="34"/>
      <c r="J120" s="34"/>
      <c r="K120" s="34"/>
      <c r="L120" s="31">
        <v>0.89</v>
      </c>
      <c r="M120" s="31">
        <v>25</v>
      </c>
      <c r="N120" s="34"/>
      <c r="O120" s="34"/>
      <c r="P120" s="34"/>
      <c r="Q120" s="34"/>
      <c r="R120" s="34"/>
      <c r="S120" s="34"/>
      <c r="T120" s="34"/>
      <c r="U120" s="48"/>
      <c r="V120" s="34"/>
      <c r="W120" s="34"/>
      <c r="X120" s="34"/>
      <c r="Y120" s="34"/>
      <c r="Z120" s="34">
        <v>8.32</v>
      </c>
      <c r="AA120" s="34"/>
      <c r="AB120" s="34"/>
      <c r="AC120" s="34"/>
      <c r="AD120" s="34"/>
      <c r="AE120" s="34"/>
      <c r="AF120" s="34"/>
      <c r="AG120" s="34"/>
      <c r="AH120" s="34"/>
      <c r="AI120" s="52">
        <v>1100</v>
      </c>
      <c r="AJ120" s="52">
        <v>790</v>
      </c>
      <c r="AK120" s="34"/>
      <c r="AL120" s="34"/>
      <c r="AM120" s="31">
        <v>20</v>
      </c>
      <c r="AN120" s="34">
        <v>12.9</v>
      </c>
      <c r="AO120" s="31">
        <v>20</v>
      </c>
      <c r="AP120" s="34">
        <f>608.3/1000</f>
        <v>0.60829999999999995</v>
      </c>
      <c r="AQ120" s="34"/>
      <c r="AR120" s="34"/>
      <c r="AS120" s="37">
        <v>50</v>
      </c>
      <c r="AT120" s="31">
        <v>100</v>
      </c>
      <c r="AU120" s="34"/>
      <c r="AV120" s="34"/>
      <c r="AW120" s="34">
        <f>37/1000</f>
        <v>3.6999999999999998E-2</v>
      </c>
      <c r="AX120" s="68">
        <f t="shared" si="1"/>
        <v>3.56E-2</v>
      </c>
    </row>
    <row r="121" spans="1:50" x14ac:dyDescent="0.2">
      <c r="A121" s="3" t="s">
        <v>3</v>
      </c>
      <c r="B121" s="8"/>
      <c r="C121" s="21">
        <v>41247</v>
      </c>
      <c r="D121" s="77" t="s">
        <v>13</v>
      </c>
      <c r="E121" s="34"/>
      <c r="F121" s="34"/>
      <c r="G121" s="34"/>
      <c r="H121" s="34"/>
      <c r="I121" s="34"/>
      <c r="J121" s="34"/>
      <c r="K121" s="34"/>
      <c r="L121" s="31">
        <v>0.89</v>
      </c>
      <c r="M121" s="31">
        <v>25</v>
      </c>
      <c r="N121" s="34"/>
      <c r="O121" s="34"/>
      <c r="P121" s="34"/>
      <c r="Q121" s="34"/>
      <c r="R121" s="34"/>
      <c r="S121" s="34"/>
      <c r="T121" s="34"/>
      <c r="U121" s="48"/>
      <c r="V121" s="34"/>
      <c r="W121" s="34"/>
      <c r="X121" s="34"/>
      <c r="Y121" s="34"/>
      <c r="Z121" s="34">
        <v>8.3000000000000007</v>
      </c>
      <c r="AA121" s="34"/>
      <c r="AB121" s="34"/>
      <c r="AC121" s="34"/>
      <c r="AD121" s="34"/>
      <c r="AE121" s="34"/>
      <c r="AF121" s="34"/>
      <c r="AG121" s="34"/>
      <c r="AH121" s="34"/>
      <c r="AI121" s="52">
        <v>490</v>
      </c>
      <c r="AJ121" s="52">
        <v>330</v>
      </c>
      <c r="AK121" s="34"/>
      <c r="AL121" s="34"/>
      <c r="AM121" s="31">
        <v>20</v>
      </c>
      <c r="AN121" s="34">
        <v>5.3</v>
      </c>
      <c r="AO121" s="31">
        <v>20</v>
      </c>
      <c r="AP121" s="34">
        <f>413.4/1000</f>
        <v>0.41339999999999999</v>
      </c>
      <c r="AQ121" s="34"/>
      <c r="AR121" s="34"/>
      <c r="AS121" s="37">
        <v>50</v>
      </c>
      <c r="AT121" s="31">
        <v>100</v>
      </c>
      <c r="AU121" s="34"/>
      <c r="AV121" s="34"/>
      <c r="AW121" s="34">
        <f>16.9/1000</f>
        <v>1.6899999999999998E-2</v>
      </c>
      <c r="AX121" s="68">
        <f t="shared" si="1"/>
        <v>3.56E-2</v>
      </c>
    </row>
    <row r="122" spans="1:50" x14ac:dyDescent="0.2">
      <c r="A122" s="3" t="s">
        <v>3</v>
      </c>
      <c r="B122" s="8"/>
      <c r="C122" s="21">
        <v>41247</v>
      </c>
      <c r="D122" s="78" t="s">
        <v>14</v>
      </c>
      <c r="E122" s="34"/>
      <c r="F122" s="34"/>
      <c r="G122" s="34"/>
      <c r="H122" s="34"/>
      <c r="I122" s="34"/>
      <c r="J122" s="34"/>
      <c r="K122" s="34"/>
      <c r="L122" s="31">
        <v>0.89</v>
      </c>
      <c r="M122" s="31">
        <v>25</v>
      </c>
      <c r="N122" s="34"/>
      <c r="O122" s="34"/>
      <c r="P122" s="34"/>
      <c r="Q122" s="34"/>
      <c r="R122" s="34"/>
      <c r="S122" s="34"/>
      <c r="T122" s="34"/>
      <c r="U122" s="48"/>
      <c r="V122" s="34"/>
      <c r="W122" s="34"/>
      <c r="X122" s="34"/>
      <c r="Y122" s="34"/>
      <c r="Z122" s="34">
        <v>7.83</v>
      </c>
      <c r="AA122" s="34"/>
      <c r="AB122" s="34"/>
      <c r="AC122" s="34"/>
      <c r="AD122" s="34"/>
      <c r="AE122" s="34"/>
      <c r="AF122" s="34"/>
      <c r="AG122" s="34"/>
      <c r="AH122" s="34"/>
      <c r="AI122" s="52">
        <v>790</v>
      </c>
      <c r="AJ122" s="52">
        <v>170</v>
      </c>
      <c r="AK122" s="34"/>
      <c r="AL122" s="34"/>
      <c r="AM122" s="31">
        <v>20</v>
      </c>
      <c r="AN122" s="31">
        <v>4</v>
      </c>
      <c r="AO122" s="31">
        <v>20</v>
      </c>
      <c r="AP122" s="34">
        <f>198/1000</f>
        <v>0.19800000000000001</v>
      </c>
      <c r="AQ122" s="34"/>
      <c r="AR122" s="34"/>
      <c r="AS122" s="37">
        <v>50</v>
      </c>
      <c r="AT122" s="31">
        <v>100</v>
      </c>
      <c r="AU122" s="34"/>
      <c r="AV122" s="34"/>
      <c r="AW122" s="31">
        <f>10/1000</f>
        <v>0.01</v>
      </c>
      <c r="AX122" s="68">
        <f t="shared" si="1"/>
        <v>3.56E-2</v>
      </c>
    </row>
    <row r="123" spans="1:50" x14ac:dyDescent="0.2">
      <c r="B123" s="10">
        <v>2013</v>
      </c>
      <c r="C123" s="21">
        <v>41352</v>
      </c>
      <c r="D123" s="27" t="s">
        <v>9</v>
      </c>
      <c r="E123" s="34"/>
      <c r="F123" s="34"/>
      <c r="G123" s="34"/>
      <c r="H123" s="34"/>
      <c r="I123" s="34"/>
      <c r="J123" s="37">
        <v>1</v>
      </c>
      <c r="K123" s="34"/>
      <c r="L123" s="34">
        <v>5.35</v>
      </c>
      <c r="M123" s="34">
        <v>74</v>
      </c>
      <c r="N123" s="34"/>
      <c r="O123" s="34"/>
      <c r="P123" s="34"/>
      <c r="Q123" s="34"/>
      <c r="R123" s="34"/>
      <c r="S123" s="34">
        <v>0.38</v>
      </c>
      <c r="T123" s="34">
        <v>0.89</v>
      </c>
      <c r="U123" s="31">
        <v>2E-3</v>
      </c>
      <c r="V123" s="34"/>
      <c r="W123" s="34"/>
      <c r="X123" s="34"/>
      <c r="Y123" s="34"/>
      <c r="Z123" s="34">
        <v>7.51</v>
      </c>
      <c r="AA123" s="34"/>
      <c r="AB123" s="34">
        <v>128</v>
      </c>
      <c r="AC123" s="34">
        <v>439</v>
      </c>
      <c r="AD123" s="34"/>
      <c r="AE123" s="34">
        <v>1.2</v>
      </c>
      <c r="AF123" s="34"/>
      <c r="AG123" s="34"/>
      <c r="AH123" s="34"/>
      <c r="AI123" s="52">
        <v>92000</v>
      </c>
      <c r="AJ123" s="52">
        <v>35000</v>
      </c>
      <c r="AK123" s="34">
        <v>13354</v>
      </c>
      <c r="AL123" s="34"/>
      <c r="AM123" s="31">
        <v>20</v>
      </c>
      <c r="AN123" s="34">
        <v>18.5</v>
      </c>
      <c r="AO123" s="31">
        <v>20</v>
      </c>
      <c r="AP123" s="34">
        <f>10321.3/1000</f>
        <v>10.321299999999999</v>
      </c>
      <c r="AQ123" s="34">
        <f>204.8/1000</f>
        <v>0.20480000000000001</v>
      </c>
      <c r="AR123" s="34"/>
      <c r="AS123" s="37">
        <v>50</v>
      </c>
      <c r="AT123" s="31">
        <v>100</v>
      </c>
      <c r="AU123" s="34"/>
      <c r="AV123" s="34"/>
      <c r="AW123" s="34">
        <f>38.1/1000</f>
        <v>3.8100000000000002E-2</v>
      </c>
      <c r="AX123" s="68">
        <f t="shared" si="1"/>
        <v>7.2297297297297294E-2</v>
      </c>
    </row>
    <row r="124" spans="1:50" x14ac:dyDescent="0.2">
      <c r="B124" s="9"/>
      <c r="C124" s="21">
        <v>41352</v>
      </c>
      <c r="D124" s="74" t="s">
        <v>10</v>
      </c>
      <c r="E124" s="34"/>
      <c r="F124" s="34"/>
      <c r="G124" s="34"/>
      <c r="H124" s="34"/>
      <c r="I124" s="34"/>
      <c r="J124" s="37">
        <v>1</v>
      </c>
      <c r="K124" s="34"/>
      <c r="L124" s="34">
        <v>5.55</v>
      </c>
      <c r="M124" s="34">
        <v>56</v>
      </c>
      <c r="N124" s="34"/>
      <c r="O124" s="34"/>
      <c r="P124" s="34"/>
      <c r="Q124" s="34"/>
      <c r="R124" s="34"/>
      <c r="S124" s="34">
        <v>0.35</v>
      </c>
      <c r="T124" s="34">
        <v>0.53</v>
      </c>
      <c r="U124" s="31">
        <v>2E-3</v>
      </c>
      <c r="V124" s="34"/>
      <c r="W124" s="34"/>
      <c r="X124" s="34"/>
      <c r="Y124" s="34"/>
      <c r="Z124" s="34">
        <v>7.36</v>
      </c>
      <c r="AA124" s="34"/>
      <c r="AB124" s="34">
        <v>124</v>
      </c>
      <c r="AC124" s="34">
        <v>435</v>
      </c>
      <c r="AD124" s="34"/>
      <c r="AE124" s="34">
        <v>4</v>
      </c>
      <c r="AF124" s="34"/>
      <c r="AG124" s="34"/>
      <c r="AH124" s="34"/>
      <c r="AI124" s="52">
        <v>92000</v>
      </c>
      <c r="AJ124" s="52">
        <v>13000</v>
      </c>
      <c r="AK124" s="34">
        <v>11264</v>
      </c>
      <c r="AL124" s="34"/>
      <c r="AM124" s="31">
        <v>20</v>
      </c>
      <c r="AN124" s="34">
        <v>16.8</v>
      </c>
      <c r="AO124" s="31">
        <v>20</v>
      </c>
      <c r="AP124" s="34">
        <f>9462.2/1000</f>
        <v>9.4622000000000011</v>
      </c>
      <c r="AQ124" s="34">
        <f>200.1/1000</f>
        <v>0.2001</v>
      </c>
      <c r="AR124" s="34"/>
      <c r="AS124" s="37">
        <v>50</v>
      </c>
      <c r="AT124" s="31">
        <v>100</v>
      </c>
      <c r="AU124" s="34"/>
      <c r="AV124" s="34"/>
      <c r="AW124" s="34">
        <f>35.5/1000</f>
        <v>3.5499999999999997E-2</v>
      </c>
      <c r="AX124" s="68">
        <f t="shared" si="1"/>
        <v>9.9107142857142852E-2</v>
      </c>
    </row>
    <row r="125" spans="1:50" x14ac:dyDescent="0.2">
      <c r="B125" s="8"/>
      <c r="C125" s="21">
        <v>41352</v>
      </c>
      <c r="D125" s="75" t="s">
        <v>11</v>
      </c>
      <c r="E125" s="34"/>
      <c r="F125" s="34"/>
      <c r="G125" s="34"/>
      <c r="H125" s="34"/>
      <c r="I125" s="34"/>
      <c r="J125" s="37">
        <v>1</v>
      </c>
      <c r="K125" s="34"/>
      <c r="L125" s="34">
        <v>5.0999999999999996</v>
      </c>
      <c r="M125" s="34">
        <v>75</v>
      </c>
      <c r="N125" s="34"/>
      <c r="O125" s="34"/>
      <c r="P125" s="34"/>
      <c r="Q125" s="34"/>
      <c r="R125" s="34"/>
      <c r="S125" s="34">
        <v>0.42</v>
      </c>
      <c r="T125" s="34">
        <v>0.14000000000000001</v>
      </c>
      <c r="U125" s="31">
        <v>2E-3</v>
      </c>
      <c r="V125" s="34"/>
      <c r="W125" s="34"/>
      <c r="X125" s="34"/>
      <c r="Y125" s="34"/>
      <c r="Z125" s="34">
        <v>7.34</v>
      </c>
      <c r="AA125" s="34"/>
      <c r="AB125" s="34">
        <v>116</v>
      </c>
      <c r="AC125" s="34">
        <v>425</v>
      </c>
      <c r="AD125" s="34"/>
      <c r="AE125" s="34">
        <v>2</v>
      </c>
      <c r="AF125" s="34"/>
      <c r="AG125" s="34"/>
      <c r="AH125" s="34"/>
      <c r="AI125" s="58">
        <v>160000</v>
      </c>
      <c r="AJ125" s="52">
        <v>35000</v>
      </c>
      <c r="AK125" s="34">
        <v>10413.700000000001</v>
      </c>
      <c r="AL125" s="34"/>
      <c r="AM125" s="31">
        <v>20</v>
      </c>
      <c r="AN125" s="34">
        <v>18.399999999999999</v>
      </c>
      <c r="AO125" s="31">
        <v>20</v>
      </c>
      <c r="AP125" s="34">
        <f>8890.2/1000</f>
        <v>8.8902000000000001</v>
      </c>
      <c r="AQ125" s="34">
        <f>183.5/1000</f>
        <v>0.1835</v>
      </c>
      <c r="AR125" s="34"/>
      <c r="AS125" s="37">
        <v>50</v>
      </c>
      <c r="AT125" s="31">
        <v>100</v>
      </c>
      <c r="AU125" s="34"/>
      <c r="AV125" s="34"/>
      <c r="AW125" s="34">
        <f>37.7/1000</f>
        <v>3.7700000000000004E-2</v>
      </c>
      <c r="AX125" s="68">
        <f t="shared" si="1"/>
        <v>6.7999999999999991E-2</v>
      </c>
    </row>
    <row r="126" spans="1:50" x14ac:dyDescent="0.2">
      <c r="B126" s="8"/>
      <c r="C126" s="21">
        <v>41352</v>
      </c>
      <c r="D126" s="76" t="s">
        <v>12</v>
      </c>
      <c r="E126" s="34"/>
      <c r="F126" s="34"/>
      <c r="G126" s="34"/>
      <c r="H126" s="34"/>
      <c r="I126" s="34"/>
      <c r="J126" s="37">
        <v>1</v>
      </c>
      <c r="K126" s="34"/>
      <c r="L126" s="34">
        <v>5.05</v>
      </c>
      <c r="M126" s="34">
        <v>73</v>
      </c>
      <c r="N126" s="34"/>
      <c r="O126" s="34"/>
      <c r="P126" s="34"/>
      <c r="Q126" s="34"/>
      <c r="R126" s="34"/>
      <c r="S126" s="34">
        <v>0.41</v>
      </c>
      <c r="T126" s="34">
        <v>0.08</v>
      </c>
      <c r="U126" s="31">
        <v>2E-3</v>
      </c>
      <c r="V126" s="34"/>
      <c r="W126" s="34"/>
      <c r="X126" s="34"/>
      <c r="Y126" s="34"/>
      <c r="Z126" s="34">
        <v>7.42</v>
      </c>
      <c r="AA126" s="34"/>
      <c r="AB126" s="34">
        <v>155</v>
      </c>
      <c r="AC126" s="34">
        <v>479</v>
      </c>
      <c r="AD126" s="34"/>
      <c r="AE126" s="34">
        <v>6</v>
      </c>
      <c r="AF126" s="34"/>
      <c r="AG126" s="34"/>
      <c r="AH126" s="34"/>
      <c r="AI126" s="52">
        <v>92000</v>
      </c>
      <c r="AJ126" s="52">
        <v>35000</v>
      </c>
      <c r="AK126" s="34">
        <v>12837</v>
      </c>
      <c r="AL126" s="34"/>
      <c r="AM126" s="31">
        <v>20</v>
      </c>
      <c r="AN126" s="34">
        <v>20.9</v>
      </c>
      <c r="AO126" s="31">
        <v>20</v>
      </c>
      <c r="AP126" s="34">
        <f>11957/1000</f>
        <v>11.957000000000001</v>
      </c>
      <c r="AQ126" s="34">
        <f>204.4/1000</f>
        <v>0.2044</v>
      </c>
      <c r="AR126" s="34"/>
      <c r="AS126" s="37">
        <v>50</v>
      </c>
      <c r="AT126" s="31">
        <v>100</v>
      </c>
      <c r="AU126" s="34"/>
      <c r="AV126" s="34"/>
      <c r="AW126" s="34">
        <f>67.8/1000</f>
        <v>6.7799999999999999E-2</v>
      </c>
      <c r="AX126" s="68">
        <f t="shared" si="1"/>
        <v>6.9178082191780815E-2</v>
      </c>
    </row>
    <row r="127" spans="1:50" x14ac:dyDescent="0.2">
      <c r="B127" s="8"/>
      <c r="C127" s="21">
        <v>41352</v>
      </c>
      <c r="D127" s="77" t="s">
        <v>13</v>
      </c>
      <c r="E127" s="34"/>
      <c r="F127" s="34"/>
      <c r="G127" s="34"/>
      <c r="H127" s="34"/>
      <c r="I127" s="34"/>
      <c r="J127" s="37">
        <v>1</v>
      </c>
      <c r="K127" s="34"/>
      <c r="L127" s="34">
        <v>5.25</v>
      </c>
      <c r="M127" s="34">
        <v>64</v>
      </c>
      <c r="N127" s="34"/>
      <c r="O127" s="34"/>
      <c r="P127" s="34"/>
      <c r="Q127" s="34"/>
      <c r="R127" s="34"/>
      <c r="S127" s="34">
        <v>0.4</v>
      </c>
      <c r="T127" s="34">
        <v>0.06</v>
      </c>
      <c r="U127" s="31">
        <v>2E-3</v>
      </c>
      <c r="V127" s="34"/>
      <c r="W127" s="34"/>
      <c r="X127" s="34"/>
      <c r="Y127" s="34"/>
      <c r="Z127" s="34">
        <v>7.19</v>
      </c>
      <c r="AA127" s="34"/>
      <c r="AB127" s="34">
        <v>130</v>
      </c>
      <c r="AC127" s="34">
        <v>445</v>
      </c>
      <c r="AD127" s="34"/>
      <c r="AE127" s="34">
        <v>1.6</v>
      </c>
      <c r="AF127" s="34"/>
      <c r="AG127" s="34"/>
      <c r="AH127" s="34"/>
      <c r="AI127" s="52">
        <v>92000</v>
      </c>
      <c r="AJ127" s="52">
        <v>13000</v>
      </c>
      <c r="AK127" s="34">
        <v>12815</v>
      </c>
      <c r="AL127" s="34"/>
      <c r="AM127" s="31">
        <v>20</v>
      </c>
      <c r="AN127" s="34">
        <v>18.600000000000001</v>
      </c>
      <c r="AO127" s="31">
        <v>20</v>
      </c>
      <c r="AP127" s="34">
        <f>10533.6/1000</f>
        <v>10.5336</v>
      </c>
      <c r="AQ127" s="34">
        <f>214.9/1000</f>
        <v>0.21490000000000001</v>
      </c>
      <c r="AR127" s="34"/>
      <c r="AS127" s="37">
        <v>50</v>
      </c>
      <c r="AT127" s="31">
        <v>100</v>
      </c>
      <c r="AU127" s="34"/>
      <c r="AV127" s="34"/>
      <c r="AW127" s="34">
        <f>59.6/1000</f>
        <v>5.96E-2</v>
      </c>
      <c r="AX127" s="68">
        <f t="shared" si="1"/>
        <v>8.203125E-2</v>
      </c>
    </row>
    <row r="128" spans="1:50" x14ac:dyDescent="0.2">
      <c r="B128" s="8"/>
      <c r="C128" s="23">
        <v>41352</v>
      </c>
      <c r="D128" s="78" t="s">
        <v>14</v>
      </c>
      <c r="E128" s="34"/>
      <c r="F128" s="34"/>
      <c r="G128" s="34"/>
      <c r="H128" s="34"/>
      <c r="I128" s="34"/>
      <c r="J128" s="37">
        <v>1</v>
      </c>
      <c r="K128" s="34"/>
      <c r="L128" s="34">
        <v>0.35</v>
      </c>
      <c r="M128" s="34">
        <v>60</v>
      </c>
      <c r="N128" s="34"/>
      <c r="O128" s="34"/>
      <c r="P128" s="34"/>
      <c r="Q128" s="34"/>
      <c r="R128" s="34"/>
      <c r="S128" s="31">
        <v>0.03</v>
      </c>
      <c r="T128" s="34">
        <v>0.06</v>
      </c>
      <c r="U128" s="31">
        <v>2E-3</v>
      </c>
      <c r="V128" s="34"/>
      <c r="W128" s="34"/>
      <c r="X128" s="34"/>
      <c r="Y128" s="34"/>
      <c r="Z128" s="34">
        <v>7.71</v>
      </c>
      <c r="AA128" s="34"/>
      <c r="AB128" s="31">
        <v>6.4</v>
      </c>
      <c r="AC128" s="34">
        <v>430</v>
      </c>
      <c r="AD128" s="34"/>
      <c r="AE128" s="34">
        <v>6.4</v>
      </c>
      <c r="AF128" s="34"/>
      <c r="AG128" s="34"/>
      <c r="AH128" s="34"/>
      <c r="AI128" s="52">
        <v>3300</v>
      </c>
      <c r="AJ128" s="52">
        <v>3300</v>
      </c>
      <c r="AK128" s="34">
        <v>170.2</v>
      </c>
      <c r="AL128" s="34"/>
      <c r="AM128" s="31">
        <v>20</v>
      </c>
      <c r="AN128" s="31">
        <v>4</v>
      </c>
      <c r="AO128" s="31">
        <v>20</v>
      </c>
      <c r="AP128" s="34">
        <f>159/1000</f>
        <v>0.159</v>
      </c>
      <c r="AQ128" s="34">
        <f>12.1/1000</f>
        <v>1.21E-2</v>
      </c>
      <c r="AR128" s="34"/>
      <c r="AS128" s="37">
        <v>50</v>
      </c>
      <c r="AT128" s="31">
        <v>100</v>
      </c>
      <c r="AU128" s="34"/>
      <c r="AV128" s="34"/>
      <c r="AW128" s="31">
        <f>10/1000</f>
        <v>0.01</v>
      </c>
      <c r="AX128" s="68">
        <f t="shared" si="1"/>
        <v>5.8333333333333327E-3</v>
      </c>
    </row>
    <row r="129" spans="2:50" x14ac:dyDescent="0.2">
      <c r="B129" s="10"/>
      <c r="C129" s="21">
        <v>41445</v>
      </c>
      <c r="D129" s="27" t="s">
        <v>9</v>
      </c>
      <c r="E129" s="34"/>
      <c r="F129" s="34"/>
      <c r="G129" s="34"/>
      <c r="H129" s="34"/>
      <c r="I129" s="34"/>
      <c r="J129" s="37"/>
      <c r="K129" s="34"/>
      <c r="L129" s="37">
        <v>1</v>
      </c>
      <c r="M129" s="34">
        <v>26</v>
      </c>
      <c r="N129" s="34"/>
      <c r="O129" s="34"/>
      <c r="P129" s="34"/>
      <c r="Q129" s="34"/>
      <c r="R129" s="34"/>
      <c r="S129" s="34"/>
      <c r="T129" s="34"/>
      <c r="U129" s="48"/>
      <c r="V129" s="34"/>
      <c r="W129" s="34"/>
      <c r="X129" s="34"/>
      <c r="Y129" s="34"/>
      <c r="Z129" s="34">
        <v>8.3000000000000007</v>
      </c>
      <c r="AA129" s="34"/>
      <c r="AB129" s="34"/>
      <c r="AC129" s="34"/>
      <c r="AD129" s="34"/>
      <c r="AE129" s="34"/>
      <c r="AF129" s="34"/>
      <c r="AG129" s="34"/>
      <c r="AH129" s="34"/>
      <c r="AI129" s="58">
        <v>3500</v>
      </c>
      <c r="AJ129" s="52">
        <v>790</v>
      </c>
      <c r="AK129" s="52"/>
      <c r="AL129" s="34"/>
      <c r="AM129" s="37">
        <v>10</v>
      </c>
      <c r="AN129" s="34">
        <v>37.5</v>
      </c>
      <c r="AO129" s="31">
        <v>20</v>
      </c>
      <c r="AP129" s="34">
        <f>214.8/1000</f>
        <v>0.21480000000000002</v>
      </c>
      <c r="AQ129" s="34"/>
      <c r="AR129" s="34"/>
      <c r="AS129" s="37">
        <v>50</v>
      </c>
      <c r="AT129" s="37">
        <v>50</v>
      </c>
      <c r="AU129" s="34"/>
      <c r="AV129" s="34"/>
      <c r="AW129" s="34">
        <f>26.3/1000</f>
        <v>2.63E-2</v>
      </c>
      <c r="AX129" s="68">
        <f t="shared" si="1"/>
        <v>3.8461538461538464E-2</v>
      </c>
    </row>
    <row r="130" spans="2:50" x14ac:dyDescent="0.2">
      <c r="B130" s="9"/>
      <c r="C130" s="23">
        <v>41445</v>
      </c>
      <c r="D130" s="74" t="s">
        <v>10</v>
      </c>
      <c r="E130" s="34"/>
      <c r="F130" s="34"/>
      <c r="G130" s="34"/>
      <c r="H130" s="34"/>
      <c r="I130" s="34"/>
      <c r="J130" s="37"/>
      <c r="K130" s="34"/>
      <c r="L130" s="37">
        <v>1</v>
      </c>
      <c r="M130" s="37">
        <v>25</v>
      </c>
      <c r="N130" s="34"/>
      <c r="O130" s="34"/>
      <c r="P130" s="34"/>
      <c r="Q130" s="34"/>
      <c r="R130" s="34"/>
      <c r="S130" s="34"/>
      <c r="T130" s="34"/>
      <c r="U130" s="48"/>
      <c r="V130" s="34"/>
      <c r="W130" s="34"/>
      <c r="X130" s="34"/>
      <c r="Y130" s="34"/>
      <c r="Z130" s="34">
        <v>8.24</v>
      </c>
      <c r="AA130" s="34"/>
      <c r="AB130" s="34"/>
      <c r="AC130" s="34"/>
      <c r="AD130" s="34"/>
      <c r="AE130" s="34"/>
      <c r="AF130" s="34"/>
      <c r="AG130" s="34"/>
      <c r="AH130" s="34"/>
      <c r="AI130" s="52">
        <v>5400</v>
      </c>
      <c r="AJ130" s="52">
        <v>700</v>
      </c>
      <c r="AK130" s="52"/>
      <c r="AL130" s="34"/>
      <c r="AM130" s="37">
        <v>10</v>
      </c>
      <c r="AN130" s="34">
        <v>20.8</v>
      </c>
      <c r="AO130" s="31">
        <v>20</v>
      </c>
      <c r="AP130" s="34">
        <f>213.7/1000</f>
        <v>0.2137</v>
      </c>
      <c r="AQ130" s="34"/>
      <c r="AR130" s="34"/>
      <c r="AS130" s="37">
        <v>50</v>
      </c>
      <c r="AT130" s="37">
        <v>50</v>
      </c>
      <c r="AU130" s="34"/>
      <c r="AV130" s="34"/>
      <c r="AW130" s="34">
        <f>21.3/1000</f>
        <v>2.1299999999999999E-2</v>
      </c>
      <c r="AX130" s="68">
        <f t="shared" si="1"/>
        <v>0.04</v>
      </c>
    </row>
    <row r="131" spans="2:50" x14ac:dyDescent="0.2">
      <c r="B131" s="8"/>
      <c r="C131" s="21">
        <v>41445</v>
      </c>
      <c r="D131" s="75" t="s">
        <v>11</v>
      </c>
      <c r="E131" s="34"/>
      <c r="F131" s="34"/>
      <c r="G131" s="34"/>
      <c r="H131" s="34"/>
      <c r="I131" s="34"/>
      <c r="J131" s="37"/>
      <c r="K131" s="34"/>
      <c r="L131" s="37">
        <v>1</v>
      </c>
      <c r="M131" s="37">
        <v>35</v>
      </c>
      <c r="N131" s="34"/>
      <c r="O131" s="34"/>
      <c r="P131" s="34"/>
      <c r="Q131" s="34"/>
      <c r="R131" s="34"/>
      <c r="S131" s="34"/>
      <c r="T131" s="34"/>
      <c r="U131" s="48"/>
      <c r="V131" s="34"/>
      <c r="W131" s="34"/>
      <c r="X131" s="34"/>
      <c r="Y131" s="34"/>
      <c r="Z131" s="34">
        <v>8.31</v>
      </c>
      <c r="AA131" s="34"/>
      <c r="AB131" s="34"/>
      <c r="AC131" s="34"/>
      <c r="AD131" s="34"/>
      <c r="AE131" s="34"/>
      <c r="AF131" s="34"/>
      <c r="AG131" s="34"/>
      <c r="AH131" s="34"/>
      <c r="AI131" s="52">
        <v>2200</v>
      </c>
      <c r="AJ131" s="52">
        <v>1100</v>
      </c>
      <c r="AK131" s="34"/>
      <c r="AL131" s="34"/>
      <c r="AM131" s="37">
        <v>10</v>
      </c>
      <c r="AN131" s="34">
        <v>21</v>
      </c>
      <c r="AO131" s="31">
        <v>20</v>
      </c>
      <c r="AP131" s="34">
        <f>274.9/1000</f>
        <v>0.27489999999999998</v>
      </c>
      <c r="AQ131" s="34"/>
      <c r="AR131" s="34"/>
      <c r="AS131" s="37">
        <v>50</v>
      </c>
      <c r="AT131" s="37">
        <v>50</v>
      </c>
      <c r="AU131" s="34"/>
      <c r="AV131" s="34"/>
      <c r="AW131" s="34">
        <f>94.5/1000</f>
        <v>9.4500000000000001E-2</v>
      </c>
      <c r="AX131" s="68">
        <f t="shared" si="1"/>
        <v>2.8571428571428571E-2</v>
      </c>
    </row>
    <row r="132" spans="2:50" x14ac:dyDescent="0.2">
      <c r="B132" s="8"/>
      <c r="C132" s="21">
        <v>41445</v>
      </c>
      <c r="D132" s="76" t="s">
        <v>12</v>
      </c>
      <c r="E132" s="34"/>
      <c r="F132" s="34"/>
      <c r="G132" s="34"/>
      <c r="H132" s="34"/>
      <c r="I132" s="34"/>
      <c r="J132" s="37"/>
      <c r="K132" s="34"/>
      <c r="L132" s="37">
        <v>1</v>
      </c>
      <c r="M132" s="37">
        <v>25</v>
      </c>
      <c r="N132" s="34"/>
      <c r="O132" s="34"/>
      <c r="P132" s="34"/>
      <c r="Q132" s="34"/>
      <c r="R132" s="34"/>
      <c r="S132" s="34"/>
      <c r="T132" s="34"/>
      <c r="U132" s="48"/>
      <c r="V132" s="34"/>
      <c r="W132" s="34"/>
      <c r="X132" s="34"/>
      <c r="Y132" s="34"/>
      <c r="Z132" s="34">
        <v>8.32</v>
      </c>
      <c r="AA132" s="34"/>
      <c r="AB132" s="34"/>
      <c r="AC132" s="34"/>
      <c r="AD132" s="34"/>
      <c r="AE132" s="34"/>
      <c r="AF132" s="34"/>
      <c r="AG132" s="34"/>
      <c r="AH132" s="34"/>
      <c r="AI132" s="52">
        <v>5400</v>
      </c>
      <c r="AJ132" s="52">
        <v>490</v>
      </c>
      <c r="AK132" s="34"/>
      <c r="AL132" s="34"/>
      <c r="AM132" s="37">
        <v>10</v>
      </c>
      <c r="AN132" s="34">
        <v>28</v>
      </c>
      <c r="AO132" s="31">
        <v>20</v>
      </c>
      <c r="AP132" s="34">
        <f>2372.7/1000</f>
        <v>2.3727</v>
      </c>
      <c r="AQ132" s="34"/>
      <c r="AR132" s="34"/>
      <c r="AS132" s="37">
        <v>50</v>
      </c>
      <c r="AT132" s="37">
        <v>50</v>
      </c>
      <c r="AU132" s="34"/>
      <c r="AV132" s="34"/>
      <c r="AW132" s="34">
        <f>63.9/1000</f>
        <v>6.3899999999999998E-2</v>
      </c>
      <c r="AX132" s="68">
        <f t="shared" si="1"/>
        <v>0.04</v>
      </c>
    </row>
    <row r="133" spans="2:50" x14ac:dyDescent="0.2">
      <c r="B133" s="8"/>
      <c r="C133" s="21">
        <v>41445</v>
      </c>
      <c r="D133" s="77" t="s">
        <v>13</v>
      </c>
      <c r="E133" s="34"/>
      <c r="F133" s="34"/>
      <c r="G133" s="34"/>
      <c r="H133" s="34"/>
      <c r="I133" s="34"/>
      <c r="J133" s="37"/>
      <c r="K133" s="34"/>
      <c r="L133" s="37">
        <v>1</v>
      </c>
      <c r="M133" s="37">
        <v>25</v>
      </c>
      <c r="N133" s="34"/>
      <c r="O133" s="34"/>
      <c r="P133" s="34"/>
      <c r="Q133" s="34"/>
      <c r="R133" s="34"/>
      <c r="S133" s="34"/>
      <c r="T133" s="34"/>
      <c r="U133" s="48"/>
      <c r="V133" s="34"/>
      <c r="W133" s="34"/>
      <c r="X133" s="34"/>
      <c r="Y133" s="34"/>
      <c r="Z133" s="34">
        <v>8.26</v>
      </c>
      <c r="AA133" s="34"/>
      <c r="AB133" s="34"/>
      <c r="AC133" s="34"/>
      <c r="AD133" s="34"/>
      <c r="AE133" s="34"/>
      <c r="AF133" s="34"/>
      <c r="AG133" s="34"/>
      <c r="AH133" s="34"/>
      <c r="AI133" s="52">
        <v>1700</v>
      </c>
      <c r="AJ133" s="52">
        <v>790</v>
      </c>
      <c r="AK133" s="34"/>
      <c r="AL133" s="34"/>
      <c r="AM133" s="37">
        <v>10</v>
      </c>
      <c r="AN133" s="34">
        <v>22.1</v>
      </c>
      <c r="AO133" s="31">
        <v>20</v>
      </c>
      <c r="AP133" s="34">
        <f>229.5/1000</f>
        <v>0.22950000000000001</v>
      </c>
      <c r="AQ133" s="34"/>
      <c r="AR133" s="34"/>
      <c r="AS133" s="37">
        <v>50</v>
      </c>
      <c r="AT133" s="37">
        <v>50</v>
      </c>
      <c r="AU133" s="34"/>
      <c r="AV133" s="34"/>
      <c r="AW133" s="34">
        <f>29.6/1000</f>
        <v>2.9600000000000001E-2</v>
      </c>
      <c r="AX133" s="68">
        <f t="shared" si="1"/>
        <v>0.04</v>
      </c>
    </row>
    <row r="134" spans="2:50" x14ac:dyDescent="0.2">
      <c r="B134" s="8"/>
      <c r="C134" s="21">
        <v>41445</v>
      </c>
      <c r="D134" s="78" t="s">
        <v>14</v>
      </c>
      <c r="E134" s="34"/>
      <c r="F134" s="34"/>
      <c r="G134" s="34"/>
      <c r="H134" s="34"/>
      <c r="I134" s="34"/>
      <c r="J134" s="37"/>
      <c r="K134" s="34"/>
      <c r="L134" s="37">
        <v>1</v>
      </c>
      <c r="M134" s="37">
        <v>25</v>
      </c>
      <c r="N134" s="34"/>
      <c r="O134" s="34"/>
      <c r="P134" s="34"/>
      <c r="Q134" s="34"/>
      <c r="R134" s="34"/>
      <c r="S134" s="34"/>
      <c r="T134" s="34"/>
      <c r="U134" s="48"/>
      <c r="V134" s="34"/>
      <c r="W134" s="34"/>
      <c r="X134" s="34"/>
      <c r="Y134" s="34"/>
      <c r="Z134" s="34">
        <v>7.58</v>
      </c>
      <c r="AA134" s="34"/>
      <c r="AB134" s="34"/>
      <c r="AC134" s="34"/>
      <c r="AD134" s="34"/>
      <c r="AE134" s="34"/>
      <c r="AF134" s="34"/>
      <c r="AG134" s="34"/>
      <c r="AH134" s="34"/>
      <c r="AI134" s="52">
        <v>790</v>
      </c>
      <c r="AJ134" s="52">
        <v>110</v>
      </c>
      <c r="AK134" s="34"/>
      <c r="AL134" s="34"/>
      <c r="AM134" s="37">
        <v>10</v>
      </c>
      <c r="AN134" s="34">
        <v>24.9</v>
      </c>
      <c r="AO134" s="31">
        <v>20</v>
      </c>
      <c r="AP134" s="34">
        <f>100.9/1000</f>
        <v>0.1009</v>
      </c>
      <c r="AQ134" s="34"/>
      <c r="AR134" s="34"/>
      <c r="AS134" s="37">
        <v>50</v>
      </c>
      <c r="AT134" s="37">
        <v>50</v>
      </c>
      <c r="AU134" s="34"/>
      <c r="AV134" s="34"/>
      <c r="AW134" s="34">
        <f>13/1000</f>
        <v>1.2999999999999999E-2</v>
      </c>
      <c r="AX134" s="68">
        <f t="shared" si="1"/>
        <v>0.04</v>
      </c>
    </row>
    <row r="135" spans="2:50" x14ac:dyDescent="0.2">
      <c r="B135" s="10"/>
      <c r="C135" s="21">
        <v>41528</v>
      </c>
      <c r="D135" s="27" t="s">
        <v>9</v>
      </c>
      <c r="E135" s="34"/>
      <c r="F135" s="34"/>
      <c r="G135" s="34"/>
      <c r="H135" s="34"/>
      <c r="I135" s="34"/>
      <c r="J135" s="37">
        <v>1</v>
      </c>
      <c r="K135" s="34"/>
      <c r="L135" s="34">
        <v>1.7</v>
      </c>
      <c r="M135" s="37">
        <v>25</v>
      </c>
      <c r="N135" s="34"/>
      <c r="O135" s="34"/>
      <c r="P135" s="34"/>
      <c r="Q135" s="34"/>
      <c r="R135" s="34"/>
      <c r="S135" s="31">
        <v>0.03</v>
      </c>
      <c r="T135" s="34">
        <v>0.01</v>
      </c>
      <c r="U135" s="31">
        <v>2E-3</v>
      </c>
      <c r="V135" s="34"/>
      <c r="W135" s="34"/>
      <c r="X135" s="34"/>
      <c r="Y135" s="34"/>
      <c r="Z135" s="34">
        <v>8.64</v>
      </c>
      <c r="AA135" s="34"/>
      <c r="AB135" s="31">
        <v>6</v>
      </c>
      <c r="AC135" s="34">
        <v>433</v>
      </c>
      <c r="AD135" s="34"/>
      <c r="AE135" s="34">
        <v>12.8</v>
      </c>
      <c r="AF135" s="34"/>
      <c r="AG135" s="34"/>
      <c r="AH135" s="34"/>
      <c r="AI135" s="52">
        <v>1300</v>
      </c>
      <c r="AJ135" s="52">
        <v>1300</v>
      </c>
      <c r="AK135" s="34">
        <v>93.6</v>
      </c>
      <c r="AL135" s="34"/>
      <c r="AM135" s="37">
        <v>10</v>
      </c>
      <c r="AN135" s="31">
        <v>4</v>
      </c>
      <c r="AO135" s="31">
        <v>20</v>
      </c>
      <c r="AP135" s="34">
        <f>129/1000</f>
        <v>0.129</v>
      </c>
      <c r="AQ135" s="34">
        <f>27.1/1000</f>
        <v>2.7100000000000003E-2</v>
      </c>
      <c r="AR135" s="34"/>
      <c r="AS135" s="37">
        <v>50</v>
      </c>
      <c r="AT135" s="37">
        <v>50</v>
      </c>
      <c r="AU135" s="34"/>
      <c r="AV135" s="34"/>
      <c r="AW135" s="34">
        <f>19.5/1000</f>
        <v>1.95E-2</v>
      </c>
      <c r="AX135" s="68">
        <f t="shared" si="1"/>
        <v>6.8000000000000005E-2</v>
      </c>
    </row>
    <row r="136" spans="2:50" x14ac:dyDescent="0.2">
      <c r="B136" s="9"/>
      <c r="C136" s="23">
        <v>41528</v>
      </c>
      <c r="D136" s="74" t="s">
        <v>10</v>
      </c>
      <c r="E136" s="34"/>
      <c r="F136" s="34"/>
      <c r="G136" s="34"/>
      <c r="H136" s="34"/>
      <c r="I136" s="34"/>
      <c r="J136" s="37">
        <v>1</v>
      </c>
      <c r="K136" s="34"/>
      <c r="L136" s="34">
        <v>1.75</v>
      </c>
      <c r="M136" s="37">
        <v>25</v>
      </c>
      <c r="N136" s="34"/>
      <c r="O136" s="34"/>
      <c r="P136" s="34"/>
      <c r="Q136" s="34"/>
      <c r="R136" s="34"/>
      <c r="S136" s="31">
        <v>0.03</v>
      </c>
      <c r="T136" s="31">
        <v>0.01</v>
      </c>
      <c r="U136" s="31">
        <v>2E-3</v>
      </c>
      <c r="V136" s="34"/>
      <c r="W136" s="34"/>
      <c r="X136" s="34"/>
      <c r="Y136" s="34"/>
      <c r="Z136" s="34">
        <v>8.6199999999999992</v>
      </c>
      <c r="AA136" s="34"/>
      <c r="AB136" s="31">
        <v>6</v>
      </c>
      <c r="AC136" s="34">
        <v>418</v>
      </c>
      <c r="AD136" s="34"/>
      <c r="AE136" s="34">
        <v>51.6</v>
      </c>
      <c r="AF136" s="34"/>
      <c r="AG136" s="34"/>
      <c r="AH136" s="34"/>
      <c r="AI136" s="52">
        <v>490</v>
      </c>
      <c r="AJ136" s="52">
        <v>330</v>
      </c>
      <c r="AK136" s="34">
        <v>98.7</v>
      </c>
      <c r="AL136" s="34"/>
      <c r="AM136" s="37">
        <v>10</v>
      </c>
      <c r="AN136" s="31">
        <v>4</v>
      </c>
      <c r="AO136" s="31">
        <v>20</v>
      </c>
      <c r="AP136" s="34">
        <f>12.3/1000</f>
        <v>1.23E-2</v>
      </c>
      <c r="AQ136" s="34">
        <f>56/1000</f>
        <v>5.6000000000000001E-2</v>
      </c>
      <c r="AR136" s="34"/>
      <c r="AS136" s="37">
        <v>50</v>
      </c>
      <c r="AT136" s="37">
        <v>50</v>
      </c>
      <c r="AU136" s="34"/>
      <c r="AV136" s="34"/>
      <c r="AW136" s="31">
        <f>10/1000</f>
        <v>0.01</v>
      </c>
      <c r="AX136" s="68">
        <f t="shared" si="1"/>
        <v>7.0000000000000007E-2</v>
      </c>
    </row>
    <row r="137" spans="2:50" x14ac:dyDescent="0.2">
      <c r="B137" s="8"/>
      <c r="C137" s="23">
        <v>41528</v>
      </c>
      <c r="D137" s="75" t="s">
        <v>11</v>
      </c>
      <c r="E137" s="34"/>
      <c r="F137" s="34"/>
      <c r="G137" s="34"/>
      <c r="H137" s="34"/>
      <c r="I137" s="34"/>
      <c r="J137" s="37">
        <v>1</v>
      </c>
      <c r="K137" s="34"/>
      <c r="L137" s="34">
        <v>1.35</v>
      </c>
      <c r="M137" s="37">
        <v>25</v>
      </c>
      <c r="N137" s="34"/>
      <c r="O137" s="34"/>
      <c r="P137" s="34"/>
      <c r="Q137" s="34"/>
      <c r="R137" s="34"/>
      <c r="S137" s="31">
        <v>0.03</v>
      </c>
      <c r="T137" s="34">
        <v>0.01</v>
      </c>
      <c r="U137" s="31">
        <v>2E-3</v>
      </c>
      <c r="V137" s="34"/>
      <c r="W137" s="34"/>
      <c r="X137" s="34"/>
      <c r="Y137" s="34"/>
      <c r="Z137" s="34">
        <v>8.81</v>
      </c>
      <c r="AA137" s="34"/>
      <c r="AB137" s="31">
        <v>6</v>
      </c>
      <c r="AC137" s="34">
        <v>411</v>
      </c>
      <c r="AD137" s="34"/>
      <c r="AE137" s="34">
        <v>45.2</v>
      </c>
      <c r="AF137" s="34"/>
      <c r="AG137" s="34"/>
      <c r="AH137" s="34"/>
      <c r="AI137" s="52">
        <v>330</v>
      </c>
      <c r="AJ137" s="52">
        <v>330</v>
      </c>
      <c r="AK137" s="34">
        <v>55.6</v>
      </c>
      <c r="AL137" s="34"/>
      <c r="AM137" s="37">
        <v>10</v>
      </c>
      <c r="AN137" s="31">
        <v>4</v>
      </c>
      <c r="AO137" s="31">
        <v>20</v>
      </c>
      <c r="AP137" s="34">
        <f>69/1000</f>
        <v>6.9000000000000006E-2</v>
      </c>
      <c r="AQ137" s="34">
        <f>10.3/1000</f>
        <v>1.03E-2</v>
      </c>
      <c r="AR137" s="34"/>
      <c r="AS137" s="37">
        <v>50</v>
      </c>
      <c r="AT137" s="37">
        <v>50</v>
      </c>
      <c r="AU137" s="34"/>
      <c r="AV137" s="34"/>
      <c r="AW137" s="31">
        <f>10/1000</f>
        <v>0.01</v>
      </c>
      <c r="AX137" s="68">
        <f t="shared" si="1"/>
        <v>5.4000000000000006E-2</v>
      </c>
    </row>
    <row r="138" spans="2:50" x14ac:dyDescent="0.2">
      <c r="B138" s="8"/>
      <c r="C138" s="23">
        <v>41528</v>
      </c>
      <c r="D138" s="76" t="s">
        <v>12</v>
      </c>
      <c r="E138" s="34"/>
      <c r="F138" s="34"/>
      <c r="G138" s="34"/>
      <c r="H138" s="34"/>
      <c r="I138" s="34"/>
      <c r="J138" s="37">
        <v>1</v>
      </c>
      <c r="K138" s="34"/>
      <c r="L138" s="34">
        <v>0.7</v>
      </c>
      <c r="M138" s="37">
        <v>25</v>
      </c>
      <c r="N138" s="34"/>
      <c r="O138" s="34"/>
      <c r="P138" s="34"/>
      <c r="Q138" s="34"/>
      <c r="R138" s="34"/>
      <c r="S138" s="31">
        <v>0.03</v>
      </c>
      <c r="T138" s="31">
        <v>0.01</v>
      </c>
      <c r="U138" s="31">
        <v>2E-3</v>
      </c>
      <c r="V138" s="34"/>
      <c r="W138" s="34"/>
      <c r="X138" s="34"/>
      <c r="Y138" s="34"/>
      <c r="Z138" s="34">
        <v>8.32</v>
      </c>
      <c r="AA138" s="34"/>
      <c r="AB138" s="31">
        <v>6</v>
      </c>
      <c r="AC138" s="34">
        <v>419</v>
      </c>
      <c r="AD138" s="34"/>
      <c r="AE138" s="34">
        <v>18.8</v>
      </c>
      <c r="AF138" s="34"/>
      <c r="AG138" s="34"/>
      <c r="AH138" s="34"/>
      <c r="AI138" s="52">
        <v>540</v>
      </c>
      <c r="AJ138" s="52">
        <v>540</v>
      </c>
      <c r="AK138" s="34">
        <v>102.3</v>
      </c>
      <c r="AL138" s="34"/>
      <c r="AM138" s="37">
        <v>10</v>
      </c>
      <c r="AN138" s="31">
        <v>4</v>
      </c>
      <c r="AO138" s="31">
        <v>20</v>
      </c>
      <c r="AP138" s="34">
        <f>90.1/1000</f>
        <v>9.01E-2</v>
      </c>
      <c r="AQ138" s="34">
        <f>8.3/1000</f>
        <v>8.3000000000000001E-3</v>
      </c>
      <c r="AR138" s="34"/>
      <c r="AS138" s="37">
        <v>50</v>
      </c>
      <c r="AT138" s="37">
        <v>50</v>
      </c>
      <c r="AU138" s="34"/>
      <c r="AV138" s="34"/>
      <c r="AW138" s="31">
        <f>10/1000</f>
        <v>0.01</v>
      </c>
      <c r="AX138" s="68">
        <f t="shared" si="1"/>
        <v>2.7999999999999997E-2</v>
      </c>
    </row>
    <row r="139" spans="2:50" x14ac:dyDescent="0.2">
      <c r="B139" s="8"/>
      <c r="C139" s="23">
        <v>41528</v>
      </c>
      <c r="D139" s="77" t="s">
        <v>13</v>
      </c>
      <c r="E139" s="34"/>
      <c r="F139" s="34"/>
      <c r="G139" s="34"/>
      <c r="H139" s="34"/>
      <c r="I139" s="34"/>
      <c r="J139" s="37">
        <v>1</v>
      </c>
      <c r="K139" s="34"/>
      <c r="L139" s="34">
        <v>1.45</v>
      </c>
      <c r="M139" s="37">
        <v>25</v>
      </c>
      <c r="N139" s="34"/>
      <c r="O139" s="34"/>
      <c r="P139" s="34"/>
      <c r="Q139" s="34"/>
      <c r="R139" s="34"/>
      <c r="S139" s="34">
        <v>0.03</v>
      </c>
      <c r="T139" s="31">
        <v>0.01</v>
      </c>
      <c r="U139" s="31">
        <v>2E-3</v>
      </c>
      <c r="V139" s="34"/>
      <c r="W139" s="34"/>
      <c r="X139" s="34"/>
      <c r="Y139" s="34"/>
      <c r="Z139" s="34">
        <v>8.65</v>
      </c>
      <c r="AA139" s="34"/>
      <c r="AB139" s="31">
        <v>6</v>
      </c>
      <c r="AC139" s="34">
        <v>420</v>
      </c>
      <c r="AD139" s="34"/>
      <c r="AE139" s="34">
        <v>20</v>
      </c>
      <c r="AF139" s="34"/>
      <c r="AG139" s="34"/>
      <c r="AH139" s="34"/>
      <c r="AI139" s="52">
        <v>2400</v>
      </c>
      <c r="AJ139" s="52">
        <v>790</v>
      </c>
      <c r="AK139" s="34">
        <v>244.2</v>
      </c>
      <c r="AL139" s="34"/>
      <c r="AM139" s="37">
        <v>10</v>
      </c>
      <c r="AN139" s="31">
        <v>4</v>
      </c>
      <c r="AO139" s="31">
        <v>20</v>
      </c>
      <c r="AP139" s="34">
        <f>242.7/1000</f>
        <v>0.2427</v>
      </c>
      <c r="AQ139" s="34">
        <f>87.2/1000</f>
        <v>8.72E-2</v>
      </c>
      <c r="AR139" s="34"/>
      <c r="AS139" s="37">
        <v>50</v>
      </c>
      <c r="AT139" s="37">
        <v>50</v>
      </c>
      <c r="AU139" s="34"/>
      <c r="AV139" s="34"/>
      <c r="AW139" s="31">
        <f>10/1000</f>
        <v>0.01</v>
      </c>
      <c r="AX139" s="68">
        <f t="shared" si="1"/>
        <v>5.7999999999999996E-2</v>
      </c>
    </row>
    <row r="140" spans="2:50" x14ac:dyDescent="0.2">
      <c r="B140" s="8"/>
      <c r="C140" s="23">
        <v>41528</v>
      </c>
      <c r="D140" s="78" t="s">
        <v>14</v>
      </c>
      <c r="E140" s="34"/>
      <c r="F140" s="34"/>
      <c r="G140" s="34"/>
      <c r="H140" s="34"/>
      <c r="I140" s="34"/>
      <c r="J140" s="37">
        <v>1</v>
      </c>
      <c r="K140" s="34"/>
      <c r="L140" s="34">
        <v>0.65</v>
      </c>
      <c r="M140" s="37">
        <v>25</v>
      </c>
      <c r="N140" s="34"/>
      <c r="O140" s="34"/>
      <c r="P140" s="34"/>
      <c r="Q140" s="34"/>
      <c r="R140" s="34"/>
      <c r="S140" s="31">
        <v>0.03</v>
      </c>
      <c r="T140" s="34">
        <v>0.01</v>
      </c>
      <c r="U140" s="31">
        <v>2E-3</v>
      </c>
      <c r="V140" s="34"/>
      <c r="W140" s="34"/>
      <c r="X140" s="34"/>
      <c r="Y140" s="34"/>
      <c r="Z140" s="34">
        <v>7.83</v>
      </c>
      <c r="AA140" s="34"/>
      <c r="AB140" s="31">
        <v>6</v>
      </c>
      <c r="AC140" s="34">
        <v>473</v>
      </c>
      <c r="AD140" s="34"/>
      <c r="AE140" s="34">
        <v>62.4</v>
      </c>
      <c r="AF140" s="34"/>
      <c r="AG140" s="34"/>
      <c r="AH140" s="34"/>
      <c r="AI140" s="52">
        <v>31</v>
      </c>
      <c r="AJ140" s="52">
        <v>13</v>
      </c>
      <c r="AK140" s="34">
        <v>58.1</v>
      </c>
      <c r="AL140" s="34"/>
      <c r="AM140" s="37">
        <v>10</v>
      </c>
      <c r="AN140" s="31">
        <v>4</v>
      </c>
      <c r="AO140" s="31">
        <v>20</v>
      </c>
      <c r="AP140" s="34">
        <f>26.2/1000</f>
        <v>2.6199999999999998E-2</v>
      </c>
      <c r="AQ140" s="34">
        <f>25.1/1000</f>
        <v>2.5100000000000001E-2</v>
      </c>
      <c r="AR140" s="34"/>
      <c r="AS140" s="37">
        <v>50</v>
      </c>
      <c r="AT140" s="37">
        <v>50</v>
      </c>
      <c r="AU140" s="34"/>
      <c r="AV140" s="34"/>
      <c r="AW140" s="31">
        <f>10/1000</f>
        <v>0.01</v>
      </c>
      <c r="AX140" s="68">
        <f t="shared" si="1"/>
        <v>2.6000000000000002E-2</v>
      </c>
    </row>
    <row r="141" spans="2:50" x14ac:dyDescent="0.2">
      <c r="B141" s="10">
        <v>2014</v>
      </c>
      <c r="C141" s="23">
        <v>41670</v>
      </c>
      <c r="D141" s="27" t="s">
        <v>9</v>
      </c>
      <c r="E141" s="34"/>
      <c r="F141" s="34"/>
      <c r="G141" s="34"/>
      <c r="H141" s="34"/>
      <c r="I141" s="34"/>
      <c r="J141" s="34"/>
      <c r="K141" s="34"/>
      <c r="L141" s="34">
        <v>3.6</v>
      </c>
      <c r="M141" s="34">
        <v>46</v>
      </c>
      <c r="N141" s="34"/>
      <c r="O141" s="34"/>
      <c r="P141" s="34"/>
      <c r="Q141" s="34"/>
      <c r="R141" s="34"/>
      <c r="S141" s="34"/>
      <c r="T141" s="34"/>
      <c r="U141" s="48"/>
      <c r="V141" s="34"/>
      <c r="W141" s="34"/>
      <c r="X141" s="34"/>
      <c r="Y141" s="34"/>
      <c r="Z141" s="34">
        <v>7.84</v>
      </c>
      <c r="AA141" s="34"/>
      <c r="AB141" s="34"/>
      <c r="AC141" s="34"/>
      <c r="AD141" s="34"/>
      <c r="AE141" s="34"/>
      <c r="AF141" s="34"/>
      <c r="AG141" s="34"/>
      <c r="AH141" s="34"/>
      <c r="AI141" s="52"/>
      <c r="AJ141" s="52"/>
      <c r="AK141" s="34"/>
      <c r="AL141" s="34"/>
      <c r="AM141" s="37">
        <v>10</v>
      </c>
      <c r="AN141" s="34">
        <v>45.5</v>
      </c>
      <c r="AO141" s="34">
        <v>46.4</v>
      </c>
      <c r="AP141" s="34">
        <f>28281/10000</f>
        <v>2.8281000000000001</v>
      </c>
      <c r="AQ141" s="34"/>
      <c r="AR141" s="34"/>
      <c r="AS141" s="37">
        <v>50</v>
      </c>
      <c r="AT141" s="37">
        <v>50</v>
      </c>
      <c r="AU141" s="34"/>
      <c r="AV141" s="34"/>
      <c r="AW141" s="34">
        <f>147.2/1000</f>
        <v>0.1472</v>
      </c>
      <c r="AX141" s="68">
        <f t="shared" ref="AX141:AX204" si="2">+L141/M141</f>
        <v>7.8260869565217397E-2</v>
      </c>
    </row>
    <row r="142" spans="2:50" x14ac:dyDescent="0.2">
      <c r="B142" s="9"/>
      <c r="C142" s="23">
        <v>41670</v>
      </c>
      <c r="D142" s="74" t="s">
        <v>10</v>
      </c>
      <c r="E142" s="34"/>
      <c r="F142" s="34"/>
      <c r="G142" s="34"/>
      <c r="H142" s="34"/>
      <c r="I142" s="34"/>
      <c r="J142" s="34"/>
      <c r="K142" s="34"/>
      <c r="L142" s="34">
        <v>3.4</v>
      </c>
      <c r="M142" s="34">
        <v>47</v>
      </c>
      <c r="N142" s="34"/>
      <c r="O142" s="34"/>
      <c r="P142" s="34"/>
      <c r="Q142" s="34"/>
      <c r="R142" s="34"/>
      <c r="S142" s="34"/>
      <c r="T142" s="34"/>
      <c r="U142" s="48"/>
      <c r="V142" s="34"/>
      <c r="W142" s="34"/>
      <c r="X142" s="34"/>
      <c r="Y142" s="34"/>
      <c r="Z142" s="34">
        <v>7.79</v>
      </c>
      <c r="AA142" s="34"/>
      <c r="AB142" s="34"/>
      <c r="AC142" s="34"/>
      <c r="AD142" s="34"/>
      <c r="AE142" s="34"/>
      <c r="AF142" s="34"/>
      <c r="AG142" s="34"/>
      <c r="AH142" s="34"/>
      <c r="AI142" s="52"/>
      <c r="AJ142" s="52"/>
      <c r="AK142" s="34"/>
      <c r="AL142" s="34"/>
      <c r="AM142" s="37">
        <v>10</v>
      </c>
      <c r="AN142" s="34">
        <v>57.6</v>
      </c>
      <c r="AO142" s="34">
        <v>65.7</v>
      </c>
      <c r="AP142" s="34">
        <f>42691/1000</f>
        <v>42.691000000000003</v>
      </c>
      <c r="AQ142" s="34"/>
      <c r="AR142" s="34"/>
      <c r="AS142" s="37">
        <v>50</v>
      </c>
      <c r="AT142" s="37">
        <v>50</v>
      </c>
      <c r="AU142" s="34"/>
      <c r="AV142" s="34"/>
      <c r="AW142" s="34">
        <f>154.1/1000</f>
        <v>0.15409999999999999</v>
      </c>
      <c r="AX142" s="68">
        <f t="shared" si="2"/>
        <v>7.2340425531914887E-2</v>
      </c>
    </row>
    <row r="143" spans="2:50" x14ac:dyDescent="0.2">
      <c r="B143" s="8"/>
      <c r="C143" s="23">
        <v>41670</v>
      </c>
      <c r="D143" s="75" t="s">
        <v>11</v>
      </c>
      <c r="E143" s="34"/>
      <c r="F143" s="34"/>
      <c r="G143" s="34"/>
      <c r="H143" s="34"/>
      <c r="I143" s="34"/>
      <c r="J143" s="34"/>
      <c r="K143" s="34"/>
      <c r="L143" s="34">
        <v>2.7</v>
      </c>
      <c r="M143" s="34">
        <v>37</v>
      </c>
      <c r="N143" s="34"/>
      <c r="O143" s="34"/>
      <c r="P143" s="34"/>
      <c r="Q143" s="34"/>
      <c r="R143" s="34"/>
      <c r="S143" s="34"/>
      <c r="T143" s="34"/>
      <c r="U143" s="48"/>
      <c r="V143" s="34"/>
      <c r="W143" s="34"/>
      <c r="X143" s="34"/>
      <c r="Y143" s="34"/>
      <c r="Z143" s="34">
        <v>7.81</v>
      </c>
      <c r="AA143" s="34"/>
      <c r="AB143" s="34"/>
      <c r="AC143" s="34"/>
      <c r="AD143" s="34"/>
      <c r="AE143" s="34"/>
      <c r="AF143" s="34"/>
      <c r="AG143" s="34"/>
      <c r="AH143" s="34"/>
      <c r="AI143" s="52"/>
      <c r="AJ143" s="52"/>
      <c r="AK143" s="34"/>
      <c r="AL143" s="34"/>
      <c r="AM143" s="37">
        <v>10</v>
      </c>
      <c r="AN143" s="34">
        <v>51.6</v>
      </c>
      <c r="AO143" s="34">
        <v>59.1</v>
      </c>
      <c r="AP143" s="34">
        <f>35576/1000</f>
        <v>35.576000000000001</v>
      </c>
      <c r="AQ143" s="34"/>
      <c r="AR143" s="34"/>
      <c r="AS143" s="37">
        <v>50</v>
      </c>
      <c r="AT143" s="37">
        <v>50</v>
      </c>
      <c r="AU143" s="34"/>
      <c r="AV143" s="34"/>
      <c r="AW143" s="34">
        <f>194.3/1000</f>
        <v>0.1943</v>
      </c>
      <c r="AX143" s="68">
        <f t="shared" si="2"/>
        <v>7.2972972972972977E-2</v>
      </c>
    </row>
    <row r="144" spans="2:50" x14ac:dyDescent="0.2">
      <c r="B144" s="8"/>
      <c r="C144" s="23">
        <v>41670</v>
      </c>
      <c r="D144" s="76" t="s">
        <v>12</v>
      </c>
      <c r="E144" s="34"/>
      <c r="F144" s="34"/>
      <c r="G144" s="34"/>
      <c r="H144" s="34"/>
      <c r="I144" s="34"/>
      <c r="J144" s="34"/>
      <c r="K144" s="34"/>
      <c r="L144" s="34">
        <v>2.6</v>
      </c>
      <c r="M144" s="34">
        <v>91</v>
      </c>
      <c r="N144" s="34"/>
      <c r="O144" s="34"/>
      <c r="P144" s="34"/>
      <c r="Q144" s="34"/>
      <c r="R144" s="34"/>
      <c r="S144" s="34"/>
      <c r="T144" s="34"/>
      <c r="U144" s="48"/>
      <c r="V144" s="34"/>
      <c r="W144" s="34"/>
      <c r="X144" s="34"/>
      <c r="Y144" s="34"/>
      <c r="Z144" s="34">
        <v>7.8</v>
      </c>
      <c r="AA144" s="34"/>
      <c r="AB144" s="34"/>
      <c r="AC144" s="34"/>
      <c r="AD144" s="34"/>
      <c r="AE144" s="34"/>
      <c r="AF144" s="34"/>
      <c r="AG144" s="34"/>
      <c r="AH144" s="34"/>
      <c r="AI144" s="52"/>
      <c r="AJ144" s="52"/>
      <c r="AK144" s="34"/>
      <c r="AL144" s="34"/>
      <c r="AM144" s="37">
        <v>10</v>
      </c>
      <c r="AN144" s="34">
        <v>68.5</v>
      </c>
      <c r="AO144" s="34">
        <v>91.7</v>
      </c>
      <c r="AP144" s="34">
        <f>56342/1000</f>
        <v>56.341999999999999</v>
      </c>
      <c r="AQ144" s="34"/>
      <c r="AR144" s="34"/>
      <c r="AS144" s="37">
        <v>59.7</v>
      </c>
      <c r="AT144" s="37">
        <v>50</v>
      </c>
      <c r="AU144" s="34"/>
      <c r="AV144" s="34"/>
      <c r="AW144" s="34">
        <f>202.6/1000</f>
        <v>0.2026</v>
      </c>
      <c r="AX144" s="68">
        <f t="shared" si="2"/>
        <v>2.8571428571428574E-2</v>
      </c>
    </row>
    <row r="145" spans="2:50" x14ac:dyDescent="0.2">
      <c r="B145" s="8"/>
      <c r="C145" s="23">
        <v>41670</v>
      </c>
      <c r="D145" s="77" t="s">
        <v>13</v>
      </c>
      <c r="E145" s="34"/>
      <c r="F145" s="34"/>
      <c r="G145" s="34"/>
      <c r="H145" s="34"/>
      <c r="I145" s="34"/>
      <c r="J145" s="34"/>
      <c r="K145" s="34"/>
      <c r="L145" s="34">
        <v>3.4</v>
      </c>
      <c r="M145" s="34">
        <v>43</v>
      </c>
      <c r="N145" s="34"/>
      <c r="O145" s="34"/>
      <c r="P145" s="34"/>
      <c r="Q145" s="34"/>
      <c r="R145" s="34"/>
      <c r="S145" s="34"/>
      <c r="T145" s="34"/>
      <c r="U145" s="48"/>
      <c r="V145" s="34"/>
      <c r="W145" s="34"/>
      <c r="X145" s="34"/>
      <c r="Y145" s="34"/>
      <c r="Z145" s="34">
        <v>7.74</v>
      </c>
      <c r="AA145" s="34"/>
      <c r="AB145" s="34"/>
      <c r="AC145" s="34"/>
      <c r="AD145" s="34"/>
      <c r="AE145" s="34"/>
      <c r="AF145" s="34"/>
      <c r="AG145" s="34"/>
      <c r="AH145" s="34"/>
      <c r="AI145" s="52"/>
      <c r="AJ145" s="52"/>
      <c r="AK145" s="34"/>
      <c r="AL145" s="34"/>
      <c r="AM145" s="37">
        <v>10</v>
      </c>
      <c r="AN145" s="34">
        <v>60</v>
      </c>
      <c r="AO145" s="34">
        <v>81.599999999999994</v>
      </c>
      <c r="AP145" s="34">
        <f>50171/1000</f>
        <v>50.170999999999999</v>
      </c>
      <c r="AQ145" s="34"/>
      <c r="AR145" s="34"/>
      <c r="AS145" s="34">
        <v>52.7</v>
      </c>
      <c r="AT145" s="37">
        <v>50</v>
      </c>
      <c r="AU145" s="34"/>
      <c r="AV145" s="34"/>
      <c r="AW145" s="34">
        <f>185.9/1000</f>
        <v>0.18590000000000001</v>
      </c>
      <c r="AX145" s="68">
        <f t="shared" si="2"/>
        <v>7.9069767441860464E-2</v>
      </c>
    </row>
    <row r="146" spans="2:50" x14ac:dyDescent="0.2">
      <c r="B146" s="8"/>
      <c r="C146" s="23">
        <v>41670</v>
      </c>
      <c r="D146" s="78" t="s">
        <v>14</v>
      </c>
      <c r="E146" s="34"/>
      <c r="F146" s="34"/>
      <c r="G146" s="34"/>
      <c r="H146" s="34"/>
      <c r="I146" s="34"/>
      <c r="J146" s="34"/>
      <c r="K146" s="34"/>
      <c r="L146" s="37">
        <v>1</v>
      </c>
      <c r="M146" s="37">
        <v>25</v>
      </c>
      <c r="N146" s="34"/>
      <c r="O146" s="34"/>
      <c r="P146" s="34"/>
      <c r="Q146" s="34"/>
      <c r="R146" s="34"/>
      <c r="S146" s="34"/>
      <c r="T146" s="34"/>
      <c r="U146" s="48"/>
      <c r="V146" s="34"/>
      <c r="W146" s="34"/>
      <c r="X146" s="34"/>
      <c r="Y146" s="34"/>
      <c r="Z146" s="34">
        <v>7.84</v>
      </c>
      <c r="AA146" s="34"/>
      <c r="AB146" s="34"/>
      <c r="AC146" s="34"/>
      <c r="AD146" s="34"/>
      <c r="AE146" s="34"/>
      <c r="AF146" s="34"/>
      <c r="AG146" s="34"/>
      <c r="AH146" s="34"/>
      <c r="AI146" s="52"/>
      <c r="AJ146" s="52"/>
      <c r="AK146" s="34"/>
      <c r="AL146" s="34"/>
      <c r="AM146" s="37">
        <v>10</v>
      </c>
      <c r="AN146" s="34">
        <v>59.1</v>
      </c>
      <c r="AO146" s="34">
        <v>96.5</v>
      </c>
      <c r="AP146" s="34">
        <f>47751/1000</f>
        <v>47.750999999999998</v>
      </c>
      <c r="AQ146" s="34"/>
      <c r="AR146" s="34"/>
      <c r="AS146" s="34">
        <v>55.2</v>
      </c>
      <c r="AT146" s="37">
        <v>50</v>
      </c>
      <c r="AU146" s="34"/>
      <c r="AV146" s="34"/>
      <c r="AW146" s="34">
        <f>151.4/1000</f>
        <v>0.15140000000000001</v>
      </c>
      <c r="AX146" s="68">
        <f t="shared" si="2"/>
        <v>0.04</v>
      </c>
    </row>
    <row r="147" spans="2:50" x14ac:dyDescent="0.2">
      <c r="B147" s="10"/>
      <c r="C147" s="23">
        <v>41758</v>
      </c>
      <c r="D147" s="27" t="s">
        <v>9</v>
      </c>
      <c r="E147" s="34"/>
      <c r="F147" s="34"/>
      <c r="G147" s="34"/>
      <c r="H147" s="34"/>
      <c r="I147" s="34"/>
      <c r="J147" s="37">
        <v>1</v>
      </c>
      <c r="K147" s="37"/>
      <c r="L147" s="37">
        <v>0.9</v>
      </c>
      <c r="M147" s="37">
        <v>41</v>
      </c>
      <c r="N147" s="37"/>
      <c r="O147" s="37"/>
      <c r="P147" s="34"/>
      <c r="Q147" s="34"/>
      <c r="R147" s="34"/>
      <c r="S147" s="37">
        <v>0.1</v>
      </c>
      <c r="T147" s="37">
        <v>0</v>
      </c>
      <c r="U147" s="48">
        <v>1.4E-2</v>
      </c>
      <c r="V147" s="37"/>
      <c r="W147" s="37"/>
      <c r="X147" s="37"/>
      <c r="Y147" s="37"/>
      <c r="Z147" s="37">
        <v>8.19</v>
      </c>
      <c r="AA147" s="37"/>
      <c r="AB147" s="37">
        <v>15</v>
      </c>
      <c r="AC147" s="37">
        <v>280</v>
      </c>
      <c r="AD147" s="37"/>
      <c r="AE147" s="37">
        <v>10.4</v>
      </c>
      <c r="AF147" s="37"/>
      <c r="AG147" s="34"/>
      <c r="AH147" s="34"/>
      <c r="AI147" s="52">
        <v>54000</v>
      </c>
      <c r="AJ147" s="52">
        <v>2200</v>
      </c>
      <c r="AK147" s="37">
        <v>827</v>
      </c>
      <c r="AL147" s="34"/>
      <c r="AM147" s="37">
        <v>10</v>
      </c>
      <c r="AN147" s="37">
        <v>10</v>
      </c>
      <c r="AO147" s="31">
        <v>20</v>
      </c>
      <c r="AP147" s="37">
        <f>1364/1000</f>
        <v>1.3640000000000001</v>
      </c>
      <c r="AQ147" s="37">
        <f>47.1/1000</f>
        <v>4.7100000000000003E-2</v>
      </c>
      <c r="AR147" s="37"/>
      <c r="AS147" s="37">
        <v>50</v>
      </c>
      <c r="AT147" s="37">
        <v>50</v>
      </c>
      <c r="AU147" s="37"/>
      <c r="AV147" s="37"/>
      <c r="AW147" s="37">
        <f>31.6/1000</f>
        <v>3.1600000000000003E-2</v>
      </c>
      <c r="AX147" s="68">
        <f t="shared" si="2"/>
        <v>2.1951219512195124E-2</v>
      </c>
    </row>
    <row r="148" spans="2:50" x14ac:dyDescent="0.2">
      <c r="B148" s="9"/>
      <c r="C148" s="23">
        <v>41758</v>
      </c>
      <c r="D148" s="74" t="s">
        <v>10</v>
      </c>
      <c r="E148" s="34"/>
      <c r="F148" s="34"/>
      <c r="G148" s="34"/>
      <c r="H148" s="34"/>
      <c r="I148" s="34"/>
      <c r="J148" s="37">
        <v>1</v>
      </c>
      <c r="K148" s="37"/>
      <c r="L148" s="37">
        <v>1.05</v>
      </c>
      <c r="M148" s="37">
        <v>33</v>
      </c>
      <c r="N148" s="37"/>
      <c r="O148" s="37"/>
      <c r="P148" s="34"/>
      <c r="Q148" s="34"/>
      <c r="R148" s="34"/>
      <c r="S148" s="37">
        <v>0.1</v>
      </c>
      <c r="T148" s="37">
        <v>0</v>
      </c>
      <c r="U148" s="48">
        <v>8.9999999999999993E-3</v>
      </c>
      <c r="V148" s="37"/>
      <c r="W148" s="37"/>
      <c r="X148" s="37"/>
      <c r="Y148" s="37"/>
      <c r="Z148" s="37">
        <v>8.3000000000000007</v>
      </c>
      <c r="AA148" s="37"/>
      <c r="AB148" s="37">
        <v>22</v>
      </c>
      <c r="AC148" s="37">
        <v>328</v>
      </c>
      <c r="AD148" s="37"/>
      <c r="AE148" s="37">
        <v>10</v>
      </c>
      <c r="AF148" s="37"/>
      <c r="AG148" s="34"/>
      <c r="AH148" s="34"/>
      <c r="AI148" s="52">
        <v>7900</v>
      </c>
      <c r="AJ148" s="52">
        <v>3300</v>
      </c>
      <c r="AK148" s="37">
        <v>805.9</v>
      </c>
      <c r="AL148" s="34"/>
      <c r="AM148" s="37">
        <v>10</v>
      </c>
      <c r="AN148" s="37">
        <v>10</v>
      </c>
      <c r="AO148" s="31">
        <v>20</v>
      </c>
      <c r="AP148" s="37">
        <f>1292.5/1000</f>
        <v>1.2925</v>
      </c>
      <c r="AQ148" s="37">
        <f>73.6/1000</f>
        <v>7.3599999999999999E-2</v>
      </c>
      <c r="AR148" s="37"/>
      <c r="AS148" s="37">
        <v>50</v>
      </c>
      <c r="AT148" s="37">
        <v>50</v>
      </c>
      <c r="AU148" s="37"/>
      <c r="AV148" s="37"/>
      <c r="AW148" s="37">
        <f>131.8/1000</f>
        <v>0.1318</v>
      </c>
      <c r="AX148" s="68">
        <f t="shared" si="2"/>
        <v>3.1818181818181822E-2</v>
      </c>
    </row>
    <row r="149" spans="2:50" x14ac:dyDescent="0.2">
      <c r="B149" s="8"/>
      <c r="C149" s="23">
        <v>41758</v>
      </c>
      <c r="D149" s="75" t="s">
        <v>11</v>
      </c>
      <c r="E149" s="34"/>
      <c r="F149" s="34"/>
      <c r="G149" s="34"/>
      <c r="H149" s="34"/>
      <c r="I149" s="34"/>
      <c r="J149" s="37">
        <v>1</v>
      </c>
      <c r="K149" s="37"/>
      <c r="L149" s="37">
        <v>0.9</v>
      </c>
      <c r="M149" s="37">
        <v>41</v>
      </c>
      <c r="N149" s="37"/>
      <c r="O149" s="37"/>
      <c r="P149" s="34"/>
      <c r="Q149" s="34"/>
      <c r="R149" s="34"/>
      <c r="S149" s="37">
        <v>0.1</v>
      </c>
      <c r="T149" s="37">
        <v>0</v>
      </c>
      <c r="U149" s="48">
        <v>5.0000000000000001E-3</v>
      </c>
      <c r="V149" s="37"/>
      <c r="W149" s="37"/>
      <c r="X149" s="37"/>
      <c r="Y149" s="37"/>
      <c r="Z149" s="37">
        <v>8.4</v>
      </c>
      <c r="AA149" s="37"/>
      <c r="AB149" s="37">
        <v>28</v>
      </c>
      <c r="AC149" s="37">
        <v>347</v>
      </c>
      <c r="AD149" s="37"/>
      <c r="AE149" s="37">
        <v>11.6</v>
      </c>
      <c r="AF149" s="37"/>
      <c r="AG149" s="34"/>
      <c r="AH149" s="34"/>
      <c r="AI149" s="52">
        <v>11000</v>
      </c>
      <c r="AJ149" s="52">
        <v>2300</v>
      </c>
      <c r="AK149" s="37">
        <v>916.2</v>
      </c>
      <c r="AL149" s="34"/>
      <c r="AM149" s="37">
        <v>10</v>
      </c>
      <c r="AN149" s="37">
        <v>10</v>
      </c>
      <c r="AO149" s="31">
        <v>20</v>
      </c>
      <c r="AP149" s="37">
        <f>1430/1000</f>
        <v>1.43</v>
      </c>
      <c r="AQ149" s="37">
        <f>58.4/1000</f>
        <v>5.8400000000000001E-2</v>
      </c>
      <c r="AR149" s="37"/>
      <c r="AS149" s="37">
        <v>50</v>
      </c>
      <c r="AT149" s="37">
        <v>50</v>
      </c>
      <c r="AU149" s="37"/>
      <c r="AV149" s="37"/>
      <c r="AW149" s="37">
        <f>83.5/1000</f>
        <v>8.3500000000000005E-2</v>
      </c>
      <c r="AX149" s="68">
        <f t="shared" si="2"/>
        <v>2.1951219512195124E-2</v>
      </c>
    </row>
    <row r="150" spans="2:50" x14ac:dyDescent="0.2">
      <c r="B150" s="8"/>
      <c r="C150" s="23">
        <v>41758</v>
      </c>
      <c r="D150" s="76" t="s">
        <v>12</v>
      </c>
      <c r="E150" s="34"/>
      <c r="F150" s="34"/>
      <c r="G150" s="34"/>
      <c r="H150" s="34"/>
      <c r="I150" s="34"/>
      <c r="J150" s="37">
        <v>1</v>
      </c>
      <c r="K150" s="37"/>
      <c r="L150" s="37">
        <v>1.35</v>
      </c>
      <c r="M150" s="37">
        <v>31</v>
      </c>
      <c r="N150" s="37"/>
      <c r="O150" s="37"/>
      <c r="P150" s="34"/>
      <c r="Q150" s="34"/>
      <c r="R150" s="34"/>
      <c r="S150" s="37">
        <v>0.18</v>
      </c>
      <c r="T150" s="37">
        <v>0</v>
      </c>
      <c r="U150" s="48">
        <v>5.0000000000000001E-3</v>
      </c>
      <c r="V150" s="37"/>
      <c r="W150" s="37"/>
      <c r="X150" s="37"/>
      <c r="Y150" s="37"/>
      <c r="Z150" s="37">
        <v>8.43</v>
      </c>
      <c r="AA150" s="37"/>
      <c r="AB150" s="37">
        <v>134</v>
      </c>
      <c r="AC150" s="37">
        <v>497</v>
      </c>
      <c r="AD150" s="37"/>
      <c r="AE150" s="37">
        <v>12.4</v>
      </c>
      <c r="AF150" s="37"/>
      <c r="AG150" s="34"/>
      <c r="AH150" s="34"/>
      <c r="AI150" s="52">
        <v>54000</v>
      </c>
      <c r="AJ150" s="52">
        <v>9400</v>
      </c>
      <c r="AK150" s="37">
        <v>2808.3</v>
      </c>
      <c r="AL150" s="34"/>
      <c r="AM150" s="37">
        <v>10</v>
      </c>
      <c r="AN150" s="37">
        <v>24.2</v>
      </c>
      <c r="AO150" s="31">
        <v>20</v>
      </c>
      <c r="AP150" s="37">
        <f>4106.3/1000</f>
        <v>4.1063000000000001</v>
      </c>
      <c r="AQ150" s="37">
        <f>156.5/1000</f>
        <v>0.1565</v>
      </c>
      <c r="AR150" s="37"/>
      <c r="AS150" s="37">
        <v>50</v>
      </c>
      <c r="AT150" s="37">
        <v>50</v>
      </c>
      <c r="AU150" s="37"/>
      <c r="AV150" s="37"/>
      <c r="AW150" s="37">
        <f>80.4/1000</f>
        <v>8.0399999999999999E-2</v>
      </c>
      <c r="AX150" s="68">
        <f t="shared" si="2"/>
        <v>4.3548387096774194E-2</v>
      </c>
    </row>
    <row r="151" spans="2:50" x14ac:dyDescent="0.2">
      <c r="B151" s="8"/>
      <c r="C151" s="23">
        <v>41758</v>
      </c>
      <c r="D151" s="77" t="s">
        <v>13</v>
      </c>
      <c r="E151" s="34"/>
      <c r="F151" s="34"/>
      <c r="G151" s="34"/>
      <c r="H151" s="34"/>
      <c r="I151" s="34"/>
      <c r="J151" s="37">
        <v>1</v>
      </c>
      <c r="K151" s="37"/>
      <c r="L151" s="37">
        <v>0.95</v>
      </c>
      <c r="M151" s="37">
        <v>27</v>
      </c>
      <c r="N151" s="37"/>
      <c r="O151" s="37"/>
      <c r="P151" s="34"/>
      <c r="Q151" s="34"/>
      <c r="R151" s="34"/>
      <c r="S151" s="37">
        <v>0.1</v>
      </c>
      <c r="T151" s="37">
        <v>0</v>
      </c>
      <c r="U151" s="48">
        <v>7.0000000000000001E-3</v>
      </c>
      <c r="V151" s="37"/>
      <c r="W151" s="37"/>
      <c r="X151" s="37"/>
      <c r="Y151" s="37"/>
      <c r="Z151" s="37">
        <v>8.2899999999999991</v>
      </c>
      <c r="AA151" s="37"/>
      <c r="AB151" s="37">
        <v>48</v>
      </c>
      <c r="AC151" s="37">
        <v>390</v>
      </c>
      <c r="AD151" s="37"/>
      <c r="AE151" s="37">
        <v>10.4</v>
      </c>
      <c r="AF151" s="37"/>
      <c r="AG151" s="34"/>
      <c r="AH151" s="34"/>
      <c r="AI151" s="52">
        <v>35000</v>
      </c>
      <c r="AJ151" s="52">
        <v>4900</v>
      </c>
      <c r="AK151" s="37">
        <f>1683/1</f>
        <v>1683</v>
      </c>
      <c r="AL151" s="34"/>
      <c r="AM151" s="37">
        <v>10</v>
      </c>
      <c r="AN151" s="37">
        <v>12.2</v>
      </c>
      <c r="AO151" s="31">
        <v>20</v>
      </c>
      <c r="AP151" s="37">
        <f>2236.3/1000</f>
        <v>2.2363000000000004</v>
      </c>
      <c r="AQ151" s="37">
        <f>78.3/1000</f>
        <v>7.8299999999999995E-2</v>
      </c>
      <c r="AR151" s="37"/>
      <c r="AS151" s="37">
        <v>50</v>
      </c>
      <c r="AT151" s="37">
        <v>50</v>
      </c>
      <c r="AU151" s="37"/>
      <c r="AV151" s="37"/>
      <c r="AW151" s="37">
        <f>62.8/1000</f>
        <v>6.2799999999999995E-2</v>
      </c>
      <c r="AX151" s="68">
        <f t="shared" si="2"/>
        <v>3.518518518518518E-2</v>
      </c>
    </row>
    <row r="152" spans="2:50" x14ac:dyDescent="0.2">
      <c r="B152" s="8"/>
      <c r="C152" s="23">
        <v>41758</v>
      </c>
      <c r="D152" s="78" t="s">
        <v>14</v>
      </c>
      <c r="E152" s="34"/>
      <c r="F152" s="34"/>
      <c r="G152" s="34"/>
      <c r="H152" s="34"/>
      <c r="I152" s="34"/>
      <c r="J152" s="37">
        <v>1</v>
      </c>
      <c r="K152" s="37"/>
      <c r="L152" s="37">
        <v>0.15</v>
      </c>
      <c r="M152" s="37">
        <v>25</v>
      </c>
      <c r="N152" s="37"/>
      <c r="O152" s="37"/>
      <c r="P152" s="34"/>
      <c r="Q152" s="34"/>
      <c r="R152" s="34"/>
      <c r="S152" s="37">
        <v>0.05</v>
      </c>
      <c r="T152" s="37">
        <v>0</v>
      </c>
      <c r="U152" s="48">
        <v>4.0000000000000001E-3</v>
      </c>
      <c r="V152" s="37"/>
      <c r="W152" s="37"/>
      <c r="X152" s="37"/>
      <c r="Y152" s="37"/>
      <c r="Z152" s="37">
        <v>8.1300000000000008</v>
      </c>
      <c r="AA152" s="37"/>
      <c r="AB152" s="37">
        <v>47</v>
      </c>
      <c r="AC152" s="37">
        <v>513</v>
      </c>
      <c r="AD152" s="37"/>
      <c r="AE152" s="37">
        <v>6</v>
      </c>
      <c r="AF152" s="37"/>
      <c r="AG152" s="34"/>
      <c r="AH152" s="34"/>
      <c r="AI152" s="58">
        <v>790</v>
      </c>
      <c r="AJ152" s="52">
        <v>78</v>
      </c>
      <c r="AK152" s="37">
        <v>1334.3</v>
      </c>
      <c r="AL152" s="34"/>
      <c r="AM152" s="37">
        <v>10</v>
      </c>
      <c r="AN152" s="37">
        <v>15.5</v>
      </c>
      <c r="AO152" s="31">
        <v>20</v>
      </c>
      <c r="AP152" s="37">
        <f>1894.2/1000</f>
        <v>1.8942000000000001</v>
      </c>
      <c r="AQ152" s="37">
        <f>28.8/1000</f>
        <v>2.8799999999999999E-2</v>
      </c>
      <c r="AR152" s="37"/>
      <c r="AS152" s="37">
        <v>50</v>
      </c>
      <c r="AT152" s="37">
        <v>50</v>
      </c>
      <c r="AU152" s="37"/>
      <c r="AV152" s="37"/>
      <c r="AW152" s="37">
        <f>54.7/1000</f>
        <v>5.4700000000000006E-2</v>
      </c>
      <c r="AX152" s="68">
        <f t="shared" si="2"/>
        <v>6.0000000000000001E-3</v>
      </c>
    </row>
    <row r="153" spans="2:50" x14ac:dyDescent="0.2">
      <c r="B153" s="10"/>
      <c r="C153" s="23">
        <v>41835</v>
      </c>
      <c r="D153" s="27" t="s">
        <v>9</v>
      </c>
      <c r="E153" s="34"/>
      <c r="F153" s="34"/>
      <c r="G153" s="34"/>
      <c r="H153" s="34"/>
      <c r="I153" s="34"/>
      <c r="J153" s="37"/>
      <c r="K153" s="37"/>
      <c r="L153" s="37">
        <v>0.4</v>
      </c>
      <c r="M153" s="37">
        <v>25</v>
      </c>
      <c r="N153" s="37"/>
      <c r="O153" s="37"/>
      <c r="P153" s="34"/>
      <c r="Q153" s="34"/>
      <c r="R153" s="34"/>
      <c r="S153" s="37"/>
      <c r="T153" s="37"/>
      <c r="U153" s="37"/>
      <c r="V153" s="37"/>
      <c r="W153" s="37"/>
      <c r="X153" s="37"/>
      <c r="Y153" s="37"/>
      <c r="Z153" s="37">
        <v>8.27</v>
      </c>
      <c r="AA153" s="37"/>
      <c r="AB153" s="37"/>
      <c r="AC153" s="37"/>
      <c r="AD153" s="37"/>
      <c r="AE153" s="37"/>
      <c r="AF153" s="37"/>
      <c r="AG153" s="34"/>
      <c r="AH153" s="34"/>
      <c r="AI153" s="52">
        <v>2400</v>
      </c>
      <c r="AJ153" s="52">
        <v>2400</v>
      </c>
      <c r="AK153" s="37"/>
      <c r="AL153" s="34"/>
      <c r="AM153" s="37">
        <v>10</v>
      </c>
      <c r="AN153" s="37">
        <v>10</v>
      </c>
      <c r="AO153" s="31">
        <v>20</v>
      </c>
      <c r="AP153" s="37">
        <f>216/1000</f>
        <v>0.216</v>
      </c>
      <c r="AQ153" s="37"/>
      <c r="AR153" s="37"/>
      <c r="AS153" s="37">
        <v>50</v>
      </c>
      <c r="AT153" s="37">
        <v>50</v>
      </c>
      <c r="AU153" s="37"/>
      <c r="AV153" s="37"/>
      <c r="AW153" s="37">
        <f>59.5/1000</f>
        <v>5.9499999999999997E-2</v>
      </c>
      <c r="AX153" s="68">
        <f t="shared" si="2"/>
        <v>1.6E-2</v>
      </c>
    </row>
    <row r="154" spans="2:50" x14ac:dyDescent="0.2">
      <c r="B154" s="9"/>
      <c r="C154" s="23">
        <v>41835</v>
      </c>
      <c r="D154" s="74" t="s">
        <v>10</v>
      </c>
      <c r="E154" s="34"/>
      <c r="F154" s="34"/>
      <c r="G154" s="34"/>
      <c r="H154" s="34"/>
      <c r="I154" s="34"/>
      <c r="J154" s="37"/>
      <c r="K154" s="37"/>
      <c r="L154" s="37">
        <v>0.5</v>
      </c>
      <c r="M154" s="37">
        <v>25</v>
      </c>
      <c r="N154" s="37"/>
      <c r="O154" s="37"/>
      <c r="P154" s="34"/>
      <c r="Q154" s="34"/>
      <c r="R154" s="34"/>
      <c r="S154" s="37"/>
      <c r="T154" s="37"/>
      <c r="U154" s="37"/>
      <c r="V154" s="37"/>
      <c r="W154" s="37"/>
      <c r="X154" s="37"/>
      <c r="Y154" s="37"/>
      <c r="Z154" s="37">
        <v>8.2899999999999991</v>
      </c>
      <c r="AA154" s="37"/>
      <c r="AB154" s="37"/>
      <c r="AC154" s="37"/>
      <c r="AD154" s="37"/>
      <c r="AE154" s="37"/>
      <c r="AF154" s="37"/>
      <c r="AG154" s="34"/>
      <c r="AH154" s="34"/>
      <c r="AI154" s="52">
        <v>170</v>
      </c>
      <c r="AJ154" s="52">
        <v>170</v>
      </c>
      <c r="AK154" s="37"/>
      <c r="AL154" s="34"/>
      <c r="AM154" s="37">
        <v>10</v>
      </c>
      <c r="AN154" s="37">
        <v>10</v>
      </c>
      <c r="AO154" s="31">
        <v>20</v>
      </c>
      <c r="AP154" s="37">
        <f>206.4/1000</f>
        <v>0.2064</v>
      </c>
      <c r="AQ154" s="37"/>
      <c r="AR154" s="37"/>
      <c r="AS154" s="37">
        <v>50</v>
      </c>
      <c r="AT154" s="37">
        <v>50</v>
      </c>
      <c r="AU154" s="37"/>
      <c r="AV154" s="37"/>
      <c r="AW154" s="37">
        <f>75.1/1000</f>
        <v>7.51E-2</v>
      </c>
      <c r="AX154" s="68">
        <f t="shared" si="2"/>
        <v>0.02</v>
      </c>
    </row>
    <row r="155" spans="2:50" x14ac:dyDescent="0.2">
      <c r="B155" s="8"/>
      <c r="C155" s="23">
        <v>41835</v>
      </c>
      <c r="D155" s="75" t="s">
        <v>11</v>
      </c>
      <c r="E155" s="34"/>
      <c r="F155" s="34"/>
      <c r="G155" s="34"/>
      <c r="H155" s="34"/>
      <c r="I155" s="34"/>
      <c r="J155" s="37"/>
      <c r="K155" s="37"/>
      <c r="L155" s="37">
        <v>0.35</v>
      </c>
      <c r="M155" s="37">
        <v>25</v>
      </c>
      <c r="N155" s="37"/>
      <c r="O155" s="37"/>
      <c r="P155" s="34"/>
      <c r="Q155" s="34"/>
      <c r="R155" s="34"/>
      <c r="S155" s="37"/>
      <c r="T155" s="37"/>
      <c r="U155" s="37"/>
      <c r="V155" s="37"/>
      <c r="W155" s="37"/>
      <c r="X155" s="37"/>
      <c r="Y155" s="37"/>
      <c r="Z155" s="37">
        <v>8.41</v>
      </c>
      <c r="AA155" s="37"/>
      <c r="AB155" s="37"/>
      <c r="AC155" s="37"/>
      <c r="AD155" s="37"/>
      <c r="AE155" s="37"/>
      <c r="AF155" s="37"/>
      <c r="AG155" s="34"/>
      <c r="AH155" s="34"/>
      <c r="AI155" s="52">
        <v>1700</v>
      </c>
      <c r="AJ155" s="52">
        <v>490</v>
      </c>
      <c r="AK155" s="37"/>
      <c r="AL155" s="34"/>
      <c r="AM155" s="37">
        <v>10</v>
      </c>
      <c r="AN155" s="37">
        <v>10</v>
      </c>
      <c r="AO155" s="31">
        <v>20</v>
      </c>
      <c r="AP155" s="37">
        <f>186.3/1000</f>
        <v>0.18630000000000002</v>
      </c>
      <c r="AQ155" s="37"/>
      <c r="AR155" s="37"/>
      <c r="AS155" s="37">
        <v>50</v>
      </c>
      <c r="AT155" s="37">
        <v>50</v>
      </c>
      <c r="AU155" s="37"/>
      <c r="AV155" s="37"/>
      <c r="AW155" s="37">
        <f>50/1000</f>
        <v>0.05</v>
      </c>
      <c r="AX155" s="68">
        <f t="shared" si="2"/>
        <v>1.3999999999999999E-2</v>
      </c>
    </row>
    <row r="156" spans="2:50" x14ac:dyDescent="0.2">
      <c r="B156" s="8"/>
      <c r="C156" s="23">
        <v>41835</v>
      </c>
      <c r="D156" s="76" t="s">
        <v>12</v>
      </c>
      <c r="E156" s="34"/>
      <c r="F156" s="34"/>
      <c r="G156" s="34"/>
      <c r="H156" s="34"/>
      <c r="I156" s="34"/>
      <c r="J156" s="37"/>
      <c r="K156" s="37"/>
      <c r="L156" s="37">
        <v>0.95</v>
      </c>
      <c r="M156" s="37">
        <v>25</v>
      </c>
      <c r="N156" s="37"/>
      <c r="O156" s="37"/>
      <c r="P156" s="34"/>
      <c r="Q156" s="34"/>
      <c r="R156" s="34"/>
      <c r="S156" s="37"/>
      <c r="T156" s="37"/>
      <c r="U156" s="37"/>
      <c r="V156" s="37"/>
      <c r="W156" s="37"/>
      <c r="X156" s="37"/>
      <c r="Y156" s="37"/>
      <c r="Z156" s="37">
        <v>8.52</v>
      </c>
      <c r="AA156" s="37"/>
      <c r="AB156" s="37"/>
      <c r="AC156" s="37"/>
      <c r="AD156" s="37"/>
      <c r="AE156" s="37"/>
      <c r="AF156" s="37"/>
      <c r="AG156" s="34"/>
      <c r="AH156" s="34"/>
      <c r="AI156" s="52">
        <v>700</v>
      </c>
      <c r="AJ156" s="52">
        <v>330</v>
      </c>
      <c r="AK156" s="37"/>
      <c r="AL156" s="34"/>
      <c r="AM156" s="37">
        <v>10</v>
      </c>
      <c r="AN156" s="37">
        <v>96.7</v>
      </c>
      <c r="AO156" s="31">
        <v>20</v>
      </c>
      <c r="AP156" s="37">
        <f>305.4/1000</f>
        <v>0.3054</v>
      </c>
      <c r="AQ156" s="37"/>
      <c r="AR156" s="37"/>
      <c r="AS156" s="37">
        <v>50</v>
      </c>
      <c r="AT156" s="37">
        <v>50</v>
      </c>
      <c r="AU156" s="37"/>
      <c r="AV156" s="37"/>
      <c r="AW156" s="37">
        <f>50/1000</f>
        <v>0.05</v>
      </c>
      <c r="AX156" s="68">
        <f t="shared" si="2"/>
        <v>3.7999999999999999E-2</v>
      </c>
    </row>
    <row r="157" spans="2:50" x14ac:dyDescent="0.2">
      <c r="B157" s="8"/>
      <c r="C157" s="23">
        <v>41835</v>
      </c>
      <c r="D157" s="77" t="s">
        <v>13</v>
      </c>
      <c r="E157" s="34"/>
      <c r="F157" s="34"/>
      <c r="G157" s="34"/>
      <c r="H157" s="34"/>
      <c r="I157" s="34"/>
      <c r="J157" s="37"/>
      <c r="K157" s="37"/>
      <c r="L157" s="37">
        <v>0.6</v>
      </c>
      <c r="M157" s="37">
        <v>25</v>
      </c>
      <c r="N157" s="37"/>
      <c r="O157" s="37"/>
      <c r="P157" s="34"/>
      <c r="Q157" s="34"/>
      <c r="R157" s="34"/>
      <c r="S157" s="37"/>
      <c r="T157" s="37"/>
      <c r="U157" s="37"/>
      <c r="V157" s="37"/>
      <c r="W157" s="37"/>
      <c r="X157" s="37"/>
      <c r="Y157" s="37"/>
      <c r="Z157" s="37">
        <v>8.4</v>
      </c>
      <c r="AA157" s="37"/>
      <c r="AB157" s="37"/>
      <c r="AC157" s="37"/>
      <c r="AD157" s="37"/>
      <c r="AE157" s="37"/>
      <c r="AF157" s="37"/>
      <c r="AG157" s="34"/>
      <c r="AH157" s="34"/>
      <c r="AI157" s="52">
        <v>490</v>
      </c>
      <c r="AJ157" s="52">
        <v>330</v>
      </c>
      <c r="AK157" s="37"/>
      <c r="AL157" s="34"/>
      <c r="AM157" s="37">
        <v>10</v>
      </c>
      <c r="AN157" s="37">
        <v>10</v>
      </c>
      <c r="AO157" s="31">
        <v>20</v>
      </c>
      <c r="AP157" s="37">
        <f>697.3/1000</f>
        <v>0.69729999999999992</v>
      </c>
      <c r="AQ157" s="37"/>
      <c r="AR157" s="37"/>
      <c r="AS157" s="37">
        <v>50</v>
      </c>
      <c r="AT157" s="37">
        <v>50</v>
      </c>
      <c r="AU157" s="37"/>
      <c r="AV157" s="37"/>
      <c r="AW157" s="37">
        <f>50/1000</f>
        <v>0.05</v>
      </c>
      <c r="AX157" s="68">
        <f t="shared" si="2"/>
        <v>2.4E-2</v>
      </c>
    </row>
    <row r="158" spans="2:50" x14ac:dyDescent="0.2">
      <c r="B158" s="8"/>
      <c r="C158" s="23">
        <v>41835</v>
      </c>
      <c r="D158" s="78" t="s">
        <v>14</v>
      </c>
      <c r="E158" s="34"/>
      <c r="F158" s="34"/>
      <c r="G158" s="34"/>
      <c r="H158" s="34"/>
      <c r="I158" s="34"/>
      <c r="J158" s="37"/>
      <c r="K158" s="37"/>
      <c r="L158" s="37">
        <v>0.4</v>
      </c>
      <c r="M158" s="37">
        <v>25</v>
      </c>
      <c r="N158" s="37"/>
      <c r="O158" s="37"/>
      <c r="P158" s="34"/>
      <c r="Q158" s="34"/>
      <c r="R158" s="34"/>
      <c r="S158" s="37"/>
      <c r="T158" s="37"/>
      <c r="U158" s="37"/>
      <c r="V158" s="37"/>
      <c r="W158" s="37"/>
      <c r="X158" s="37"/>
      <c r="Y158" s="37"/>
      <c r="Z158" s="37">
        <v>8.02</v>
      </c>
      <c r="AA158" s="37"/>
      <c r="AB158" s="37"/>
      <c r="AC158" s="37"/>
      <c r="AD158" s="37"/>
      <c r="AE158" s="37"/>
      <c r="AF158" s="37"/>
      <c r="AG158" s="34"/>
      <c r="AH158" s="34"/>
      <c r="AI158" s="52">
        <v>240</v>
      </c>
      <c r="AJ158" s="52">
        <v>240</v>
      </c>
      <c r="AK158" s="37"/>
      <c r="AL158" s="34"/>
      <c r="AM158" s="37">
        <v>10</v>
      </c>
      <c r="AN158" s="37">
        <v>10</v>
      </c>
      <c r="AO158" s="31">
        <v>20</v>
      </c>
      <c r="AP158" s="37">
        <f>130.9/1000</f>
        <v>0.13090000000000002</v>
      </c>
      <c r="AQ158" s="37"/>
      <c r="AR158" s="37"/>
      <c r="AS158" s="37">
        <v>50</v>
      </c>
      <c r="AT158" s="37">
        <v>50</v>
      </c>
      <c r="AU158" s="37"/>
      <c r="AV158" s="37"/>
      <c r="AW158" s="37">
        <f>50/1000</f>
        <v>0.05</v>
      </c>
      <c r="AX158" s="68">
        <f t="shared" si="2"/>
        <v>1.6E-2</v>
      </c>
    </row>
    <row r="159" spans="2:50" x14ac:dyDescent="0.2">
      <c r="B159" s="10">
        <v>2015</v>
      </c>
      <c r="C159" s="23">
        <v>42031</v>
      </c>
      <c r="D159" s="27" t="s">
        <v>9</v>
      </c>
      <c r="E159" s="34"/>
      <c r="F159" s="34"/>
      <c r="G159" s="34"/>
      <c r="H159" s="34"/>
      <c r="I159" s="34"/>
      <c r="J159" s="37"/>
      <c r="K159" s="37"/>
      <c r="L159" s="37">
        <v>1.05</v>
      </c>
      <c r="M159" s="37">
        <v>34</v>
      </c>
      <c r="N159" s="37"/>
      <c r="O159" s="37"/>
      <c r="P159" s="34"/>
      <c r="Q159" s="34"/>
      <c r="R159" s="34"/>
      <c r="S159" s="37"/>
      <c r="T159" s="37"/>
      <c r="U159" s="37"/>
      <c r="V159" s="37"/>
      <c r="W159" s="37"/>
      <c r="X159" s="37"/>
      <c r="Y159" s="37"/>
      <c r="Z159" s="37">
        <v>8.74</v>
      </c>
      <c r="AA159" s="37"/>
      <c r="AB159" s="37"/>
      <c r="AC159" s="37"/>
      <c r="AD159" s="37"/>
      <c r="AE159" s="37"/>
      <c r="AF159" s="37"/>
      <c r="AG159" s="34"/>
      <c r="AH159" s="34"/>
      <c r="AI159" s="52">
        <v>16000</v>
      </c>
      <c r="AJ159" s="52">
        <v>5400</v>
      </c>
      <c r="AK159" s="37"/>
      <c r="AL159" s="34"/>
      <c r="AM159" s="37">
        <v>10</v>
      </c>
      <c r="AN159" s="37">
        <v>18.3</v>
      </c>
      <c r="AO159" s="31">
        <v>20</v>
      </c>
      <c r="AP159" s="37">
        <f>2698.3/1000</f>
        <v>2.6983000000000001</v>
      </c>
      <c r="AQ159" s="37"/>
      <c r="AR159" s="37"/>
      <c r="AS159" s="37">
        <v>50</v>
      </c>
      <c r="AT159" s="37">
        <v>50</v>
      </c>
      <c r="AU159" s="37"/>
      <c r="AV159" s="37"/>
      <c r="AW159" s="37">
        <f>267.6/1000</f>
        <v>0.2676</v>
      </c>
      <c r="AX159" s="68">
        <f t="shared" si="2"/>
        <v>3.0882352941176472E-2</v>
      </c>
    </row>
    <row r="160" spans="2:50" x14ac:dyDescent="0.2">
      <c r="B160" s="9"/>
      <c r="C160" s="23">
        <v>42031</v>
      </c>
      <c r="D160" s="74" t="s">
        <v>10</v>
      </c>
      <c r="E160" s="34"/>
      <c r="F160" s="34"/>
      <c r="G160" s="34"/>
      <c r="H160" s="34"/>
      <c r="I160" s="34"/>
      <c r="J160" s="37"/>
      <c r="K160" s="37"/>
      <c r="L160" s="37">
        <v>1.1000000000000001</v>
      </c>
      <c r="M160" s="37">
        <v>36</v>
      </c>
      <c r="N160" s="37"/>
      <c r="O160" s="37"/>
      <c r="P160" s="34"/>
      <c r="Q160" s="34"/>
      <c r="R160" s="34"/>
      <c r="S160" s="37"/>
      <c r="T160" s="37"/>
      <c r="U160" s="37"/>
      <c r="V160" s="37"/>
      <c r="W160" s="37"/>
      <c r="X160" s="37"/>
      <c r="Y160" s="37"/>
      <c r="Z160" s="37">
        <v>8.7200000000000006</v>
      </c>
      <c r="AA160" s="37"/>
      <c r="AB160" s="37"/>
      <c r="AC160" s="37"/>
      <c r="AD160" s="37"/>
      <c r="AE160" s="37"/>
      <c r="AF160" s="37"/>
      <c r="AG160" s="34"/>
      <c r="AH160" s="34"/>
      <c r="AI160" s="58">
        <v>16000</v>
      </c>
      <c r="AJ160" s="58">
        <v>3500</v>
      </c>
      <c r="AK160" s="37"/>
      <c r="AL160" s="34"/>
      <c r="AM160" s="37">
        <v>10</v>
      </c>
      <c r="AN160" s="37">
        <v>10.3</v>
      </c>
      <c r="AO160" s="31">
        <v>20</v>
      </c>
      <c r="AP160" s="37">
        <f>2653.2/1000</f>
        <v>2.6532</v>
      </c>
      <c r="AQ160" s="37"/>
      <c r="AR160" s="37"/>
      <c r="AS160" s="37">
        <v>50</v>
      </c>
      <c r="AT160" s="37">
        <v>50</v>
      </c>
      <c r="AU160" s="37"/>
      <c r="AV160" s="37"/>
      <c r="AW160" s="37">
        <f>50.4/1000</f>
        <v>5.04E-2</v>
      </c>
      <c r="AX160" s="68">
        <f t="shared" si="2"/>
        <v>3.0555555555555558E-2</v>
      </c>
    </row>
    <row r="161" spans="2:50" x14ac:dyDescent="0.2">
      <c r="B161" s="8"/>
      <c r="C161" s="23">
        <v>42031</v>
      </c>
      <c r="D161" s="75" t="s">
        <v>11</v>
      </c>
      <c r="E161" s="34"/>
      <c r="F161" s="34"/>
      <c r="G161" s="34"/>
      <c r="H161" s="34"/>
      <c r="I161" s="34"/>
      <c r="J161" s="37"/>
      <c r="K161" s="37"/>
      <c r="L161" s="37">
        <v>1.1000000000000001</v>
      </c>
      <c r="M161" s="37">
        <v>32</v>
      </c>
      <c r="N161" s="37"/>
      <c r="O161" s="37"/>
      <c r="P161" s="34"/>
      <c r="Q161" s="34"/>
      <c r="R161" s="34"/>
      <c r="S161" s="37"/>
      <c r="T161" s="37"/>
      <c r="U161" s="37"/>
      <c r="V161" s="37"/>
      <c r="W161" s="37"/>
      <c r="X161" s="37"/>
      <c r="Y161" s="37"/>
      <c r="Z161" s="37">
        <v>8.81</v>
      </c>
      <c r="AA161" s="37"/>
      <c r="AB161" s="37"/>
      <c r="AC161" s="37"/>
      <c r="AD161" s="37"/>
      <c r="AE161" s="37"/>
      <c r="AF161" s="37"/>
      <c r="AG161" s="34"/>
      <c r="AH161" s="34"/>
      <c r="AI161" s="52">
        <v>16000</v>
      </c>
      <c r="AJ161" s="52">
        <v>3500</v>
      </c>
      <c r="AK161" s="37"/>
      <c r="AL161" s="34"/>
      <c r="AM161" s="37">
        <v>10</v>
      </c>
      <c r="AN161" s="37">
        <v>13.3</v>
      </c>
      <c r="AO161" s="31">
        <v>20</v>
      </c>
      <c r="AP161" s="37">
        <f>3498/1000</f>
        <v>3.4980000000000002</v>
      </c>
      <c r="AQ161" s="37"/>
      <c r="AR161" s="37"/>
      <c r="AS161" s="37">
        <v>50</v>
      </c>
      <c r="AT161" s="37">
        <v>50</v>
      </c>
      <c r="AU161" s="37"/>
      <c r="AV161" s="37"/>
      <c r="AW161" s="37">
        <f>147.7/1000</f>
        <v>0.1477</v>
      </c>
      <c r="AX161" s="68">
        <f t="shared" si="2"/>
        <v>3.4375000000000003E-2</v>
      </c>
    </row>
    <row r="162" spans="2:50" x14ac:dyDescent="0.2">
      <c r="B162" s="8"/>
      <c r="C162" s="23">
        <v>42031</v>
      </c>
      <c r="D162" s="76" t="s">
        <v>12</v>
      </c>
      <c r="E162" s="34"/>
      <c r="F162" s="34"/>
      <c r="G162" s="34"/>
      <c r="H162" s="34"/>
      <c r="I162" s="34"/>
      <c r="J162" s="37"/>
      <c r="K162" s="37"/>
      <c r="L162" s="37">
        <v>4.0999999999999996</v>
      </c>
      <c r="M162" s="37">
        <v>45</v>
      </c>
      <c r="N162" s="37"/>
      <c r="O162" s="37"/>
      <c r="P162" s="34"/>
      <c r="Q162" s="34"/>
      <c r="R162" s="34"/>
      <c r="S162" s="37"/>
      <c r="T162" s="37"/>
      <c r="U162" s="37"/>
      <c r="V162" s="37"/>
      <c r="W162" s="37"/>
      <c r="X162" s="37"/>
      <c r="Y162" s="37"/>
      <c r="Z162" s="37">
        <v>8.61</v>
      </c>
      <c r="AA162" s="37"/>
      <c r="AB162" s="37"/>
      <c r="AC162" s="37"/>
      <c r="AD162" s="37"/>
      <c r="AE162" s="37"/>
      <c r="AF162" s="37"/>
      <c r="AG162" s="34"/>
      <c r="AH162" s="34"/>
      <c r="AI162" s="52">
        <v>35000</v>
      </c>
      <c r="AJ162" s="52">
        <v>13000</v>
      </c>
      <c r="AK162" s="37"/>
      <c r="AL162" s="34"/>
      <c r="AM162" s="37">
        <v>10</v>
      </c>
      <c r="AN162" s="37">
        <v>77.099999999999994</v>
      </c>
      <c r="AO162" s="37">
        <v>68.400000000000006</v>
      </c>
      <c r="AP162" s="37">
        <f>51557/1000</f>
        <v>51.557000000000002</v>
      </c>
      <c r="AQ162" s="37"/>
      <c r="AR162" s="37"/>
      <c r="AS162" s="37">
        <v>62.7</v>
      </c>
      <c r="AT162" s="37">
        <v>50</v>
      </c>
      <c r="AU162" s="37"/>
      <c r="AV162" s="37"/>
      <c r="AW162" s="37">
        <f>202.2/1000</f>
        <v>0.20219999999999999</v>
      </c>
      <c r="AX162" s="68">
        <f t="shared" si="2"/>
        <v>9.1111111111111101E-2</v>
      </c>
    </row>
    <row r="163" spans="2:50" x14ac:dyDescent="0.2">
      <c r="B163" s="8"/>
      <c r="C163" s="23">
        <v>42031</v>
      </c>
      <c r="D163" s="77" t="s">
        <v>13</v>
      </c>
      <c r="E163" s="34"/>
      <c r="F163" s="34"/>
      <c r="G163" s="34"/>
      <c r="H163" s="34"/>
      <c r="I163" s="34"/>
      <c r="J163" s="37"/>
      <c r="K163" s="37"/>
      <c r="L163" s="37">
        <v>0.7</v>
      </c>
      <c r="M163" s="37">
        <v>29</v>
      </c>
      <c r="N163" s="37"/>
      <c r="O163" s="37"/>
      <c r="P163" s="34"/>
      <c r="Q163" s="34"/>
      <c r="R163" s="34"/>
      <c r="S163" s="37"/>
      <c r="T163" s="37"/>
      <c r="U163" s="37"/>
      <c r="V163" s="37"/>
      <c r="W163" s="37"/>
      <c r="X163" s="37"/>
      <c r="Y163" s="37"/>
      <c r="Z163" s="37">
        <v>8.77</v>
      </c>
      <c r="AA163" s="37"/>
      <c r="AB163" s="37"/>
      <c r="AC163" s="37"/>
      <c r="AD163" s="37"/>
      <c r="AE163" s="37"/>
      <c r="AF163" s="37"/>
      <c r="AG163" s="34"/>
      <c r="AH163" s="34"/>
      <c r="AI163" s="52">
        <v>16000</v>
      </c>
      <c r="AJ163" s="52">
        <v>16000</v>
      </c>
      <c r="AK163" s="37"/>
      <c r="AL163" s="34"/>
      <c r="AM163" s="37">
        <v>10</v>
      </c>
      <c r="AN163" s="37">
        <v>11.1</v>
      </c>
      <c r="AO163" s="31">
        <v>20</v>
      </c>
      <c r="AP163" s="37">
        <f>5128.2/1000</f>
        <v>5.1281999999999996</v>
      </c>
      <c r="AQ163" s="37"/>
      <c r="AR163" s="37"/>
      <c r="AS163" s="37">
        <v>50</v>
      </c>
      <c r="AT163" s="37">
        <v>50</v>
      </c>
      <c r="AU163" s="37"/>
      <c r="AV163" s="37"/>
      <c r="AW163" s="37">
        <f>31.1/1000</f>
        <v>3.1100000000000003E-2</v>
      </c>
      <c r="AX163" s="68">
        <f t="shared" si="2"/>
        <v>2.4137931034482758E-2</v>
      </c>
    </row>
    <row r="164" spans="2:50" x14ac:dyDescent="0.2">
      <c r="B164" s="8"/>
      <c r="C164" s="23">
        <v>42031</v>
      </c>
      <c r="D164" s="78" t="s">
        <v>14</v>
      </c>
      <c r="E164" s="34"/>
      <c r="F164" s="34"/>
      <c r="G164" s="34"/>
      <c r="H164" s="34"/>
      <c r="I164" s="34"/>
      <c r="J164" s="37"/>
      <c r="K164" s="37"/>
      <c r="L164" s="37">
        <v>0.5</v>
      </c>
      <c r="M164" s="37">
        <v>25</v>
      </c>
      <c r="N164" s="37"/>
      <c r="O164" s="37"/>
      <c r="P164" s="34"/>
      <c r="Q164" s="34"/>
      <c r="R164" s="34"/>
      <c r="S164" s="37"/>
      <c r="T164" s="37"/>
      <c r="U164" s="37"/>
      <c r="V164" s="37"/>
      <c r="W164" s="37"/>
      <c r="X164" s="37"/>
      <c r="Y164" s="37"/>
      <c r="Z164" s="37">
        <v>8.7799999999999994</v>
      </c>
      <c r="AA164" s="37"/>
      <c r="AB164" s="37"/>
      <c r="AC164" s="37"/>
      <c r="AD164" s="37"/>
      <c r="AE164" s="37"/>
      <c r="AF164" s="37"/>
      <c r="AG164" s="34"/>
      <c r="AH164" s="34"/>
      <c r="AI164" s="58">
        <v>240</v>
      </c>
      <c r="AJ164" s="58">
        <v>240</v>
      </c>
      <c r="AK164" s="37"/>
      <c r="AL164" s="34"/>
      <c r="AM164" s="37">
        <v>10</v>
      </c>
      <c r="AN164" s="37">
        <v>63.5</v>
      </c>
      <c r="AO164" s="37">
        <v>85.9</v>
      </c>
      <c r="AP164" s="37">
        <f>44550/1000</f>
        <v>44.55</v>
      </c>
      <c r="AQ164" s="37"/>
      <c r="AR164" s="37"/>
      <c r="AS164" s="37">
        <v>54.5</v>
      </c>
      <c r="AT164" s="37">
        <v>50</v>
      </c>
      <c r="AU164" s="37"/>
      <c r="AV164" s="37"/>
      <c r="AW164" s="37">
        <f>126.4/1000</f>
        <v>0.12640000000000001</v>
      </c>
      <c r="AX164" s="68">
        <f t="shared" si="2"/>
        <v>0.02</v>
      </c>
    </row>
    <row r="165" spans="2:50" x14ac:dyDescent="0.2">
      <c r="B165" s="10"/>
      <c r="C165" s="23">
        <v>42094</v>
      </c>
      <c r="D165" s="27" t="s">
        <v>9</v>
      </c>
      <c r="E165" s="34"/>
      <c r="F165" s="34"/>
      <c r="G165" s="34"/>
      <c r="H165" s="34"/>
      <c r="I165" s="34"/>
      <c r="J165" s="37">
        <v>1</v>
      </c>
      <c r="K165" s="37"/>
      <c r="L165" s="37">
        <v>1.25</v>
      </c>
      <c r="M165" s="41">
        <v>40</v>
      </c>
      <c r="N165" s="37"/>
      <c r="O165" s="37"/>
      <c r="P165" s="34"/>
      <c r="Q165" s="34"/>
      <c r="R165" s="34"/>
      <c r="S165" s="37">
        <v>0.13</v>
      </c>
      <c r="T165" s="37">
        <v>7.0000000000000007E-2</v>
      </c>
      <c r="U165" s="48">
        <v>2E-3</v>
      </c>
      <c r="V165" s="37"/>
      <c r="W165" s="37"/>
      <c r="X165" s="37"/>
      <c r="Y165" s="37"/>
      <c r="Z165" s="37">
        <v>8.09</v>
      </c>
      <c r="AA165" s="37"/>
      <c r="AB165" s="37">
        <v>85</v>
      </c>
      <c r="AC165" s="37">
        <v>385</v>
      </c>
      <c r="AD165" s="37"/>
      <c r="AE165" s="37">
        <v>34</v>
      </c>
      <c r="AF165" s="37"/>
      <c r="AG165" s="34"/>
      <c r="AH165" s="34"/>
      <c r="AI165" s="58">
        <v>92000</v>
      </c>
      <c r="AJ165" s="52">
        <v>13000</v>
      </c>
      <c r="AK165" s="37">
        <v>4583.7</v>
      </c>
      <c r="AL165" s="34"/>
      <c r="AM165" s="37">
        <v>10</v>
      </c>
      <c r="AN165" s="37">
        <v>13.4</v>
      </c>
      <c r="AO165" s="37">
        <v>20</v>
      </c>
      <c r="AP165" s="37">
        <f>4648.6/1000</f>
        <v>4.6486000000000001</v>
      </c>
      <c r="AQ165" s="37">
        <f>83.8/1000</f>
        <v>8.3799999999999999E-2</v>
      </c>
      <c r="AR165" s="37"/>
      <c r="AS165" s="37">
        <v>50</v>
      </c>
      <c r="AT165" s="37">
        <v>50</v>
      </c>
      <c r="AU165" s="37"/>
      <c r="AV165" s="37"/>
      <c r="AW165" s="37">
        <f>38.6/1000</f>
        <v>3.8600000000000002E-2</v>
      </c>
      <c r="AX165" s="68">
        <f t="shared" si="2"/>
        <v>3.125E-2</v>
      </c>
    </row>
    <row r="166" spans="2:50" x14ac:dyDescent="0.2">
      <c r="B166" s="9"/>
      <c r="C166" s="22">
        <v>42094</v>
      </c>
      <c r="D166" s="74" t="s">
        <v>10</v>
      </c>
      <c r="E166" s="34"/>
      <c r="F166" s="34"/>
      <c r="G166" s="34"/>
      <c r="H166" s="34"/>
      <c r="I166" s="34"/>
      <c r="J166" s="37">
        <v>1</v>
      </c>
      <c r="K166" s="37"/>
      <c r="L166" s="37">
        <v>0.4</v>
      </c>
      <c r="M166" s="41">
        <v>44</v>
      </c>
      <c r="N166" s="37"/>
      <c r="O166" s="37"/>
      <c r="P166" s="34"/>
      <c r="Q166" s="34"/>
      <c r="R166" s="34"/>
      <c r="S166" s="37">
        <v>0.12</v>
      </c>
      <c r="T166" s="37">
        <v>0.21</v>
      </c>
      <c r="U166" s="48">
        <v>2E-3</v>
      </c>
      <c r="V166" s="37"/>
      <c r="W166" s="37"/>
      <c r="X166" s="37"/>
      <c r="Y166" s="37"/>
      <c r="Z166" s="37">
        <v>8.31</v>
      </c>
      <c r="AA166" s="37"/>
      <c r="AB166" s="37">
        <v>180</v>
      </c>
      <c r="AC166" s="37">
        <v>374</v>
      </c>
      <c r="AD166" s="37"/>
      <c r="AE166" s="37">
        <v>2.4</v>
      </c>
      <c r="AF166" s="37"/>
      <c r="AG166" s="34"/>
      <c r="AH166" s="34"/>
      <c r="AI166" s="58">
        <v>35000</v>
      </c>
      <c r="AJ166" s="52">
        <v>17000</v>
      </c>
      <c r="AK166" s="37">
        <v>4760.8</v>
      </c>
      <c r="AL166" s="34"/>
      <c r="AM166" s="37">
        <v>10</v>
      </c>
      <c r="AN166" s="37">
        <v>12.3</v>
      </c>
      <c r="AO166" s="37">
        <v>20</v>
      </c>
      <c r="AP166" s="37">
        <f>4742.1/1000</f>
        <v>4.7421000000000006</v>
      </c>
      <c r="AQ166" s="37">
        <f>91.4/1000</f>
        <v>9.1400000000000009E-2</v>
      </c>
      <c r="AR166" s="37"/>
      <c r="AS166" s="37">
        <v>50</v>
      </c>
      <c r="AT166" s="37">
        <v>50</v>
      </c>
      <c r="AU166" s="37"/>
      <c r="AV166" s="37"/>
      <c r="AW166" s="37">
        <f>37.1/1000</f>
        <v>3.7100000000000001E-2</v>
      </c>
      <c r="AX166" s="68">
        <f t="shared" si="2"/>
        <v>9.0909090909090922E-3</v>
      </c>
    </row>
    <row r="167" spans="2:50" x14ac:dyDescent="0.2">
      <c r="B167" s="8"/>
      <c r="C167" s="22">
        <v>42094</v>
      </c>
      <c r="D167" s="75" t="s">
        <v>11</v>
      </c>
      <c r="E167" s="34"/>
      <c r="F167" s="34"/>
      <c r="G167" s="34"/>
      <c r="H167" s="34"/>
      <c r="I167" s="34"/>
      <c r="J167" s="37">
        <v>1</v>
      </c>
      <c r="K167" s="37"/>
      <c r="L167" s="37">
        <v>0.55000000000000004</v>
      </c>
      <c r="M167" s="37">
        <v>26</v>
      </c>
      <c r="N167" s="37"/>
      <c r="O167" s="37"/>
      <c r="P167" s="34"/>
      <c r="Q167" s="34"/>
      <c r="R167" s="34"/>
      <c r="S167" s="37">
        <v>0.23</v>
      </c>
      <c r="T167" s="37">
        <v>0.08</v>
      </c>
      <c r="U167" s="48">
        <v>2E-3</v>
      </c>
      <c r="V167" s="37"/>
      <c r="W167" s="37"/>
      <c r="X167" s="37"/>
      <c r="Y167" s="37"/>
      <c r="Z167" s="37">
        <v>8.3000000000000007</v>
      </c>
      <c r="AA167" s="37"/>
      <c r="AB167" s="37">
        <v>180</v>
      </c>
      <c r="AC167" s="37">
        <v>4780</v>
      </c>
      <c r="AD167" s="37"/>
      <c r="AE167" s="37">
        <v>6</v>
      </c>
      <c r="AF167" s="37"/>
      <c r="AG167" s="34"/>
      <c r="AH167" s="34"/>
      <c r="AI167" s="52">
        <v>28000</v>
      </c>
      <c r="AJ167" s="52">
        <v>22000</v>
      </c>
      <c r="AK167" s="37">
        <v>9566.7000000000007</v>
      </c>
      <c r="AL167" s="34"/>
      <c r="AM167" s="37">
        <v>10</v>
      </c>
      <c r="AN167" s="37">
        <v>36.700000000000003</v>
      </c>
      <c r="AO167" s="31">
        <v>20</v>
      </c>
      <c r="AP167" s="37">
        <f>9909.9/1000</f>
        <v>9.9099000000000004</v>
      </c>
      <c r="AQ167" s="37">
        <f>152.7/1000</f>
        <v>0.1527</v>
      </c>
      <c r="AR167" s="37"/>
      <c r="AS167" s="37">
        <v>50</v>
      </c>
      <c r="AT167" s="37">
        <v>50</v>
      </c>
      <c r="AU167" s="37"/>
      <c r="AV167" s="37"/>
      <c r="AW167" s="37">
        <f>45.4/1000</f>
        <v>4.5399999999999996E-2</v>
      </c>
      <c r="AX167" s="68">
        <f t="shared" si="2"/>
        <v>2.1153846153846155E-2</v>
      </c>
    </row>
    <row r="168" spans="2:50" x14ac:dyDescent="0.2">
      <c r="B168" s="8"/>
      <c r="C168" s="22">
        <v>42094</v>
      </c>
      <c r="D168" s="76" t="s">
        <v>12</v>
      </c>
      <c r="E168" s="34"/>
      <c r="F168" s="34"/>
      <c r="G168" s="34"/>
      <c r="H168" s="34"/>
      <c r="I168" s="34"/>
      <c r="J168" s="37">
        <v>1</v>
      </c>
      <c r="K168" s="37"/>
      <c r="L168" s="37">
        <v>0.55000000000000004</v>
      </c>
      <c r="M168" s="37">
        <v>37</v>
      </c>
      <c r="N168" s="37"/>
      <c r="O168" s="37"/>
      <c r="P168" s="34"/>
      <c r="Q168" s="34"/>
      <c r="R168" s="34"/>
      <c r="S168" s="37">
        <v>0.28999999999999998</v>
      </c>
      <c r="T168" s="37">
        <v>0.09</v>
      </c>
      <c r="U168" s="48">
        <v>2E-3</v>
      </c>
      <c r="V168" s="37"/>
      <c r="W168" s="37"/>
      <c r="X168" s="37"/>
      <c r="Y168" s="37"/>
      <c r="Z168" s="37">
        <v>8.33</v>
      </c>
      <c r="AA168" s="37"/>
      <c r="AB168" s="37">
        <v>420</v>
      </c>
      <c r="AC168" s="37">
        <v>667</v>
      </c>
      <c r="AD168" s="37"/>
      <c r="AE168" s="37">
        <v>40.4</v>
      </c>
      <c r="AF168" s="37"/>
      <c r="AG168" s="34"/>
      <c r="AH168" s="34"/>
      <c r="AI168" s="52">
        <v>54000</v>
      </c>
      <c r="AJ168" s="52">
        <v>13000</v>
      </c>
      <c r="AK168" s="37">
        <v>19096</v>
      </c>
      <c r="AL168" s="34"/>
      <c r="AM168" s="37">
        <v>10</v>
      </c>
      <c r="AN168" s="37">
        <v>28.9</v>
      </c>
      <c r="AO168" s="37">
        <v>28.8</v>
      </c>
      <c r="AP168" s="37">
        <f>21043/1000</f>
        <v>21.042999999999999</v>
      </c>
      <c r="AQ168" s="37">
        <f>305.3/1000</f>
        <v>0.30530000000000002</v>
      </c>
      <c r="AR168" s="37"/>
      <c r="AS168" s="37">
        <v>50</v>
      </c>
      <c r="AT168" s="37">
        <v>50</v>
      </c>
      <c r="AU168" s="37"/>
      <c r="AV168" s="37"/>
      <c r="AW168" s="37">
        <f>74/1000</f>
        <v>7.3999999999999996E-2</v>
      </c>
      <c r="AX168" s="68">
        <f t="shared" si="2"/>
        <v>1.4864864864864866E-2</v>
      </c>
    </row>
    <row r="169" spans="2:50" x14ac:dyDescent="0.2">
      <c r="B169" s="8"/>
      <c r="C169" s="22">
        <v>42094</v>
      </c>
      <c r="D169" s="77" t="s">
        <v>13</v>
      </c>
      <c r="E169" s="34"/>
      <c r="F169" s="34"/>
      <c r="G169" s="34"/>
      <c r="H169" s="34"/>
      <c r="I169" s="34"/>
      <c r="J169" s="37">
        <v>1</v>
      </c>
      <c r="K169" s="37"/>
      <c r="L169" s="37">
        <v>0.45</v>
      </c>
      <c r="M169" s="37">
        <v>32</v>
      </c>
      <c r="N169" s="37"/>
      <c r="O169" s="37"/>
      <c r="P169" s="34"/>
      <c r="Q169" s="34"/>
      <c r="R169" s="34"/>
      <c r="S169" s="37">
        <v>0.14000000000000001</v>
      </c>
      <c r="T169" s="48">
        <v>7.0000000000000007E-2</v>
      </c>
      <c r="U169" s="48">
        <v>2E-3</v>
      </c>
      <c r="V169" s="37"/>
      <c r="W169" s="37"/>
      <c r="X169" s="37"/>
      <c r="Y169" s="37"/>
      <c r="Z169" s="37">
        <v>8.3000000000000007</v>
      </c>
      <c r="AA169" s="37"/>
      <c r="AB169" s="37">
        <v>98</v>
      </c>
      <c r="AC169" s="37">
        <v>403</v>
      </c>
      <c r="AD169" s="37"/>
      <c r="AE169" s="37">
        <v>8.4</v>
      </c>
      <c r="AF169" s="37"/>
      <c r="AG169" s="34"/>
      <c r="AH169" s="34"/>
      <c r="AI169" s="52">
        <v>160000</v>
      </c>
      <c r="AJ169" s="52">
        <v>92000</v>
      </c>
      <c r="AK169" s="37">
        <v>9013.4</v>
      </c>
      <c r="AL169" s="34"/>
      <c r="AM169" s="37">
        <v>10</v>
      </c>
      <c r="AN169" s="37">
        <v>13.5</v>
      </c>
      <c r="AO169" s="31">
        <v>20</v>
      </c>
      <c r="AP169" s="37">
        <f>7759.4/1000</f>
        <v>7.7593999999999994</v>
      </c>
      <c r="AQ169" s="37">
        <f>102.1/1000</f>
        <v>0.1021</v>
      </c>
      <c r="AR169" s="37"/>
      <c r="AS169" s="37">
        <v>50</v>
      </c>
      <c r="AT169" s="37">
        <v>50</v>
      </c>
      <c r="AU169" s="37"/>
      <c r="AV169" s="37"/>
      <c r="AW169" s="37">
        <f>45.5/1000</f>
        <v>4.5499999999999999E-2</v>
      </c>
      <c r="AX169" s="68">
        <f t="shared" si="2"/>
        <v>1.40625E-2</v>
      </c>
    </row>
    <row r="170" spans="2:50" x14ac:dyDescent="0.2">
      <c r="B170" s="8"/>
      <c r="C170" s="22">
        <v>42094</v>
      </c>
      <c r="D170" s="78" t="s">
        <v>14</v>
      </c>
      <c r="E170" s="34"/>
      <c r="F170" s="34"/>
      <c r="G170" s="34"/>
      <c r="H170" s="34"/>
      <c r="I170" s="34"/>
      <c r="J170" s="37">
        <v>1</v>
      </c>
      <c r="K170" s="37"/>
      <c r="L170" s="37">
        <v>0.1</v>
      </c>
      <c r="M170" s="37">
        <v>25</v>
      </c>
      <c r="N170" s="37"/>
      <c r="O170" s="37"/>
      <c r="P170" s="34"/>
      <c r="Q170" s="34"/>
      <c r="R170" s="34"/>
      <c r="S170" s="43">
        <v>0.1</v>
      </c>
      <c r="T170" s="48">
        <v>7.0000000000000007E-2</v>
      </c>
      <c r="U170" s="48">
        <v>2E-3</v>
      </c>
      <c r="V170" s="37"/>
      <c r="W170" s="37"/>
      <c r="X170" s="37"/>
      <c r="Y170" s="37"/>
      <c r="Z170" s="37">
        <v>8.3699999999999992</v>
      </c>
      <c r="AA170" s="37"/>
      <c r="AB170" s="37">
        <v>115</v>
      </c>
      <c r="AC170" s="37">
        <v>567</v>
      </c>
      <c r="AD170" s="37"/>
      <c r="AE170" s="37">
        <v>55.6</v>
      </c>
      <c r="AF170" s="37"/>
      <c r="AG170" s="34"/>
      <c r="AH170" s="34"/>
      <c r="AI170" s="52">
        <v>4900</v>
      </c>
      <c r="AJ170" s="52">
        <v>2300</v>
      </c>
      <c r="AK170" s="37">
        <v>4251.5</v>
      </c>
      <c r="AL170" s="34"/>
      <c r="AM170" s="37">
        <v>10</v>
      </c>
      <c r="AN170" s="37">
        <v>10</v>
      </c>
      <c r="AO170" s="31">
        <v>20</v>
      </c>
      <c r="AP170" s="37">
        <f>5088.6/1000</f>
        <v>5.0886000000000005</v>
      </c>
      <c r="AQ170" s="37">
        <f>55.2/1000</f>
        <v>5.5200000000000006E-2</v>
      </c>
      <c r="AR170" s="37"/>
      <c r="AS170" s="37">
        <v>50</v>
      </c>
      <c r="AT170" s="37">
        <v>50</v>
      </c>
      <c r="AU170" s="37"/>
      <c r="AV170" s="37"/>
      <c r="AW170" s="37">
        <f>59.4/1000</f>
        <v>5.9400000000000001E-2</v>
      </c>
      <c r="AX170" s="68">
        <f t="shared" si="2"/>
        <v>4.0000000000000001E-3</v>
      </c>
    </row>
    <row r="171" spans="2:50" x14ac:dyDescent="0.2">
      <c r="B171" s="10"/>
      <c r="C171" s="22">
        <v>42192</v>
      </c>
      <c r="D171" s="27" t="s">
        <v>9</v>
      </c>
      <c r="E171" s="31"/>
      <c r="F171" s="31"/>
      <c r="G171" s="31"/>
      <c r="H171" s="31"/>
      <c r="I171" s="31"/>
      <c r="J171" s="37"/>
      <c r="K171" s="37"/>
      <c r="L171" s="37">
        <v>0.6</v>
      </c>
      <c r="M171" s="37">
        <v>25</v>
      </c>
      <c r="N171" s="37"/>
      <c r="O171" s="37"/>
      <c r="P171" s="34"/>
      <c r="Q171" s="34"/>
      <c r="R171" s="34"/>
      <c r="S171" s="37"/>
      <c r="T171" s="37"/>
      <c r="U171" s="48"/>
      <c r="V171" s="37"/>
      <c r="W171" s="37"/>
      <c r="X171" s="37"/>
      <c r="Y171" s="37"/>
      <c r="Z171" s="37">
        <v>7.55</v>
      </c>
      <c r="AA171" s="37"/>
      <c r="AB171" s="37"/>
      <c r="AC171" s="37"/>
      <c r="AD171" s="37"/>
      <c r="AE171" s="37"/>
      <c r="AF171" s="37"/>
      <c r="AG171" s="34"/>
      <c r="AH171" s="34"/>
      <c r="AI171" s="52">
        <v>3300</v>
      </c>
      <c r="AJ171" s="52">
        <v>1300</v>
      </c>
      <c r="AK171" s="37"/>
      <c r="AL171" s="34"/>
      <c r="AM171" s="37">
        <v>10</v>
      </c>
      <c r="AN171" s="37">
        <v>10</v>
      </c>
      <c r="AO171" s="37">
        <v>20</v>
      </c>
      <c r="AP171" s="37">
        <f>1785.3/1000</f>
        <v>1.7852999999999999</v>
      </c>
      <c r="AQ171" s="37"/>
      <c r="AR171" s="37"/>
      <c r="AS171" s="37">
        <v>50</v>
      </c>
      <c r="AT171" s="37">
        <v>50</v>
      </c>
      <c r="AU171" s="37"/>
      <c r="AV171" s="37"/>
      <c r="AW171" s="37">
        <f>20/1000</f>
        <v>0.02</v>
      </c>
      <c r="AX171" s="68">
        <f t="shared" si="2"/>
        <v>2.4E-2</v>
      </c>
    </row>
    <row r="172" spans="2:50" x14ac:dyDescent="0.2">
      <c r="B172" s="9"/>
      <c r="C172" s="21">
        <v>42192</v>
      </c>
      <c r="D172" s="74" t="s">
        <v>10</v>
      </c>
      <c r="E172" s="31"/>
      <c r="F172" s="31"/>
      <c r="G172" s="31"/>
      <c r="H172" s="31"/>
      <c r="I172" s="31"/>
      <c r="J172" s="37"/>
      <c r="K172" s="37"/>
      <c r="L172" s="37">
        <v>0.65</v>
      </c>
      <c r="M172" s="37">
        <v>25</v>
      </c>
      <c r="N172" s="37"/>
      <c r="O172" s="37"/>
      <c r="P172" s="34"/>
      <c r="Q172" s="34"/>
      <c r="R172" s="34"/>
      <c r="S172" s="37"/>
      <c r="T172" s="37"/>
      <c r="U172" s="48"/>
      <c r="V172" s="37"/>
      <c r="W172" s="37"/>
      <c r="X172" s="37"/>
      <c r="Y172" s="37"/>
      <c r="Z172" s="37">
        <v>7.84</v>
      </c>
      <c r="AA172" s="37"/>
      <c r="AB172" s="37"/>
      <c r="AC172" s="37"/>
      <c r="AD172" s="37"/>
      <c r="AE172" s="37"/>
      <c r="AF172" s="37"/>
      <c r="AG172" s="34"/>
      <c r="AH172" s="34"/>
      <c r="AI172" s="52">
        <v>1300</v>
      </c>
      <c r="AJ172" s="52">
        <v>1300</v>
      </c>
      <c r="AK172" s="37"/>
      <c r="AL172" s="34"/>
      <c r="AM172" s="37">
        <v>10</v>
      </c>
      <c r="AN172" s="37">
        <v>10</v>
      </c>
      <c r="AO172" s="37">
        <v>20</v>
      </c>
      <c r="AP172" s="37">
        <f>1973.4/1000</f>
        <v>1.9734</v>
      </c>
      <c r="AQ172" s="37"/>
      <c r="AR172" s="37"/>
      <c r="AS172" s="37">
        <v>50</v>
      </c>
      <c r="AT172" s="37">
        <v>50</v>
      </c>
      <c r="AU172" s="37"/>
      <c r="AV172" s="37"/>
      <c r="AW172" s="37">
        <f>20/1000</f>
        <v>0.02</v>
      </c>
      <c r="AX172" s="68">
        <f t="shared" si="2"/>
        <v>2.6000000000000002E-2</v>
      </c>
    </row>
    <row r="173" spans="2:50" x14ac:dyDescent="0.2">
      <c r="B173" s="8"/>
      <c r="C173" s="21">
        <v>42192</v>
      </c>
      <c r="D173" s="75" t="s">
        <v>11</v>
      </c>
      <c r="E173" s="31"/>
      <c r="F173" s="31"/>
      <c r="G173" s="31"/>
      <c r="H173" s="31"/>
      <c r="I173" s="31"/>
      <c r="J173" s="37"/>
      <c r="K173" s="37"/>
      <c r="L173" s="37">
        <v>0.5</v>
      </c>
      <c r="M173" s="37">
        <v>25</v>
      </c>
      <c r="N173" s="37"/>
      <c r="O173" s="37"/>
      <c r="P173" s="34"/>
      <c r="Q173" s="34"/>
      <c r="R173" s="34"/>
      <c r="S173" s="37"/>
      <c r="T173" s="37"/>
      <c r="U173" s="48"/>
      <c r="V173" s="37"/>
      <c r="W173" s="37"/>
      <c r="X173" s="37"/>
      <c r="Y173" s="37"/>
      <c r="Z173" s="37">
        <v>7.92</v>
      </c>
      <c r="AA173" s="37"/>
      <c r="AB173" s="37"/>
      <c r="AC173" s="37"/>
      <c r="AD173" s="37"/>
      <c r="AE173" s="37"/>
      <c r="AF173" s="37"/>
      <c r="AG173" s="34"/>
      <c r="AH173" s="34"/>
      <c r="AI173" s="52">
        <v>4900</v>
      </c>
      <c r="AJ173" s="52">
        <v>4900</v>
      </c>
      <c r="AK173" s="37"/>
      <c r="AL173" s="34"/>
      <c r="AM173" s="37">
        <v>10</v>
      </c>
      <c r="AN173" s="37">
        <v>10</v>
      </c>
      <c r="AO173" s="37">
        <v>20</v>
      </c>
      <c r="AP173" s="37">
        <f>1903/1000</f>
        <v>1.903</v>
      </c>
      <c r="AQ173" s="37"/>
      <c r="AR173" s="37"/>
      <c r="AS173" s="37">
        <v>50</v>
      </c>
      <c r="AT173" s="37">
        <v>50</v>
      </c>
      <c r="AU173" s="37"/>
      <c r="AV173" s="37"/>
      <c r="AW173" s="37">
        <f>20/1000</f>
        <v>0.02</v>
      </c>
      <c r="AX173" s="68">
        <f t="shared" si="2"/>
        <v>0.02</v>
      </c>
    </row>
    <row r="174" spans="2:50" x14ac:dyDescent="0.2">
      <c r="B174" s="8"/>
      <c r="C174" s="21">
        <v>42192</v>
      </c>
      <c r="D174" s="76" t="s">
        <v>12</v>
      </c>
      <c r="E174" s="31"/>
      <c r="F174" s="31"/>
      <c r="G174" s="31"/>
      <c r="H174" s="31"/>
      <c r="I174" s="31"/>
      <c r="J174" s="37"/>
      <c r="K174" s="37"/>
      <c r="L174" s="37">
        <v>0.65</v>
      </c>
      <c r="M174" s="37">
        <v>25</v>
      </c>
      <c r="N174" s="37"/>
      <c r="O174" s="37"/>
      <c r="P174" s="34"/>
      <c r="Q174" s="34"/>
      <c r="R174" s="34"/>
      <c r="S174" s="37"/>
      <c r="T174" s="37"/>
      <c r="U174" s="37"/>
      <c r="V174" s="37"/>
      <c r="W174" s="37"/>
      <c r="X174" s="37"/>
      <c r="Y174" s="37"/>
      <c r="Z174" s="37">
        <v>7.97</v>
      </c>
      <c r="AA174" s="37"/>
      <c r="AB174" s="37"/>
      <c r="AC174" s="37"/>
      <c r="AD174" s="37"/>
      <c r="AE174" s="37"/>
      <c r="AF174" s="37"/>
      <c r="AG174" s="34"/>
      <c r="AH174" s="34"/>
      <c r="AI174" s="58">
        <v>3300</v>
      </c>
      <c r="AJ174" s="52">
        <v>1300</v>
      </c>
      <c r="AK174" s="37"/>
      <c r="AL174" s="34"/>
      <c r="AM174" s="37">
        <v>10</v>
      </c>
      <c r="AN174" s="37">
        <v>10</v>
      </c>
      <c r="AO174" s="37">
        <v>20</v>
      </c>
      <c r="AP174" s="37">
        <f>1311.2/1000</f>
        <v>1.3112000000000001</v>
      </c>
      <c r="AQ174" s="37"/>
      <c r="AR174" s="37"/>
      <c r="AS174" s="37">
        <v>50</v>
      </c>
      <c r="AT174" s="37">
        <v>50</v>
      </c>
      <c r="AU174" s="37"/>
      <c r="AV174" s="37"/>
      <c r="AW174" s="37">
        <f>20/1000</f>
        <v>0.02</v>
      </c>
      <c r="AX174" s="68">
        <f t="shared" si="2"/>
        <v>2.6000000000000002E-2</v>
      </c>
    </row>
    <row r="175" spans="2:50" x14ac:dyDescent="0.2">
      <c r="B175" s="8"/>
      <c r="C175" s="21">
        <v>42192</v>
      </c>
      <c r="D175" s="77" t="s">
        <v>13</v>
      </c>
      <c r="E175" s="31"/>
      <c r="F175" s="31"/>
      <c r="G175" s="31"/>
      <c r="H175" s="31"/>
      <c r="I175" s="31"/>
      <c r="J175" s="37"/>
      <c r="K175" s="37"/>
      <c r="L175" s="37">
        <v>0.55000000000000004</v>
      </c>
      <c r="M175" s="37">
        <v>25</v>
      </c>
      <c r="N175" s="37"/>
      <c r="O175" s="37"/>
      <c r="P175" s="34"/>
      <c r="Q175" s="34"/>
      <c r="R175" s="34"/>
      <c r="S175" s="37"/>
      <c r="T175" s="37"/>
      <c r="U175" s="37"/>
      <c r="V175" s="37"/>
      <c r="W175" s="37"/>
      <c r="X175" s="37"/>
      <c r="Y175" s="37"/>
      <c r="Z175" s="37">
        <v>7.94</v>
      </c>
      <c r="AA175" s="37"/>
      <c r="AB175" s="37"/>
      <c r="AC175" s="37"/>
      <c r="AD175" s="37"/>
      <c r="AE175" s="37"/>
      <c r="AF175" s="37"/>
      <c r="AG175" s="34"/>
      <c r="AH175" s="34"/>
      <c r="AI175" s="52">
        <v>7900</v>
      </c>
      <c r="AJ175" s="52">
        <v>4900</v>
      </c>
      <c r="AK175" s="37"/>
      <c r="AL175" s="34"/>
      <c r="AM175" s="37">
        <v>10</v>
      </c>
      <c r="AN175" s="37">
        <v>10</v>
      </c>
      <c r="AO175" s="37">
        <v>20</v>
      </c>
      <c r="AP175" s="37">
        <f>2039.4/1000</f>
        <v>2.0394000000000001</v>
      </c>
      <c r="AQ175" s="37"/>
      <c r="AR175" s="37"/>
      <c r="AS175" s="37">
        <v>50</v>
      </c>
      <c r="AT175" s="37">
        <v>50</v>
      </c>
      <c r="AU175" s="37"/>
      <c r="AV175" s="37"/>
      <c r="AW175" s="37">
        <f>20.5/1000</f>
        <v>2.0500000000000001E-2</v>
      </c>
      <c r="AX175" s="68">
        <f t="shared" si="2"/>
        <v>2.2000000000000002E-2</v>
      </c>
    </row>
    <row r="176" spans="2:50" x14ac:dyDescent="0.2">
      <c r="B176" s="8"/>
      <c r="C176" s="21">
        <v>42192</v>
      </c>
      <c r="D176" s="78" t="s">
        <v>14</v>
      </c>
      <c r="E176" s="31"/>
      <c r="F176" s="31"/>
      <c r="G176" s="31"/>
      <c r="H176" s="31"/>
      <c r="I176" s="31"/>
      <c r="J176" s="37"/>
      <c r="K176" s="37"/>
      <c r="L176" s="37">
        <v>0.2</v>
      </c>
      <c r="M176" s="37">
        <v>25</v>
      </c>
      <c r="N176" s="37"/>
      <c r="O176" s="37"/>
      <c r="P176" s="34"/>
      <c r="Q176" s="34"/>
      <c r="R176" s="34"/>
      <c r="S176" s="37"/>
      <c r="T176" s="37"/>
      <c r="U176" s="37"/>
      <c r="V176" s="37"/>
      <c r="W176" s="37"/>
      <c r="X176" s="37"/>
      <c r="Y176" s="37"/>
      <c r="Z176" s="37">
        <v>7.55</v>
      </c>
      <c r="AA176" s="37"/>
      <c r="AB176" s="37"/>
      <c r="AC176" s="37"/>
      <c r="AD176" s="37"/>
      <c r="AE176" s="37"/>
      <c r="AF176" s="37"/>
      <c r="AG176" s="34"/>
      <c r="AH176" s="34"/>
      <c r="AI176" s="52">
        <v>2300</v>
      </c>
      <c r="AJ176" s="52">
        <v>3.3</v>
      </c>
      <c r="AK176" s="37"/>
      <c r="AL176" s="34"/>
      <c r="AM176" s="37">
        <v>10</v>
      </c>
      <c r="AN176" s="37">
        <v>47</v>
      </c>
      <c r="AO176" s="37">
        <v>20</v>
      </c>
      <c r="AP176" s="37">
        <v>0.84899999999999998</v>
      </c>
      <c r="AQ176" s="37"/>
      <c r="AR176" s="37"/>
      <c r="AS176" s="37">
        <v>50</v>
      </c>
      <c r="AT176" s="37">
        <v>50</v>
      </c>
      <c r="AU176" s="37"/>
      <c r="AV176" s="37"/>
      <c r="AW176" s="37">
        <f>213.2/1000</f>
        <v>0.2132</v>
      </c>
      <c r="AX176" s="68">
        <f t="shared" si="2"/>
        <v>8.0000000000000002E-3</v>
      </c>
    </row>
    <row r="177" spans="2:50" x14ac:dyDescent="0.2">
      <c r="B177" s="10"/>
      <c r="C177" s="21">
        <v>42290</v>
      </c>
      <c r="D177" s="27" t="s">
        <v>9</v>
      </c>
      <c r="E177" s="31"/>
      <c r="F177" s="31"/>
      <c r="G177" s="31"/>
      <c r="H177" s="31"/>
      <c r="I177" s="31"/>
      <c r="J177" s="37">
        <v>1</v>
      </c>
      <c r="K177" s="37"/>
      <c r="L177" s="37">
        <v>0.85</v>
      </c>
      <c r="M177" s="37">
        <v>50</v>
      </c>
      <c r="N177" s="37"/>
      <c r="O177" s="37"/>
      <c r="P177" s="34"/>
      <c r="Q177" s="34"/>
      <c r="R177" s="34"/>
      <c r="S177" s="37">
        <v>0.1</v>
      </c>
      <c r="T177" s="37">
        <v>0.01</v>
      </c>
      <c r="U177" s="48">
        <v>2E-3</v>
      </c>
      <c r="V177" s="37"/>
      <c r="W177" s="37"/>
      <c r="X177" s="37"/>
      <c r="Y177" s="37"/>
      <c r="Z177" s="37">
        <v>8.39</v>
      </c>
      <c r="AA177" s="37"/>
      <c r="AB177" s="37">
        <v>6</v>
      </c>
      <c r="AC177" s="37">
        <v>422</v>
      </c>
      <c r="AD177" s="37"/>
      <c r="AE177" s="37">
        <v>11.6</v>
      </c>
      <c r="AF177" s="37"/>
      <c r="AG177" s="34"/>
      <c r="AH177" s="34"/>
      <c r="AI177" s="52">
        <v>1300</v>
      </c>
      <c r="AJ177" s="52">
        <v>330</v>
      </c>
      <c r="AK177" s="37">
        <v>119.1</v>
      </c>
      <c r="AL177" s="34"/>
      <c r="AM177" s="37">
        <v>10</v>
      </c>
      <c r="AN177" s="37">
        <v>10</v>
      </c>
      <c r="AO177" s="37">
        <v>20</v>
      </c>
      <c r="AP177" s="37">
        <f>113.1/1000</f>
        <v>0.11309999999999999</v>
      </c>
      <c r="AQ177" s="37">
        <f>28.8/1000</f>
        <v>2.8799999999999999E-2</v>
      </c>
      <c r="AR177" s="37"/>
      <c r="AS177" s="37">
        <v>50</v>
      </c>
      <c r="AT177" s="37">
        <v>50</v>
      </c>
      <c r="AU177" s="37"/>
      <c r="AV177" s="37"/>
      <c r="AW177" s="37">
        <f>20/1000</f>
        <v>0.02</v>
      </c>
      <c r="AX177" s="68">
        <f t="shared" si="2"/>
        <v>1.7000000000000001E-2</v>
      </c>
    </row>
    <row r="178" spans="2:50" x14ac:dyDescent="0.2">
      <c r="B178" s="9"/>
      <c r="C178" s="22">
        <v>42290</v>
      </c>
      <c r="D178" s="74" t="s">
        <v>10</v>
      </c>
      <c r="E178" s="31"/>
      <c r="F178" s="31"/>
      <c r="G178" s="31"/>
      <c r="H178" s="31"/>
      <c r="I178" s="31"/>
      <c r="J178" s="37">
        <v>1</v>
      </c>
      <c r="K178" s="37"/>
      <c r="L178" s="37">
        <v>1.1000000000000001</v>
      </c>
      <c r="M178" s="37">
        <v>32</v>
      </c>
      <c r="N178" s="37"/>
      <c r="O178" s="37"/>
      <c r="P178" s="34"/>
      <c r="Q178" s="34"/>
      <c r="R178" s="34"/>
      <c r="S178" s="37">
        <v>0.1</v>
      </c>
      <c r="T178" s="37">
        <v>0.01</v>
      </c>
      <c r="U178" s="48">
        <v>2E-3</v>
      </c>
      <c r="V178" s="37"/>
      <c r="W178" s="37"/>
      <c r="X178" s="37"/>
      <c r="Y178" s="37"/>
      <c r="Z178" s="37">
        <v>8.42</v>
      </c>
      <c r="AA178" s="37"/>
      <c r="AB178" s="37">
        <v>6</v>
      </c>
      <c r="AC178" s="37">
        <v>449</v>
      </c>
      <c r="AD178" s="37"/>
      <c r="AE178" s="37">
        <v>7.2</v>
      </c>
      <c r="AF178" s="37"/>
      <c r="AG178" s="34"/>
      <c r="AH178" s="34"/>
      <c r="AI178" s="52">
        <v>46</v>
      </c>
      <c r="AJ178" s="52">
        <v>33</v>
      </c>
      <c r="AK178" s="37">
        <v>235.1</v>
      </c>
      <c r="AL178" s="34"/>
      <c r="AM178" s="37">
        <v>10</v>
      </c>
      <c r="AN178" s="37">
        <v>10</v>
      </c>
      <c r="AO178" s="37">
        <v>20</v>
      </c>
      <c r="AP178" s="37">
        <f>224.3/1000</f>
        <v>0.2243</v>
      </c>
      <c r="AQ178" s="37">
        <f>73.5/1000</f>
        <v>7.3499999999999996E-2</v>
      </c>
      <c r="AR178" s="37"/>
      <c r="AS178" s="37">
        <v>50</v>
      </c>
      <c r="AT178" s="37">
        <v>50</v>
      </c>
      <c r="AU178" s="37"/>
      <c r="AV178" s="37"/>
      <c r="AW178" s="37">
        <f>20/1000</f>
        <v>0.02</v>
      </c>
      <c r="AX178" s="68">
        <f t="shared" si="2"/>
        <v>3.4375000000000003E-2</v>
      </c>
    </row>
    <row r="179" spans="2:50" x14ac:dyDescent="0.2">
      <c r="B179" s="8"/>
      <c r="C179" s="22">
        <v>42290</v>
      </c>
      <c r="D179" s="75" t="s">
        <v>11</v>
      </c>
      <c r="E179" s="31"/>
      <c r="F179" s="31"/>
      <c r="G179" s="31"/>
      <c r="H179" s="31"/>
      <c r="I179" s="31"/>
      <c r="J179" s="37">
        <v>1</v>
      </c>
      <c r="K179" s="37"/>
      <c r="L179" s="37">
        <v>0.9</v>
      </c>
      <c r="M179" s="37">
        <v>25</v>
      </c>
      <c r="N179" s="37"/>
      <c r="O179" s="37"/>
      <c r="P179" s="34"/>
      <c r="Q179" s="34"/>
      <c r="R179" s="34"/>
      <c r="S179" s="37">
        <v>0.1</v>
      </c>
      <c r="T179" s="37">
        <v>0.01</v>
      </c>
      <c r="U179" s="48">
        <v>2E-3</v>
      </c>
      <c r="V179" s="37"/>
      <c r="W179" s="37"/>
      <c r="X179" s="37"/>
      <c r="Y179" s="37"/>
      <c r="Z179" s="37">
        <v>8.58</v>
      </c>
      <c r="AA179" s="37"/>
      <c r="AB179" s="37">
        <v>6</v>
      </c>
      <c r="AC179" s="37">
        <v>450</v>
      </c>
      <c r="AD179" s="37"/>
      <c r="AE179" s="37">
        <v>8</v>
      </c>
      <c r="AF179" s="37"/>
      <c r="AG179" s="34"/>
      <c r="AH179" s="34"/>
      <c r="AI179" s="52">
        <v>1100</v>
      </c>
      <c r="AJ179" s="52">
        <v>330</v>
      </c>
      <c r="AK179" s="37">
        <v>302.10000000000002</v>
      </c>
      <c r="AL179" s="34"/>
      <c r="AM179" s="37">
        <v>10</v>
      </c>
      <c r="AN179" s="37">
        <v>10</v>
      </c>
      <c r="AO179" s="37">
        <v>20</v>
      </c>
      <c r="AP179" s="37">
        <f>243.1/1000</f>
        <v>0.24309999999999998</v>
      </c>
      <c r="AQ179" s="37">
        <f>49.9/1000</f>
        <v>4.99E-2</v>
      </c>
      <c r="AR179" s="37"/>
      <c r="AS179" s="37">
        <v>50</v>
      </c>
      <c r="AT179" s="37">
        <v>50</v>
      </c>
      <c r="AU179" s="37"/>
      <c r="AV179" s="37"/>
      <c r="AW179" s="37">
        <f>78.4/1000</f>
        <v>7.8400000000000011E-2</v>
      </c>
      <c r="AX179" s="68">
        <f t="shared" si="2"/>
        <v>3.6000000000000004E-2</v>
      </c>
    </row>
    <row r="180" spans="2:50" x14ac:dyDescent="0.2">
      <c r="B180" s="8"/>
      <c r="C180" s="22">
        <v>42290</v>
      </c>
      <c r="D180" s="76" t="s">
        <v>12</v>
      </c>
      <c r="E180" s="31"/>
      <c r="F180" s="31"/>
      <c r="G180" s="31"/>
      <c r="H180" s="31"/>
      <c r="I180" s="31"/>
      <c r="J180" s="37">
        <v>1</v>
      </c>
      <c r="K180" s="37"/>
      <c r="L180" s="37">
        <v>0.8</v>
      </c>
      <c r="M180" s="37">
        <v>25</v>
      </c>
      <c r="N180" s="37"/>
      <c r="O180" s="37"/>
      <c r="P180" s="34"/>
      <c r="Q180" s="34"/>
      <c r="R180" s="34"/>
      <c r="S180" s="37">
        <v>0.1</v>
      </c>
      <c r="T180" s="37">
        <v>0.01</v>
      </c>
      <c r="U180" s="48">
        <v>2E-3</v>
      </c>
      <c r="V180" s="37"/>
      <c r="W180" s="37"/>
      <c r="X180" s="37"/>
      <c r="Y180" s="37"/>
      <c r="Z180" s="37">
        <v>8.59</v>
      </c>
      <c r="AA180" s="37"/>
      <c r="AB180" s="37">
        <v>6</v>
      </c>
      <c r="AC180" s="37">
        <v>466</v>
      </c>
      <c r="AD180" s="37"/>
      <c r="AE180" s="37">
        <v>10</v>
      </c>
      <c r="AF180" s="37"/>
      <c r="AG180" s="34"/>
      <c r="AH180" s="34"/>
      <c r="AI180" s="52">
        <v>33</v>
      </c>
      <c r="AJ180" s="52">
        <v>17</v>
      </c>
      <c r="AK180" s="37">
        <v>200.5</v>
      </c>
      <c r="AL180" s="34"/>
      <c r="AM180" s="37">
        <v>10</v>
      </c>
      <c r="AN180" s="37">
        <v>10</v>
      </c>
      <c r="AO180" s="37">
        <v>20</v>
      </c>
      <c r="AP180" s="37">
        <f>197.5/1000</f>
        <v>0.19750000000000001</v>
      </c>
      <c r="AQ180" s="37">
        <f>44.1/1000</f>
        <v>4.41E-2</v>
      </c>
      <c r="AR180" s="37"/>
      <c r="AS180" s="37">
        <v>50</v>
      </c>
      <c r="AT180" s="37">
        <v>50</v>
      </c>
      <c r="AU180" s="37"/>
      <c r="AV180" s="37"/>
      <c r="AW180" s="37">
        <f>23.9/1000</f>
        <v>2.3899999999999998E-2</v>
      </c>
      <c r="AX180" s="68">
        <f t="shared" si="2"/>
        <v>3.2000000000000001E-2</v>
      </c>
    </row>
    <row r="181" spans="2:50" x14ac:dyDescent="0.2">
      <c r="B181" s="8"/>
      <c r="C181" s="22">
        <v>42290</v>
      </c>
      <c r="D181" s="77" t="s">
        <v>13</v>
      </c>
      <c r="E181" s="31"/>
      <c r="F181" s="31"/>
      <c r="G181" s="31"/>
      <c r="H181" s="31"/>
      <c r="I181" s="31"/>
      <c r="J181" s="37">
        <v>1</v>
      </c>
      <c r="K181" s="37"/>
      <c r="L181" s="37">
        <v>0.95</v>
      </c>
      <c r="M181" s="37">
        <v>25</v>
      </c>
      <c r="N181" s="37"/>
      <c r="O181" s="37"/>
      <c r="P181" s="34"/>
      <c r="Q181" s="34"/>
      <c r="R181" s="34"/>
      <c r="S181" s="37">
        <v>0.1</v>
      </c>
      <c r="T181" s="37">
        <v>0.02</v>
      </c>
      <c r="U181" s="48">
        <v>2E-3</v>
      </c>
      <c r="V181" s="37"/>
      <c r="W181" s="37"/>
      <c r="X181" s="37"/>
      <c r="Y181" s="37"/>
      <c r="Z181" s="37">
        <v>8.4600000000000009</v>
      </c>
      <c r="AA181" s="37"/>
      <c r="AB181" s="37">
        <v>6</v>
      </c>
      <c r="AC181" s="37">
        <v>438</v>
      </c>
      <c r="AD181" s="37"/>
      <c r="AE181" s="37">
        <v>7.2</v>
      </c>
      <c r="AF181" s="37"/>
      <c r="AG181" s="34"/>
      <c r="AH181" s="34"/>
      <c r="AI181" s="52">
        <v>17</v>
      </c>
      <c r="AJ181" s="52">
        <v>17</v>
      </c>
      <c r="AK181" s="37">
        <v>246.1</v>
      </c>
      <c r="AL181" s="34"/>
      <c r="AM181" s="37">
        <v>10</v>
      </c>
      <c r="AN181" s="37">
        <v>10</v>
      </c>
      <c r="AO181" s="37">
        <v>20</v>
      </c>
      <c r="AP181" s="37">
        <f>219.6/1000</f>
        <v>0.21959999999999999</v>
      </c>
      <c r="AQ181" s="37">
        <f>84.7/1000</f>
        <v>8.4699999999999998E-2</v>
      </c>
      <c r="AR181" s="37"/>
      <c r="AS181" s="37">
        <v>50</v>
      </c>
      <c r="AT181" s="37">
        <v>50</v>
      </c>
      <c r="AU181" s="37"/>
      <c r="AV181" s="37"/>
      <c r="AW181" s="37">
        <f>20/1000</f>
        <v>0.02</v>
      </c>
      <c r="AX181" s="68">
        <f t="shared" si="2"/>
        <v>3.7999999999999999E-2</v>
      </c>
    </row>
    <row r="182" spans="2:50" x14ac:dyDescent="0.2">
      <c r="B182" s="8"/>
      <c r="C182" s="22">
        <v>42290</v>
      </c>
      <c r="D182" s="78" t="s">
        <v>14</v>
      </c>
      <c r="E182" s="31"/>
      <c r="F182" s="31"/>
      <c r="G182" s="31"/>
      <c r="H182" s="31"/>
      <c r="I182" s="31"/>
      <c r="J182" s="37"/>
      <c r="K182" s="37"/>
      <c r="L182" s="37"/>
      <c r="M182" s="37"/>
      <c r="N182" s="37"/>
      <c r="O182" s="37"/>
      <c r="P182" s="34"/>
      <c r="Q182" s="34"/>
      <c r="R182" s="34"/>
      <c r="S182" s="37"/>
      <c r="T182" s="37"/>
      <c r="U182" s="48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4"/>
      <c r="AH182" s="34"/>
      <c r="AI182" s="52"/>
      <c r="AJ182" s="52"/>
      <c r="AK182" s="37"/>
      <c r="AL182" s="34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68" t="e">
        <f t="shared" si="2"/>
        <v>#DIV/0!</v>
      </c>
    </row>
    <row r="183" spans="2:50" x14ac:dyDescent="0.2">
      <c r="B183" s="10">
        <v>2016</v>
      </c>
      <c r="C183" s="22">
        <v>42381</v>
      </c>
      <c r="D183" s="27" t="s">
        <v>9</v>
      </c>
      <c r="E183" s="31"/>
      <c r="F183" s="31"/>
      <c r="G183" s="31"/>
      <c r="H183" s="31"/>
      <c r="I183" s="31"/>
      <c r="J183" s="37"/>
      <c r="K183" s="37"/>
      <c r="L183" s="37">
        <v>1.7</v>
      </c>
      <c r="M183" s="37">
        <v>30</v>
      </c>
      <c r="N183" s="37"/>
      <c r="O183" s="37"/>
      <c r="P183" s="34"/>
      <c r="Q183" s="34"/>
      <c r="R183" s="34"/>
      <c r="S183" s="37"/>
      <c r="T183" s="37"/>
      <c r="U183" s="48"/>
      <c r="V183" s="37"/>
      <c r="W183" s="37"/>
      <c r="X183" s="37"/>
      <c r="Y183" s="37"/>
      <c r="Z183" s="37">
        <v>8.3000000000000007</v>
      </c>
      <c r="AA183" s="37"/>
      <c r="AB183" s="37"/>
      <c r="AC183" s="37"/>
      <c r="AD183" s="37"/>
      <c r="AE183" s="37"/>
      <c r="AF183" s="37"/>
      <c r="AG183" s="34"/>
      <c r="AH183" s="34"/>
      <c r="AI183" s="52">
        <v>4600</v>
      </c>
      <c r="AJ183" s="52">
        <v>3300</v>
      </c>
      <c r="AK183" s="37"/>
      <c r="AL183" s="34"/>
      <c r="AM183" s="37">
        <v>10</v>
      </c>
      <c r="AN183" s="37">
        <v>10</v>
      </c>
      <c r="AO183" s="37">
        <v>20</v>
      </c>
      <c r="AP183" s="37">
        <f>2425.5/1000</f>
        <v>2.4255</v>
      </c>
      <c r="AQ183" s="37"/>
      <c r="AR183" s="37"/>
      <c r="AS183" s="37">
        <v>50</v>
      </c>
      <c r="AT183" s="37">
        <v>50</v>
      </c>
      <c r="AU183" s="37"/>
      <c r="AV183" s="37"/>
      <c r="AW183" s="37">
        <f>29.3/1000</f>
        <v>2.93E-2</v>
      </c>
      <c r="AX183" s="68">
        <f t="shared" si="2"/>
        <v>5.6666666666666664E-2</v>
      </c>
    </row>
    <row r="184" spans="2:50" x14ac:dyDescent="0.2">
      <c r="B184" s="9"/>
      <c r="C184" s="22">
        <v>42381</v>
      </c>
      <c r="D184" s="74" t="s">
        <v>10</v>
      </c>
      <c r="E184" s="31"/>
      <c r="F184" s="31"/>
      <c r="G184" s="31"/>
      <c r="H184" s="31"/>
      <c r="I184" s="31"/>
      <c r="J184" s="37"/>
      <c r="K184" s="37"/>
      <c r="L184" s="37">
        <v>2</v>
      </c>
      <c r="M184" s="37">
        <v>37</v>
      </c>
      <c r="N184" s="37"/>
      <c r="O184" s="37"/>
      <c r="P184" s="34"/>
      <c r="Q184" s="34"/>
      <c r="R184" s="34"/>
      <c r="S184" s="37"/>
      <c r="T184" s="37"/>
      <c r="U184" s="48"/>
      <c r="V184" s="37"/>
      <c r="W184" s="37"/>
      <c r="X184" s="37"/>
      <c r="Y184" s="37"/>
      <c r="Z184" s="37">
        <v>7.98</v>
      </c>
      <c r="AA184" s="37"/>
      <c r="AB184" s="37"/>
      <c r="AC184" s="37"/>
      <c r="AD184" s="37"/>
      <c r="AE184" s="37"/>
      <c r="AF184" s="37"/>
      <c r="AG184" s="34"/>
      <c r="AH184" s="34"/>
      <c r="AI184" s="52">
        <v>7900</v>
      </c>
      <c r="AJ184" s="52">
        <v>4900</v>
      </c>
      <c r="AK184" s="37"/>
      <c r="AL184" s="34"/>
      <c r="AM184" s="37">
        <v>10</v>
      </c>
      <c r="AN184" s="37">
        <v>10</v>
      </c>
      <c r="AO184" s="37">
        <v>20</v>
      </c>
      <c r="AP184" s="37">
        <f>2332/1000</f>
        <v>2.3319999999999999</v>
      </c>
      <c r="AQ184" s="37"/>
      <c r="AR184" s="37"/>
      <c r="AS184" s="37">
        <v>50</v>
      </c>
      <c r="AT184" s="37">
        <v>50</v>
      </c>
      <c r="AU184" s="37"/>
      <c r="AV184" s="37"/>
      <c r="AW184" s="37">
        <f>42.5/1000</f>
        <v>4.2500000000000003E-2</v>
      </c>
      <c r="AX184" s="68">
        <f t="shared" si="2"/>
        <v>5.4054054054054057E-2</v>
      </c>
    </row>
    <row r="185" spans="2:50" x14ac:dyDescent="0.2">
      <c r="B185" s="8"/>
      <c r="C185" s="22">
        <v>42381</v>
      </c>
      <c r="D185" s="75" t="s">
        <v>11</v>
      </c>
      <c r="E185" s="31"/>
      <c r="F185" s="31"/>
      <c r="G185" s="31"/>
      <c r="H185" s="31"/>
      <c r="I185" s="31"/>
      <c r="J185" s="37"/>
      <c r="K185" s="37"/>
      <c r="L185" s="37">
        <v>1.8</v>
      </c>
      <c r="M185" s="37">
        <v>25</v>
      </c>
      <c r="N185" s="37"/>
      <c r="O185" s="37"/>
      <c r="P185" s="34"/>
      <c r="Q185" s="34"/>
      <c r="R185" s="34"/>
      <c r="S185" s="37"/>
      <c r="T185" s="37"/>
      <c r="U185" s="48"/>
      <c r="V185" s="37"/>
      <c r="W185" s="37"/>
      <c r="X185" s="37"/>
      <c r="Y185" s="37"/>
      <c r="Z185" s="37">
        <v>8.31</v>
      </c>
      <c r="AA185" s="37"/>
      <c r="AB185" s="37"/>
      <c r="AC185" s="37"/>
      <c r="AD185" s="37"/>
      <c r="AE185" s="37"/>
      <c r="AF185" s="37"/>
      <c r="AG185" s="34"/>
      <c r="AH185" s="34"/>
      <c r="AI185" s="52">
        <v>13000</v>
      </c>
      <c r="AJ185" s="52">
        <v>2800</v>
      </c>
      <c r="AK185" s="37"/>
      <c r="AL185" s="34"/>
      <c r="AM185" s="37">
        <v>10</v>
      </c>
      <c r="AN185" s="37">
        <v>10</v>
      </c>
      <c r="AO185" s="37">
        <v>21.6</v>
      </c>
      <c r="AP185" s="37">
        <f>2449.7/1000</f>
        <v>2.4497</v>
      </c>
      <c r="AQ185" s="37"/>
      <c r="AR185" s="37"/>
      <c r="AS185" s="37">
        <v>50</v>
      </c>
      <c r="AT185" s="37">
        <v>50</v>
      </c>
      <c r="AU185" s="37"/>
      <c r="AV185" s="37"/>
      <c r="AW185" s="37">
        <f>26.1/1000</f>
        <v>2.6100000000000002E-2</v>
      </c>
      <c r="AX185" s="68">
        <f t="shared" si="2"/>
        <v>7.2000000000000008E-2</v>
      </c>
    </row>
    <row r="186" spans="2:50" x14ac:dyDescent="0.2">
      <c r="B186" s="8"/>
      <c r="C186" s="22">
        <v>42381</v>
      </c>
      <c r="D186" s="76" t="s">
        <v>12</v>
      </c>
      <c r="E186" s="31"/>
      <c r="F186" s="31"/>
      <c r="G186" s="31"/>
      <c r="H186" s="31"/>
      <c r="I186" s="31"/>
      <c r="J186" s="37"/>
      <c r="K186" s="37"/>
      <c r="L186" s="37">
        <v>1.6</v>
      </c>
      <c r="M186" s="37">
        <v>25</v>
      </c>
      <c r="N186" s="37"/>
      <c r="O186" s="37"/>
      <c r="P186" s="34"/>
      <c r="Q186" s="34"/>
      <c r="R186" s="34"/>
      <c r="S186" s="37"/>
      <c r="T186" s="37"/>
      <c r="U186" s="48"/>
      <c r="V186" s="37"/>
      <c r="W186" s="37"/>
      <c r="X186" s="37"/>
      <c r="Y186" s="37"/>
      <c r="Z186" s="37">
        <v>8.32</v>
      </c>
      <c r="AA186" s="37"/>
      <c r="AB186" s="37"/>
      <c r="AC186" s="37"/>
      <c r="AD186" s="37"/>
      <c r="AE186" s="37"/>
      <c r="AF186" s="37"/>
      <c r="AG186" s="34"/>
      <c r="AH186" s="34"/>
      <c r="AI186" s="52">
        <v>22000</v>
      </c>
      <c r="AJ186" s="52">
        <v>7900</v>
      </c>
      <c r="AK186" s="37"/>
      <c r="AL186" s="34"/>
      <c r="AM186" s="37">
        <v>10</v>
      </c>
      <c r="AN186" s="37">
        <v>10</v>
      </c>
      <c r="AO186" s="37">
        <v>20</v>
      </c>
      <c r="AP186" s="37">
        <f>2489.3/1000</f>
        <v>2.4893000000000001</v>
      </c>
      <c r="AQ186" s="37"/>
      <c r="AR186" s="37"/>
      <c r="AS186" s="37">
        <v>50</v>
      </c>
      <c r="AT186" s="37">
        <v>50</v>
      </c>
      <c r="AU186" s="37"/>
      <c r="AV186" s="37"/>
      <c r="AW186" s="37">
        <f>26.8/1000</f>
        <v>2.6800000000000001E-2</v>
      </c>
      <c r="AX186" s="68">
        <f t="shared" si="2"/>
        <v>6.4000000000000001E-2</v>
      </c>
    </row>
    <row r="187" spans="2:50" x14ac:dyDescent="0.2">
      <c r="B187" s="8"/>
      <c r="C187" s="22">
        <v>42381</v>
      </c>
      <c r="D187" s="77" t="s">
        <v>13</v>
      </c>
      <c r="E187" s="31"/>
      <c r="F187" s="31"/>
      <c r="G187" s="31"/>
      <c r="H187" s="31"/>
      <c r="I187" s="31"/>
      <c r="J187" s="37"/>
      <c r="K187" s="37"/>
      <c r="L187" s="37">
        <v>1.8</v>
      </c>
      <c r="M187" s="37">
        <v>25</v>
      </c>
      <c r="N187" s="37"/>
      <c r="O187" s="37"/>
      <c r="P187" s="34"/>
      <c r="Q187" s="34"/>
      <c r="R187" s="34"/>
      <c r="S187" s="37"/>
      <c r="T187" s="37"/>
      <c r="U187" s="48"/>
      <c r="V187" s="37"/>
      <c r="W187" s="37"/>
      <c r="X187" s="37"/>
      <c r="Y187" s="37"/>
      <c r="Z187" s="37">
        <v>8.07</v>
      </c>
      <c r="AA187" s="37"/>
      <c r="AB187" s="37"/>
      <c r="AC187" s="37"/>
      <c r="AD187" s="37"/>
      <c r="AE187" s="37"/>
      <c r="AF187" s="37"/>
      <c r="AG187" s="34"/>
      <c r="AH187" s="34"/>
      <c r="AI187" s="52">
        <v>7900</v>
      </c>
      <c r="AJ187" s="52">
        <v>4900</v>
      </c>
      <c r="AK187" s="37"/>
      <c r="AL187" s="34"/>
      <c r="AM187" s="37">
        <v>10</v>
      </c>
      <c r="AN187" s="37">
        <v>10</v>
      </c>
      <c r="AO187" s="37">
        <v>20</v>
      </c>
      <c r="AP187" s="37">
        <f>2368.3/1000</f>
        <v>2.3683000000000001</v>
      </c>
      <c r="AQ187" s="37"/>
      <c r="AR187" s="37"/>
      <c r="AS187" s="37">
        <v>50</v>
      </c>
      <c r="AT187" s="37">
        <v>50</v>
      </c>
      <c r="AU187" s="37"/>
      <c r="AV187" s="37"/>
      <c r="AW187" s="37">
        <f>23.6/1000</f>
        <v>2.3600000000000003E-2</v>
      </c>
      <c r="AX187" s="68">
        <f t="shared" si="2"/>
        <v>7.2000000000000008E-2</v>
      </c>
    </row>
    <row r="188" spans="2:50" x14ac:dyDescent="0.2">
      <c r="B188" s="8"/>
      <c r="C188" s="22">
        <v>42381</v>
      </c>
      <c r="D188" s="78" t="s">
        <v>14</v>
      </c>
      <c r="E188" s="31"/>
      <c r="F188" s="31"/>
      <c r="G188" s="31"/>
      <c r="H188" s="31"/>
      <c r="I188" s="31"/>
      <c r="J188" s="37"/>
      <c r="K188" s="37"/>
      <c r="L188" s="37"/>
      <c r="M188" s="37"/>
      <c r="N188" s="37"/>
      <c r="O188" s="37"/>
      <c r="P188" s="34"/>
      <c r="Q188" s="34"/>
      <c r="R188" s="34"/>
      <c r="S188" s="37"/>
      <c r="T188" s="37"/>
      <c r="U188" s="48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4"/>
      <c r="AH188" s="34"/>
      <c r="AI188" s="52"/>
      <c r="AJ188" s="52"/>
      <c r="AK188" s="37"/>
      <c r="AL188" s="34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68" t="e">
        <f t="shared" si="2"/>
        <v>#DIV/0!</v>
      </c>
    </row>
    <row r="189" spans="2:50" x14ac:dyDescent="0.2">
      <c r="B189" s="10"/>
      <c r="C189" s="22">
        <v>42479</v>
      </c>
      <c r="D189" s="27" t="s">
        <v>9</v>
      </c>
      <c r="E189" s="31"/>
      <c r="F189" s="31"/>
      <c r="G189" s="31"/>
      <c r="H189" s="31"/>
      <c r="I189" s="31"/>
      <c r="J189" s="37">
        <v>1</v>
      </c>
      <c r="K189" s="37"/>
      <c r="L189" s="37">
        <v>0.8</v>
      </c>
      <c r="M189" s="37">
        <v>40</v>
      </c>
      <c r="N189" s="37"/>
      <c r="O189" s="37"/>
      <c r="P189" s="34"/>
      <c r="Q189" s="34"/>
      <c r="R189" s="34"/>
      <c r="S189" s="37">
        <v>0.1</v>
      </c>
      <c r="T189" s="37">
        <v>0.16</v>
      </c>
      <c r="U189" s="48">
        <v>1.6E-2</v>
      </c>
      <c r="V189" s="37"/>
      <c r="W189" s="37"/>
      <c r="X189" s="37"/>
      <c r="Y189" s="37"/>
      <c r="Z189" s="37">
        <v>8.06</v>
      </c>
      <c r="AA189" s="37"/>
      <c r="AB189" s="37">
        <v>8</v>
      </c>
      <c r="AC189" s="37">
        <v>242</v>
      </c>
      <c r="AD189" s="37"/>
      <c r="AE189" s="37">
        <v>18.399999999999999</v>
      </c>
      <c r="AF189" s="37"/>
      <c r="AG189" s="34"/>
      <c r="AH189" s="34"/>
      <c r="AI189" s="52">
        <v>11000</v>
      </c>
      <c r="AJ189" s="52">
        <v>1100</v>
      </c>
      <c r="AK189" s="37">
        <v>1250.7</v>
      </c>
      <c r="AL189" s="34"/>
      <c r="AM189" s="37">
        <v>10</v>
      </c>
      <c r="AN189" s="37">
        <v>10</v>
      </c>
      <c r="AO189" s="37">
        <v>20</v>
      </c>
      <c r="AP189" s="37">
        <f>1624.7/1000</f>
        <v>1.6247</v>
      </c>
      <c r="AQ189" s="37">
        <f>51.2/1000</f>
        <v>5.1200000000000002E-2</v>
      </c>
      <c r="AR189" s="37"/>
      <c r="AS189" s="37">
        <v>50</v>
      </c>
      <c r="AT189" s="37">
        <v>50</v>
      </c>
      <c r="AU189" s="37"/>
      <c r="AV189" s="37"/>
      <c r="AW189" s="37">
        <f>20/1000</f>
        <v>0.02</v>
      </c>
      <c r="AX189" s="68">
        <f t="shared" si="2"/>
        <v>0.02</v>
      </c>
    </row>
    <row r="190" spans="2:50" x14ac:dyDescent="0.2">
      <c r="B190" s="9"/>
      <c r="C190" s="22">
        <v>42479</v>
      </c>
      <c r="D190" s="74" t="s">
        <v>10</v>
      </c>
      <c r="E190" s="31"/>
      <c r="F190" s="31"/>
      <c r="G190" s="31"/>
      <c r="H190" s="31"/>
      <c r="I190" s="31"/>
      <c r="J190" s="37">
        <v>1</v>
      </c>
      <c r="K190" s="37"/>
      <c r="L190" s="37">
        <v>0.6</v>
      </c>
      <c r="M190" s="37">
        <v>36</v>
      </c>
      <c r="N190" s="37"/>
      <c r="O190" s="37"/>
      <c r="P190" s="34"/>
      <c r="Q190" s="34"/>
      <c r="R190" s="34"/>
      <c r="S190" s="37">
        <v>0.1</v>
      </c>
      <c r="T190" s="37">
        <v>0.1</v>
      </c>
      <c r="U190" s="48">
        <v>1.2999999999999999E-2</v>
      </c>
      <c r="V190" s="37"/>
      <c r="W190" s="37"/>
      <c r="X190" s="37"/>
      <c r="Y190" s="37"/>
      <c r="Z190" s="37">
        <v>7.77</v>
      </c>
      <c r="AA190" s="37"/>
      <c r="AB190" s="37">
        <v>12</v>
      </c>
      <c r="AC190" s="37">
        <v>338</v>
      </c>
      <c r="AD190" s="37"/>
      <c r="AE190" s="37">
        <v>12.8</v>
      </c>
      <c r="AF190" s="37"/>
      <c r="AG190" s="34"/>
      <c r="AH190" s="34"/>
      <c r="AI190" s="52">
        <v>2300</v>
      </c>
      <c r="AJ190" s="52">
        <v>1300</v>
      </c>
      <c r="AK190" s="37">
        <v>999.6</v>
      </c>
      <c r="AL190" s="34"/>
      <c r="AM190" s="37">
        <v>10</v>
      </c>
      <c r="AN190" s="37">
        <v>10</v>
      </c>
      <c r="AO190" s="37">
        <v>20</v>
      </c>
      <c r="AP190" s="37">
        <f>1526.8/1000</f>
        <v>1.5267999999999999</v>
      </c>
      <c r="AQ190" s="37">
        <f>52.8/1000</f>
        <v>5.28E-2</v>
      </c>
      <c r="AR190" s="37"/>
      <c r="AS190" s="37">
        <v>50</v>
      </c>
      <c r="AT190" s="37">
        <v>50</v>
      </c>
      <c r="AU190" s="37"/>
      <c r="AV190" s="37"/>
      <c r="AW190" s="37">
        <f>20/1000</f>
        <v>0.02</v>
      </c>
      <c r="AX190" s="68">
        <f t="shared" si="2"/>
        <v>1.6666666666666666E-2</v>
      </c>
    </row>
    <row r="191" spans="2:50" x14ac:dyDescent="0.2">
      <c r="B191" s="8"/>
      <c r="C191" s="22">
        <v>42479</v>
      </c>
      <c r="D191" s="75" t="s">
        <v>11</v>
      </c>
      <c r="E191" s="31"/>
      <c r="F191" s="31"/>
      <c r="G191" s="31"/>
      <c r="H191" s="31"/>
      <c r="I191" s="31"/>
      <c r="J191" s="37">
        <v>1</v>
      </c>
      <c r="K191" s="37"/>
      <c r="L191" s="37">
        <v>0.7</v>
      </c>
      <c r="M191" s="37">
        <v>37</v>
      </c>
      <c r="N191" s="37"/>
      <c r="O191" s="37"/>
      <c r="P191" s="34"/>
      <c r="Q191" s="34"/>
      <c r="R191" s="34"/>
      <c r="S191" s="37">
        <v>0.1</v>
      </c>
      <c r="T191" s="37">
        <v>0.13</v>
      </c>
      <c r="U191" s="48">
        <v>0.01</v>
      </c>
      <c r="V191" s="37"/>
      <c r="W191" s="37"/>
      <c r="X191" s="37"/>
      <c r="Y191" s="37"/>
      <c r="Z191" s="37">
        <v>7.65</v>
      </c>
      <c r="AA191" s="37"/>
      <c r="AB191" s="37">
        <v>9</v>
      </c>
      <c r="AC191" s="37">
        <v>277</v>
      </c>
      <c r="AD191" s="37"/>
      <c r="AE191" s="37">
        <v>3.6</v>
      </c>
      <c r="AF191" s="37"/>
      <c r="AG191" s="34"/>
      <c r="AH191" s="34"/>
      <c r="AI191" s="52">
        <v>11000</v>
      </c>
      <c r="AJ191" s="52">
        <v>7000</v>
      </c>
      <c r="AK191" s="37">
        <v>1109.9000000000001</v>
      </c>
      <c r="AL191" s="34"/>
      <c r="AM191" s="37">
        <v>10</v>
      </c>
      <c r="AN191" s="37">
        <v>10</v>
      </c>
      <c r="AO191" s="37">
        <v>20</v>
      </c>
      <c r="AP191" s="37">
        <f>1488.3/1000</f>
        <v>1.4883</v>
      </c>
      <c r="AQ191" s="37">
        <f>44.4/1000</f>
        <v>4.4400000000000002E-2</v>
      </c>
      <c r="AR191" s="37"/>
      <c r="AS191" s="37">
        <v>50</v>
      </c>
      <c r="AT191" s="37">
        <v>50</v>
      </c>
      <c r="AU191" s="37"/>
      <c r="AV191" s="37"/>
      <c r="AW191" s="37">
        <f>20/1000</f>
        <v>0.02</v>
      </c>
      <c r="AX191" s="68">
        <f t="shared" si="2"/>
        <v>1.8918918918918916E-2</v>
      </c>
    </row>
    <row r="192" spans="2:50" x14ac:dyDescent="0.2">
      <c r="B192" s="8"/>
      <c r="C192" s="22">
        <v>42479</v>
      </c>
      <c r="D192" s="76" t="s">
        <v>12</v>
      </c>
      <c r="E192" s="31"/>
      <c r="F192" s="31"/>
      <c r="G192" s="31"/>
      <c r="H192" s="31"/>
      <c r="I192" s="31"/>
      <c r="J192" s="37">
        <v>1</v>
      </c>
      <c r="K192" s="37"/>
      <c r="L192" s="37">
        <v>1</v>
      </c>
      <c r="M192" s="37">
        <v>27</v>
      </c>
      <c r="N192" s="37"/>
      <c r="O192" s="37"/>
      <c r="P192" s="34"/>
      <c r="Q192" s="34"/>
      <c r="R192" s="34"/>
      <c r="S192" s="37">
        <v>0.11</v>
      </c>
      <c r="T192" s="37">
        <v>0.12</v>
      </c>
      <c r="U192" s="48">
        <v>4.1000000000000002E-2</v>
      </c>
      <c r="V192" s="37"/>
      <c r="W192" s="37"/>
      <c r="X192" s="37"/>
      <c r="Y192" s="37"/>
      <c r="Z192" s="37">
        <v>7.53</v>
      </c>
      <c r="AA192" s="37"/>
      <c r="AB192" s="37">
        <v>42</v>
      </c>
      <c r="AC192" s="37">
        <v>359</v>
      </c>
      <c r="AD192" s="37"/>
      <c r="AE192" s="37">
        <v>2.8</v>
      </c>
      <c r="AF192" s="37"/>
      <c r="AG192" s="34"/>
      <c r="AH192" s="34"/>
      <c r="AI192" s="52">
        <v>4600</v>
      </c>
      <c r="AJ192" s="52">
        <v>1300</v>
      </c>
      <c r="AK192" s="37">
        <v>1636.8</v>
      </c>
      <c r="AL192" s="34"/>
      <c r="AM192" s="37">
        <v>10</v>
      </c>
      <c r="AN192" s="37">
        <v>10</v>
      </c>
      <c r="AO192" s="37">
        <v>20</v>
      </c>
      <c r="AP192" s="37">
        <f>2335.3/1000</f>
        <v>2.3353000000000002</v>
      </c>
      <c r="AQ192" s="37">
        <f>75/1000</f>
        <v>7.4999999999999997E-2</v>
      </c>
      <c r="AR192" s="37"/>
      <c r="AS192" s="37">
        <v>50</v>
      </c>
      <c r="AT192" s="37">
        <v>50</v>
      </c>
      <c r="AU192" s="37"/>
      <c r="AV192" s="37"/>
      <c r="AW192" s="37">
        <f>22.2/1000</f>
        <v>2.2200000000000001E-2</v>
      </c>
      <c r="AX192" s="68">
        <f t="shared" si="2"/>
        <v>3.7037037037037035E-2</v>
      </c>
    </row>
    <row r="193" spans="2:50" x14ac:dyDescent="0.2">
      <c r="B193" s="8"/>
      <c r="C193" s="22">
        <v>42479</v>
      </c>
      <c r="D193" s="77" t="s">
        <v>13</v>
      </c>
      <c r="E193" s="31"/>
      <c r="F193" s="31"/>
      <c r="G193" s="31"/>
      <c r="H193" s="31"/>
      <c r="I193" s="31"/>
      <c r="J193" s="37">
        <v>1</v>
      </c>
      <c r="K193" s="37"/>
      <c r="L193" s="37">
        <v>0.75</v>
      </c>
      <c r="M193" s="37">
        <v>26</v>
      </c>
      <c r="N193" s="37"/>
      <c r="O193" s="37"/>
      <c r="P193" s="34"/>
      <c r="Q193" s="34"/>
      <c r="R193" s="34"/>
      <c r="S193" s="37">
        <v>0.1</v>
      </c>
      <c r="T193" s="37">
        <v>0.11</v>
      </c>
      <c r="U193" s="48">
        <v>8.8999999999999996E-2</v>
      </c>
      <c r="V193" s="37"/>
      <c r="W193" s="37"/>
      <c r="X193" s="37"/>
      <c r="Y193" s="37"/>
      <c r="Z193" s="37">
        <v>7.66</v>
      </c>
      <c r="AA193" s="37"/>
      <c r="AB193" s="37">
        <v>8</v>
      </c>
      <c r="AC193" s="37">
        <v>273</v>
      </c>
      <c r="AD193" s="37"/>
      <c r="AE193" s="37">
        <v>9.1999999999999993</v>
      </c>
      <c r="AF193" s="37"/>
      <c r="AG193" s="34"/>
      <c r="AH193" s="34"/>
      <c r="AI193" s="52">
        <v>4900</v>
      </c>
      <c r="AJ193" s="52">
        <v>1300</v>
      </c>
      <c r="AK193" s="37">
        <v>1268.3</v>
      </c>
      <c r="AL193" s="34"/>
      <c r="AM193" s="37">
        <v>10</v>
      </c>
      <c r="AN193" s="37">
        <v>10</v>
      </c>
      <c r="AO193" s="37">
        <v>20</v>
      </c>
      <c r="AP193" s="37">
        <f>1623.6/1000</f>
        <v>1.6235999999999999</v>
      </c>
      <c r="AQ193" s="37">
        <f>49.8/1000</f>
        <v>4.9799999999999997E-2</v>
      </c>
      <c r="AR193" s="37"/>
      <c r="AS193" s="37">
        <v>50</v>
      </c>
      <c r="AT193" s="37">
        <v>50</v>
      </c>
      <c r="AU193" s="37"/>
      <c r="AV193" s="37"/>
      <c r="AW193" s="37">
        <f>21/1000</f>
        <v>2.1000000000000001E-2</v>
      </c>
      <c r="AX193" s="68">
        <f t="shared" si="2"/>
        <v>2.8846153846153848E-2</v>
      </c>
    </row>
    <row r="194" spans="2:50" x14ac:dyDescent="0.2">
      <c r="B194" s="8"/>
      <c r="C194" s="22">
        <v>42479</v>
      </c>
      <c r="D194" s="78" t="s">
        <v>14</v>
      </c>
      <c r="E194" s="31"/>
      <c r="F194" s="31"/>
      <c r="G194" s="31"/>
      <c r="H194" s="31"/>
      <c r="I194" s="31"/>
      <c r="J194" s="37">
        <v>1</v>
      </c>
      <c r="K194" s="37"/>
      <c r="L194" s="37">
        <v>1.58</v>
      </c>
      <c r="M194" s="37">
        <v>25</v>
      </c>
      <c r="N194" s="37"/>
      <c r="O194" s="37"/>
      <c r="P194" s="34"/>
      <c r="Q194" s="34"/>
      <c r="R194" s="34"/>
      <c r="S194" s="31">
        <v>0.1</v>
      </c>
      <c r="T194" s="37">
        <v>0.13</v>
      </c>
      <c r="U194" s="48">
        <v>8.0000000000000002E-3</v>
      </c>
      <c r="V194" s="37"/>
      <c r="W194" s="37"/>
      <c r="X194" s="37"/>
      <c r="Y194" s="37"/>
      <c r="Z194" s="37">
        <v>7.5</v>
      </c>
      <c r="AA194" s="37"/>
      <c r="AB194" s="31">
        <v>6</v>
      </c>
      <c r="AC194" s="37">
        <v>550</v>
      </c>
      <c r="AD194" s="37"/>
      <c r="AE194" s="37">
        <v>9.1999999999999993</v>
      </c>
      <c r="AF194" s="37"/>
      <c r="AG194" s="34"/>
      <c r="AH194" s="34"/>
      <c r="AI194" s="52">
        <v>1100</v>
      </c>
      <c r="AJ194" s="52">
        <v>790</v>
      </c>
      <c r="AK194" s="37">
        <v>183.6</v>
      </c>
      <c r="AL194" s="34"/>
      <c r="AM194" s="37">
        <v>10</v>
      </c>
      <c r="AN194" s="37">
        <v>10</v>
      </c>
      <c r="AO194" s="37">
        <v>20</v>
      </c>
      <c r="AP194" s="37">
        <f>211.3/1000</f>
        <v>0.21130000000000002</v>
      </c>
      <c r="AQ194" s="37">
        <f>10.5/1000</f>
        <v>1.0500000000000001E-2</v>
      </c>
      <c r="AR194" s="37"/>
      <c r="AS194" s="37">
        <v>50</v>
      </c>
      <c r="AT194" s="37">
        <v>50</v>
      </c>
      <c r="AU194" s="37"/>
      <c r="AV194" s="37"/>
      <c r="AW194" s="37">
        <f>38.7/1000</f>
        <v>3.8700000000000005E-2</v>
      </c>
      <c r="AX194" s="68">
        <f t="shared" si="2"/>
        <v>6.3200000000000006E-2</v>
      </c>
    </row>
    <row r="195" spans="2:50" x14ac:dyDescent="0.2">
      <c r="B195" s="10"/>
      <c r="C195" s="22">
        <v>42570</v>
      </c>
      <c r="D195" s="27" t="s">
        <v>9</v>
      </c>
      <c r="E195" s="31"/>
      <c r="F195" s="31"/>
      <c r="G195" s="31"/>
      <c r="H195" s="31"/>
      <c r="I195" s="31"/>
      <c r="J195" s="37"/>
      <c r="K195" s="37"/>
      <c r="L195" s="37">
        <v>0</v>
      </c>
      <c r="M195" s="37">
        <v>31</v>
      </c>
      <c r="N195" s="37"/>
      <c r="O195" s="37"/>
      <c r="P195" s="34"/>
      <c r="Q195" s="34"/>
      <c r="R195" s="34"/>
      <c r="S195" s="37"/>
      <c r="T195" s="37"/>
      <c r="U195" s="48"/>
      <c r="V195" s="37"/>
      <c r="W195" s="37"/>
      <c r="X195" s="37"/>
      <c r="Y195" s="37"/>
      <c r="Z195" s="37">
        <v>8.23</v>
      </c>
      <c r="AA195" s="37"/>
      <c r="AB195" s="37"/>
      <c r="AC195" s="37"/>
      <c r="AD195" s="37"/>
      <c r="AE195" s="37"/>
      <c r="AF195" s="37"/>
      <c r="AG195" s="34"/>
      <c r="AH195" s="34"/>
      <c r="AI195" s="52">
        <v>1700</v>
      </c>
      <c r="AJ195" s="52">
        <v>680</v>
      </c>
      <c r="AK195" s="37"/>
      <c r="AL195" s="34"/>
      <c r="AM195" s="37">
        <v>10</v>
      </c>
      <c r="AN195" s="37">
        <v>10</v>
      </c>
      <c r="AO195" s="37">
        <v>20</v>
      </c>
      <c r="AP195" s="37">
        <f>401.7/1000</f>
        <v>0.4017</v>
      </c>
      <c r="AQ195" s="37">
        <f>21.6/1000</f>
        <v>2.1600000000000001E-2</v>
      </c>
      <c r="AR195" s="37"/>
      <c r="AS195" s="37">
        <v>50</v>
      </c>
      <c r="AT195" s="37">
        <v>50</v>
      </c>
      <c r="AU195" s="37"/>
      <c r="AV195" s="37"/>
      <c r="AW195" s="37">
        <f>20/1000</f>
        <v>0.02</v>
      </c>
      <c r="AX195" s="68">
        <f t="shared" si="2"/>
        <v>0</v>
      </c>
    </row>
    <row r="196" spans="2:50" x14ac:dyDescent="0.2">
      <c r="B196" s="9"/>
      <c r="C196" s="21">
        <v>42570</v>
      </c>
      <c r="D196" s="74" t="s">
        <v>10</v>
      </c>
      <c r="E196" s="31"/>
      <c r="F196" s="31"/>
      <c r="G196" s="31"/>
      <c r="H196" s="31"/>
      <c r="I196" s="31"/>
      <c r="J196" s="37"/>
      <c r="K196" s="37"/>
      <c r="L196" s="37">
        <v>0</v>
      </c>
      <c r="M196" s="37">
        <v>25</v>
      </c>
      <c r="N196" s="37"/>
      <c r="O196" s="37"/>
      <c r="P196" s="34"/>
      <c r="Q196" s="34"/>
      <c r="R196" s="34"/>
      <c r="S196" s="37"/>
      <c r="T196" s="37"/>
      <c r="U196" s="48"/>
      <c r="V196" s="37"/>
      <c r="W196" s="37"/>
      <c r="X196" s="37"/>
      <c r="Y196" s="37"/>
      <c r="Z196" s="37">
        <v>8.2799999999999994</v>
      </c>
      <c r="AA196" s="37"/>
      <c r="AB196" s="37"/>
      <c r="AC196" s="37"/>
      <c r="AD196" s="37"/>
      <c r="AE196" s="37"/>
      <c r="AF196" s="37"/>
      <c r="AG196" s="34"/>
      <c r="AH196" s="34"/>
      <c r="AI196" s="52">
        <v>1200</v>
      </c>
      <c r="AJ196" s="52">
        <v>610</v>
      </c>
      <c r="AK196" s="37"/>
      <c r="AL196" s="34"/>
      <c r="AM196" s="37">
        <v>10</v>
      </c>
      <c r="AN196" s="37">
        <v>10</v>
      </c>
      <c r="AO196" s="37">
        <v>20</v>
      </c>
      <c r="AP196" s="37">
        <f>337.2/1000</f>
        <v>0.3372</v>
      </c>
      <c r="AQ196" s="37">
        <f>29.9/1000</f>
        <v>2.9899999999999999E-2</v>
      </c>
      <c r="AR196" s="37"/>
      <c r="AS196" s="37">
        <v>50</v>
      </c>
      <c r="AT196" s="37">
        <v>50</v>
      </c>
      <c r="AU196" s="37"/>
      <c r="AV196" s="37"/>
      <c r="AW196" s="37">
        <f>32.8/1000</f>
        <v>3.2799999999999996E-2</v>
      </c>
      <c r="AX196" s="68">
        <f t="shared" si="2"/>
        <v>0</v>
      </c>
    </row>
    <row r="197" spans="2:50" x14ac:dyDescent="0.2">
      <c r="B197" s="8"/>
      <c r="C197" s="21">
        <v>42570</v>
      </c>
      <c r="D197" s="75" t="s">
        <v>11</v>
      </c>
      <c r="E197" s="31"/>
      <c r="F197" s="31"/>
      <c r="G197" s="31"/>
      <c r="H197" s="31"/>
      <c r="I197" s="31"/>
      <c r="J197" s="37"/>
      <c r="K197" s="37"/>
      <c r="L197" s="37">
        <v>0</v>
      </c>
      <c r="M197" s="37">
        <v>30</v>
      </c>
      <c r="N197" s="37"/>
      <c r="O197" s="37"/>
      <c r="P197" s="34"/>
      <c r="Q197" s="34"/>
      <c r="R197" s="34"/>
      <c r="S197" s="37"/>
      <c r="T197" s="37"/>
      <c r="U197" s="48"/>
      <c r="V197" s="37"/>
      <c r="W197" s="37"/>
      <c r="X197" s="37"/>
      <c r="Y197" s="37"/>
      <c r="Z197" s="37">
        <v>8.4499999999999993</v>
      </c>
      <c r="AA197" s="37"/>
      <c r="AB197" s="37"/>
      <c r="AC197" s="37"/>
      <c r="AD197" s="37"/>
      <c r="AE197" s="37"/>
      <c r="AF197" s="37"/>
      <c r="AG197" s="34"/>
      <c r="AH197" s="34"/>
      <c r="AI197" s="52">
        <v>450</v>
      </c>
      <c r="AJ197" s="52">
        <v>450</v>
      </c>
      <c r="AK197" s="37"/>
      <c r="AL197" s="34"/>
      <c r="AM197" s="37">
        <v>10</v>
      </c>
      <c r="AN197" s="37">
        <v>10</v>
      </c>
      <c r="AO197" s="37">
        <v>20</v>
      </c>
      <c r="AP197" s="37">
        <f>318.7/1000</f>
        <v>0.31869999999999998</v>
      </c>
      <c r="AQ197" s="37">
        <f>22.7/1000</f>
        <v>2.2699999999999998E-2</v>
      </c>
      <c r="AR197" s="37"/>
      <c r="AS197" s="37">
        <v>50</v>
      </c>
      <c r="AT197" s="37">
        <v>50</v>
      </c>
      <c r="AU197" s="37"/>
      <c r="AV197" s="37"/>
      <c r="AW197" s="37">
        <f>32.8/1000</f>
        <v>3.2799999999999996E-2</v>
      </c>
      <c r="AX197" s="68">
        <f t="shared" si="2"/>
        <v>0</v>
      </c>
    </row>
    <row r="198" spans="2:50" x14ac:dyDescent="0.2">
      <c r="B198" s="8"/>
      <c r="C198" s="21">
        <v>42570</v>
      </c>
      <c r="D198" s="76" t="s">
        <v>12</v>
      </c>
      <c r="E198" s="31"/>
      <c r="F198" s="31"/>
      <c r="G198" s="31"/>
      <c r="H198" s="31"/>
      <c r="I198" s="31"/>
      <c r="J198" s="37"/>
      <c r="K198" s="37"/>
      <c r="L198" s="37">
        <v>0</v>
      </c>
      <c r="M198" s="37">
        <v>25</v>
      </c>
      <c r="N198" s="37"/>
      <c r="O198" s="37"/>
      <c r="P198" s="34"/>
      <c r="Q198" s="34"/>
      <c r="R198" s="34"/>
      <c r="S198" s="37"/>
      <c r="T198" s="37"/>
      <c r="U198" s="48"/>
      <c r="V198" s="37"/>
      <c r="W198" s="37"/>
      <c r="X198" s="37"/>
      <c r="Y198" s="37"/>
      <c r="Z198" s="37">
        <v>8.3699999999999992</v>
      </c>
      <c r="AA198" s="37"/>
      <c r="AB198" s="37"/>
      <c r="AC198" s="37"/>
      <c r="AD198" s="37"/>
      <c r="AE198" s="37"/>
      <c r="AF198" s="37"/>
      <c r="AG198" s="34"/>
      <c r="AH198" s="34"/>
      <c r="AI198" s="52">
        <v>930</v>
      </c>
      <c r="AJ198" s="52">
        <v>680</v>
      </c>
      <c r="AK198" s="37"/>
      <c r="AL198" s="34"/>
      <c r="AM198" s="37">
        <v>10</v>
      </c>
      <c r="AN198" s="37">
        <v>10</v>
      </c>
      <c r="AO198" s="37">
        <v>20</v>
      </c>
      <c r="AP198" s="37">
        <f>407.2/1000</f>
        <v>0.40720000000000001</v>
      </c>
      <c r="AQ198" s="37">
        <f>32.1/1000</f>
        <v>3.2100000000000004E-2</v>
      </c>
      <c r="AR198" s="37"/>
      <c r="AS198" s="37">
        <v>50</v>
      </c>
      <c r="AT198" s="37">
        <v>50</v>
      </c>
      <c r="AU198" s="37"/>
      <c r="AV198" s="37"/>
      <c r="AW198" s="37">
        <f>46.2/1000</f>
        <v>4.6200000000000005E-2</v>
      </c>
      <c r="AX198" s="68">
        <f t="shared" si="2"/>
        <v>0</v>
      </c>
    </row>
    <row r="199" spans="2:50" x14ac:dyDescent="0.2">
      <c r="B199" s="8"/>
      <c r="C199" s="21">
        <v>42570</v>
      </c>
      <c r="D199" s="77" t="s">
        <v>13</v>
      </c>
      <c r="E199" s="31"/>
      <c r="F199" s="31"/>
      <c r="G199" s="31"/>
      <c r="H199" s="31"/>
      <c r="I199" s="31"/>
      <c r="J199" s="37"/>
      <c r="K199" s="37"/>
      <c r="L199" s="37">
        <v>0</v>
      </c>
      <c r="M199" s="37">
        <v>27</v>
      </c>
      <c r="N199" s="37"/>
      <c r="O199" s="37"/>
      <c r="P199" s="34"/>
      <c r="Q199" s="34"/>
      <c r="R199" s="34"/>
      <c r="S199" s="37"/>
      <c r="T199" s="37"/>
      <c r="U199" s="48"/>
      <c r="V199" s="37"/>
      <c r="W199" s="37"/>
      <c r="X199" s="37"/>
      <c r="Y199" s="37"/>
      <c r="Z199" s="37">
        <v>8.31</v>
      </c>
      <c r="AA199" s="37"/>
      <c r="AB199" s="37"/>
      <c r="AC199" s="37"/>
      <c r="AD199" s="37"/>
      <c r="AE199" s="37"/>
      <c r="AF199" s="37"/>
      <c r="AG199" s="34"/>
      <c r="AH199" s="34"/>
      <c r="AI199" s="52">
        <v>450</v>
      </c>
      <c r="AJ199" s="52">
        <v>450</v>
      </c>
      <c r="AK199" s="37"/>
      <c r="AL199" s="34"/>
      <c r="AM199" s="37">
        <v>10</v>
      </c>
      <c r="AN199" s="37">
        <v>10</v>
      </c>
      <c r="AO199" s="37">
        <v>20</v>
      </c>
      <c r="AP199" s="37">
        <f>403.8/1000</f>
        <v>0.40379999999999999</v>
      </c>
      <c r="AQ199" s="37">
        <f>35.1/1000</f>
        <v>3.5099999999999999E-2</v>
      </c>
      <c r="AR199" s="37"/>
      <c r="AS199" s="37">
        <v>50</v>
      </c>
      <c r="AT199" s="37">
        <v>50</v>
      </c>
      <c r="AU199" s="37"/>
      <c r="AV199" s="37"/>
      <c r="AW199" s="37">
        <f>30.2/1000</f>
        <v>3.0199999999999998E-2</v>
      </c>
      <c r="AX199" s="68">
        <f t="shared" si="2"/>
        <v>0</v>
      </c>
    </row>
    <row r="200" spans="2:50" x14ac:dyDescent="0.2">
      <c r="B200" s="8"/>
      <c r="C200" s="21">
        <v>42570</v>
      </c>
      <c r="D200" s="78" t="s">
        <v>14</v>
      </c>
      <c r="E200" s="31"/>
      <c r="F200" s="31"/>
      <c r="G200" s="31"/>
      <c r="H200" s="31"/>
      <c r="I200" s="31"/>
      <c r="J200" s="37"/>
      <c r="K200" s="37"/>
      <c r="L200" s="37">
        <v>0</v>
      </c>
      <c r="M200" s="37">
        <v>25</v>
      </c>
      <c r="N200" s="37"/>
      <c r="O200" s="37"/>
      <c r="P200" s="34"/>
      <c r="Q200" s="34"/>
      <c r="R200" s="34"/>
      <c r="S200" s="37"/>
      <c r="T200" s="37"/>
      <c r="U200" s="48"/>
      <c r="V200" s="37"/>
      <c r="W200" s="37"/>
      <c r="X200" s="37"/>
      <c r="Y200" s="37"/>
      <c r="Z200" s="37">
        <v>7.57</v>
      </c>
      <c r="AA200" s="37"/>
      <c r="AB200" s="37"/>
      <c r="AC200" s="37"/>
      <c r="AD200" s="37"/>
      <c r="AE200" s="37"/>
      <c r="AF200" s="37"/>
      <c r="AG200" s="34"/>
      <c r="AH200" s="34"/>
      <c r="AI200" s="52">
        <v>330</v>
      </c>
      <c r="AJ200" s="52">
        <v>330</v>
      </c>
      <c r="AK200" s="37"/>
      <c r="AL200" s="34"/>
      <c r="AM200" s="37">
        <v>10</v>
      </c>
      <c r="AN200" s="37">
        <v>10</v>
      </c>
      <c r="AO200" s="37">
        <v>20</v>
      </c>
      <c r="AP200" s="37">
        <f>80.1/1000</f>
        <v>8.0099999999999991E-2</v>
      </c>
      <c r="AQ200" s="37">
        <f>27.9/1000</f>
        <v>2.7899999999999998E-2</v>
      </c>
      <c r="AR200" s="37"/>
      <c r="AS200" s="37">
        <v>50</v>
      </c>
      <c r="AT200" s="37">
        <v>50</v>
      </c>
      <c r="AU200" s="37"/>
      <c r="AV200" s="37"/>
      <c r="AW200" s="37">
        <f>20.1/1000</f>
        <v>2.01E-2</v>
      </c>
      <c r="AX200" s="68">
        <f t="shared" si="2"/>
        <v>0</v>
      </c>
    </row>
    <row r="201" spans="2:50" x14ac:dyDescent="0.2">
      <c r="B201" s="10"/>
      <c r="C201" s="21">
        <v>42654</v>
      </c>
      <c r="D201" s="27" t="s">
        <v>9</v>
      </c>
      <c r="E201" s="31"/>
      <c r="F201" s="31"/>
      <c r="G201" s="31"/>
      <c r="H201" s="31"/>
      <c r="I201" s="31"/>
      <c r="J201" s="37">
        <v>1</v>
      </c>
      <c r="K201" s="37"/>
      <c r="L201" s="37">
        <v>1.1000000000000001</v>
      </c>
      <c r="M201" s="37">
        <v>53</v>
      </c>
      <c r="N201" s="37"/>
      <c r="O201" s="37"/>
      <c r="P201" s="34"/>
      <c r="Q201" s="34"/>
      <c r="R201" s="34"/>
      <c r="S201" s="37">
        <v>0.1</v>
      </c>
      <c r="T201" s="37">
        <v>1.0900000000000001</v>
      </c>
      <c r="U201" s="48">
        <v>6.0000000000000001E-3</v>
      </c>
      <c r="V201" s="37"/>
      <c r="W201" s="37"/>
      <c r="X201" s="37"/>
      <c r="Y201" s="37"/>
      <c r="Z201" s="37">
        <v>8.39</v>
      </c>
      <c r="AA201" s="37"/>
      <c r="AB201" s="37">
        <v>6</v>
      </c>
      <c r="AC201" s="37">
        <v>393</v>
      </c>
      <c r="AD201" s="37"/>
      <c r="AE201" s="37">
        <v>3.2</v>
      </c>
      <c r="AF201" s="37"/>
      <c r="AG201" s="34"/>
      <c r="AH201" s="34"/>
      <c r="AI201" s="52">
        <v>1700</v>
      </c>
      <c r="AJ201" s="52">
        <v>1100</v>
      </c>
      <c r="AK201" s="37">
        <v>1634.6</v>
      </c>
      <c r="AL201" s="34"/>
      <c r="AM201" s="37">
        <v>10</v>
      </c>
      <c r="AN201" s="37">
        <v>12.3</v>
      </c>
      <c r="AO201" s="37">
        <v>20</v>
      </c>
      <c r="AP201" s="37">
        <f>1586.2/1000</f>
        <v>1.5862000000000001</v>
      </c>
      <c r="AQ201" s="37">
        <f>53.2/1000</f>
        <v>5.3200000000000004E-2</v>
      </c>
      <c r="AR201" s="37"/>
      <c r="AS201" s="37">
        <v>50</v>
      </c>
      <c r="AT201" s="37">
        <v>50</v>
      </c>
      <c r="AU201" s="37"/>
      <c r="AV201" s="37"/>
      <c r="AW201" s="37">
        <f>22.2/1000</f>
        <v>2.2200000000000001E-2</v>
      </c>
      <c r="AX201" s="68">
        <f t="shared" si="2"/>
        <v>2.0754716981132078E-2</v>
      </c>
    </row>
    <row r="202" spans="2:50" x14ac:dyDescent="0.2">
      <c r="B202" s="9"/>
      <c r="C202" s="21">
        <v>42654</v>
      </c>
      <c r="D202" s="74" t="s">
        <v>10</v>
      </c>
      <c r="E202" s="31"/>
      <c r="F202" s="31"/>
      <c r="G202" s="31"/>
      <c r="H202" s="31"/>
      <c r="I202" s="31"/>
      <c r="J202" s="37">
        <v>1</v>
      </c>
      <c r="K202" s="37"/>
      <c r="L202" s="37">
        <v>1.35</v>
      </c>
      <c r="M202" s="37">
        <v>45</v>
      </c>
      <c r="N202" s="37"/>
      <c r="O202" s="37"/>
      <c r="P202" s="34"/>
      <c r="Q202" s="34"/>
      <c r="R202" s="34"/>
      <c r="S202" s="37">
        <v>0.1</v>
      </c>
      <c r="T202" s="37">
        <v>7.0000000000000007E-2</v>
      </c>
      <c r="U202" s="48">
        <v>6.0000000000000001E-3</v>
      </c>
      <c r="V202" s="37"/>
      <c r="W202" s="37"/>
      <c r="X202" s="37"/>
      <c r="Y202" s="37"/>
      <c r="Z202" s="37">
        <v>8.3000000000000007</v>
      </c>
      <c r="AA202" s="37"/>
      <c r="AB202" s="37">
        <v>6</v>
      </c>
      <c r="AC202" s="37">
        <v>381</v>
      </c>
      <c r="AD202" s="37"/>
      <c r="AE202" s="37">
        <v>11.9</v>
      </c>
      <c r="AF202" s="37"/>
      <c r="AG202" s="34"/>
      <c r="AH202" s="34"/>
      <c r="AI202" s="52">
        <v>2300</v>
      </c>
      <c r="AJ202" s="52">
        <v>2300</v>
      </c>
      <c r="AK202" s="37">
        <v>1217.7</v>
      </c>
      <c r="AL202" s="34"/>
      <c r="AM202" s="37">
        <v>10</v>
      </c>
      <c r="AN202" s="37">
        <v>10.1</v>
      </c>
      <c r="AO202" s="37">
        <v>20</v>
      </c>
      <c r="AP202" s="37">
        <f>1284.8/1000</f>
        <v>1.2847999999999999</v>
      </c>
      <c r="AQ202" s="37">
        <f>92.6/1000</f>
        <v>9.2599999999999988E-2</v>
      </c>
      <c r="AR202" s="37"/>
      <c r="AS202" s="37">
        <v>50</v>
      </c>
      <c r="AT202" s="37">
        <v>50</v>
      </c>
      <c r="AU202" s="37"/>
      <c r="AV202" s="37"/>
      <c r="AW202" s="37">
        <f>20/1000</f>
        <v>0.02</v>
      </c>
      <c r="AX202" s="68">
        <f t="shared" si="2"/>
        <v>3.0000000000000002E-2</v>
      </c>
    </row>
    <row r="203" spans="2:50" x14ac:dyDescent="0.2">
      <c r="B203" s="8"/>
      <c r="C203" s="21">
        <v>42654</v>
      </c>
      <c r="D203" s="75" t="s">
        <v>11</v>
      </c>
      <c r="E203" s="31"/>
      <c r="F203" s="31"/>
      <c r="G203" s="31"/>
      <c r="H203" s="31"/>
      <c r="I203" s="31"/>
      <c r="J203" s="37">
        <v>1</v>
      </c>
      <c r="K203" s="37"/>
      <c r="L203" s="37">
        <v>1.2</v>
      </c>
      <c r="M203" s="37">
        <v>21</v>
      </c>
      <c r="N203" s="37"/>
      <c r="O203" s="37"/>
      <c r="P203" s="34"/>
      <c r="Q203" s="34"/>
      <c r="R203" s="34"/>
      <c r="S203" s="37">
        <v>0.17</v>
      </c>
      <c r="T203" s="37">
        <v>0.02</v>
      </c>
      <c r="U203" s="48">
        <v>3.0000000000000001E-3</v>
      </c>
      <c r="V203" s="37"/>
      <c r="W203" s="37"/>
      <c r="X203" s="37"/>
      <c r="Y203" s="37"/>
      <c r="Z203" s="37">
        <v>8.3800000000000008</v>
      </c>
      <c r="AA203" s="37"/>
      <c r="AB203" s="37">
        <v>6</v>
      </c>
      <c r="AC203" s="37">
        <v>376</v>
      </c>
      <c r="AD203" s="37"/>
      <c r="AE203" s="37">
        <v>14.8</v>
      </c>
      <c r="AF203" s="37"/>
      <c r="AG203" s="34"/>
      <c r="AH203" s="34"/>
      <c r="AI203" s="52">
        <v>2200</v>
      </c>
      <c r="AJ203" s="52">
        <v>400</v>
      </c>
      <c r="AK203" s="37">
        <v>1195.7</v>
      </c>
      <c r="AL203" s="34"/>
      <c r="AM203" s="37">
        <v>10</v>
      </c>
      <c r="AN203" s="37">
        <v>10</v>
      </c>
      <c r="AO203" s="37">
        <v>20</v>
      </c>
      <c r="AP203" s="37">
        <f>1181.4/1000</f>
        <v>1.1814</v>
      </c>
      <c r="AQ203" s="37">
        <f>73/1000</f>
        <v>7.2999999999999995E-2</v>
      </c>
      <c r="AR203" s="37"/>
      <c r="AS203" s="37">
        <v>50</v>
      </c>
      <c r="AT203" s="37">
        <v>50</v>
      </c>
      <c r="AU203" s="37"/>
      <c r="AV203" s="37"/>
      <c r="AW203" s="37">
        <f>20/1000</f>
        <v>0.02</v>
      </c>
      <c r="AX203" s="68">
        <f t="shared" si="2"/>
        <v>5.7142857142857141E-2</v>
      </c>
    </row>
    <row r="204" spans="2:50" x14ac:dyDescent="0.2">
      <c r="B204" s="8"/>
      <c r="C204" s="21">
        <v>42654</v>
      </c>
      <c r="D204" s="76" t="s">
        <v>12</v>
      </c>
      <c r="E204" s="31"/>
      <c r="F204" s="31"/>
      <c r="G204" s="31"/>
      <c r="H204" s="31"/>
      <c r="I204" s="31"/>
      <c r="J204" s="37">
        <v>1</v>
      </c>
      <c r="K204" s="37"/>
      <c r="L204" s="37">
        <v>1</v>
      </c>
      <c r="M204" s="37">
        <v>29</v>
      </c>
      <c r="N204" s="37"/>
      <c r="O204" s="37"/>
      <c r="P204" s="34"/>
      <c r="Q204" s="34"/>
      <c r="R204" s="34"/>
      <c r="S204" s="37">
        <v>0.1</v>
      </c>
      <c r="T204" s="37">
        <v>0.03</v>
      </c>
      <c r="U204" s="48">
        <v>0.01</v>
      </c>
      <c r="V204" s="37"/>
      <c r="W204" s="37"/>
      <c r="X204" s="37"/>
      <c r="Y204" s="37"/>
      <c r="Z204" s="37">
        <v>8.4</v>
      </c>
      <c r="AA204" s="37"/>
      <c r="AB204" s="37">
        <v>6</v>
      </c>
      <c r="AC204" s="37">
        <v>387</v>
      </c>
      <c r="AD204" s="37"/>
      <c r="AE204" s="37">
        <v>7.6</v>
      </c>
      <c r="AF204" s="37"/>
      <c r="AG204" s="34"/>
      <c r="AH204" s="34"/>
      <c r="AI204" s="52">
        <v>1300</v>
      </c>
      <c r="AJ204" s="52">
        <v>1300</v>
      </c>
      <c r="AK204" s="37">
        <v>921.7</v>
      </c>
      <c r="AL204" s="34"/>
      <c r="AM204" s="37">
        <v>10</v>
      </c>
      <c r="AN204" s="37">
        <v>10</v>
      </c>
      <c r="AO204" s="37">
        <v>20</v>
      </c>
      <c r="AP204" s="37">
        <f>880.1/1000</f>
        <v>0.88009999999999999</v>
      </c>
      <c r="AQ204" s="37">
        <f>54.45/1000</f>
        <v>5.4450000000000005E-2</v>
      </c>
      <c r="AR204" s="37"/>
      <c r="AS204" s="37">
        <v>50</v>
      </c>
      <c r="AT204" s="37">
        <v>50</v>
      </c>
      <c r="AU204" s="37"/>
      <c r="AV204" s="37"/>
      <c r="AW204" s="37">
        <f>20/1000</f>
        <v>0.02</v>
      </c>
      <c r="AX204" s="68">
        <f t="shared" si="2"/>
        <v>3.4482758620689655E-2</v>
      </c>
    </row>
    <row r="205" spans="2:50" x14ac:dyDescent="0.2">
      <c r="B205" s="8"/>
      <c r="C205" s="21">
        <v>42654</v>
      </c>
      <c r="D205" s="77" t="s">
        <v>13</v>
      </c>
      <c r="E205" s="31"/>
      <c r="F205" s="31"/>
      <c r="G205" s="31"/>
      <c r="H205" s="31"/>
      <c r="I205" s="31"/>
      <c r="J205" s="37">
        <v>1</v>
      </c>
      <c r="K205" s="37"/>
      <c r="L205" s="37">
        <v>1.4</v>
      </c>
      <c r="M205" s="37">
        <v>27</v>
      </c>
      <c r="N205" s="37"/>
      <c r="O205" s="37"/>
      <c r="P205" s="34"/>
      <c r="Q205" s="34"/>
      <c r="R205" s="34"/>
      <c r="S205" s="37">
        <v>0.1</v>
      </c>
      <c r="T205" s="37">
        <v>2.4E-2</v>
      </c>
      <c r="U205" s="48">
        <v>1.6E-2</v>
      </c>
      <c r="V205" s="37"/>
      <c r="W205" s="37"/>
      <c r="X205" s="37"/>
      <c r="Y205" s="37"/>
      <c r="Z205" s="37">
        <v>8.3000000000000007</v>
      </c>
      <c r="AA205" s="37"/>
      <c r="AB205" s="37">
        <v>6</v>
      </c>
      <c r="AC205" s="37">
        <v>382</v>
      </c>
      <c r="AD205" s="37"/>
      <c r="AE205" s="37">
        <v>9.1999999999999993</v>
      </c>
      <c r="AF205" s="37"/>
      <c r="AG205" s="34"/>
      <c r="AH205" s="34"/>
      <c r="AI205" s="52">
        <v>7900</v>
      </c>
      <c r="AJ205" s="52">
        <v>1700</v>
      </c>
      <c r="AK205" s="37">
        <v>1675.3</v>
      </c>
      <c r="AL205" s="34"/>
      <c r="AM205" s="37">
        <v>10</v>
      </c>
      <c r="AN205" s="37">
        <v>10.4</v>
      </c>
      <c r="AO205" s="37">
        <v>20</v>
      </c>
      <c r="AP205" s="37">
        <f>1471.8/1000</f>
        <v>1.4718</v>
      </c>
      <c r="AQ205" s="37">
        <f>92.6/1000</f>
        <v>9.2599999999999988E-2</v>
      </c>
      <c r="AR205" s="37"/>
      <c r="AS205" s="37">
        <v>50</v>
      </c>
      <c r="AT205" s="37">
        <v>50</v>
      </c>
      <c r="AU205" s="37"/>
      <c r="AV205" s="37"/>
      <c r="AW205" s="37">
        <f>20/1000</f>
        <v>0.02</v>
      </c>
      <c r="AX205" s="68">
        <f t="shared" ref="AX205:AX268" si="3">+L205/M205</f>
        <v>5.185185185185185E-2</v>
      </c>
    </row>
    <row r="206" spans="2:50" x14ac:dyDescent="0.2">
      <c r="B206" s="8"/>
      <c r="C206" s="21">
        <v>42654</v>
      </c>
      <c r="D206" s="78" t="s">
        <v>14</v>
      </c>
      <c r="E206" s="31"/>
      <c r="F206" s="31"/>
      <c r="G206" s="31"/>
      <c r="H206" s="31"/>
      <c r="I206" s="31"/>
      <c r="J206" s="37">
        <v>1</v>
      </c>
      <c r="K206" s="37"/>
      <c r="L206" s="37">
        <v>0.33</v>
      </c>
      <c r="M206" s="37">
        <v>46</v>
      </c>
      <c r="N206" s="37"/>
      <c r="O206" s="37"/>
      <c r="P206" s="34"/>
      <c r="Q206" s="34"/>
      <c r="R206" s="34"/>
      <c r="S206" s="37">
        <v>0.1</v>
      </c>
      <c r="T206" s="37">
        <v>2.4E-2</v>
      </c>
      <c r="U206" s="48">
        <v>6.0000000000000001E-3</v>
      </c>
      <c r="V206" s="37"/>
      <c r="W206" s="37"/>
      <c r="X206" s="37"/>
      <c r="Y206" s="37"/>
      <c r="Z206" s="37">
        <v>7.67</v>
      </c>
      <c r="AA206" s="37"/>
      <c r="AB206" s="37">
        <v>6</v>
      </c>
      <c r="AC206" s="37">
        <v>556</v>
      </c>
      <c r="AD206" s="37"/>
      <c r="AE206" s="37">
        <v>4.8</v>
      </c>
      <c r="AF206" s="37"/>
      <c r="AG206" s="34"/>
      <c r="AH206" s="34"/>
      <c r="AI206" s="52">
        <v>130</v>
      </c>
      <c r="AJ206" s="52">
        <v>79</v>
      </c>
      <c r="AK206" s="37">
        <v>377</v>
      </c>
      <c r="AL206" s="34"/>
      <c r="AM206" s="37">
        <v>10</v>
      </c>
      <c r="AN206" s="37">
        <v>10</v>
      </c>
      <c r="AO206" s="37">
        <v>20</v>
      </c>
      <c r="AP206" s="37">
        <f>393.4/1000</f>
        <v>0.39339999999999997</v>
      </c>
      <c r="AQ206" s="37">
        <f>53.7/1000</f>
        <v>5.3700000000000005E-2</v>
      </c>
      <c r="AR206" s="37"/>
      <c r="AS206" s="37">
        <v>50</v>
      </c>
      <c r="AT206" s="37">
        <v>50</v>
      </c>
      <c r="AU206" s="37"/>
      <c r="AV206" s="37"/>
      <c r="AW206" s="31">
        <f>26/1000</f>
        <v>2.5999999999999999E-2</v>
      </c>
      <c r="AX206" s="68">
        <f t="shared" si="3"/>
        <v>7.1739130434782614E-3</v>
      </c>
    </row>
    <row r="207" spans="2:50" x14ac:dyDescent="0.2">
      <c r="B207" s="10">
        <v>2017</v>
      </c>
      <c r="C207" s="21">
        <v>42745</v>
      </c>
      <c r="D207" s="27" t="s">
        <v>9</v>
      </c>
      <c r="E207" s="31"/>
      <c r="F207" s="31"/>
      <c r="G207" s="31"/>
      <c r="H207" s="31"/>
      <c r="I207" s="31"/>
      <c r="J207" s="37"/>
      <c r="K207" s="37"/>
      <c r="L207" s="37">
        <v>2.5499999999999998</v>
      </c>
      <c r="M207" s="37">
        <v>78</v>
      </c>
      <c r="N207" s="37"/>
      <c r="O207" s="37"/>
      <c r="P207" s="34"/>
      <c r="Q207" s="34"/>
      <c r="R207" s="34"/>
      <c r="S207" s="37"/>
      <c r="T207" s="37"/>
      <c r="U207" s="48"/>
      <c r="V207" s="37"/>
      <c r="W207" s="37"/>
      <c r="X207" s="37"/>
      <c r="Y207" s="37"/>
      <c r="Z207" s="37">
        <v>7.75</v>
      </c>
      <c r="AA207" s="37"/>
      <c r="AB207" s="37"/>
      <c r="AC207" s="37"/>
      <c r="AD207" s="37"/>
      <c r="AE207" s="37"/>
      <c r="AF207" s="37"/>
      <c r="AG207" s="34"/>
      <c r="AH207" s="34"/>
      <c r="AI207" s="52">
        <v>33000</v>
      </c>
      <c r="AJ207" s="52">
        <v>13000</v>
      </c>
      <c r="AK207" s="37">
        <v>6098.4</v>
      </c>
      <c r="AL207" s="34"/>
      <c r="AM207" s="37">
        <v>10</v>
      </c>
      <c r="AN207" s="37">
        <v>12.9</v>
      </c>
      <c r="AO207" s="37">
        <v>20</v>
      </c>
      <c r="AP207" s="70">
        <v>6.6769999999999996</v>
      </c>
      <c r="AQ207" s="37">
        <f>353.3/1000</f>
        <v>0.3533</v>
      </c>
      <c r="AR207" s="37"/>
      <c r="AS207" s="37">
        <v>50</v>
      </c>
      <c r="AT207" s="37">
        <v>50</v>
      </c>
      <c r="AU207" s="37"/>
      <c r="AV207" s="37"/>
      <c r="AW207" s="37">
        <f>28.2/1000</f>
        <v>2.8199999999999999E-2</v>
      </c>
      <c r="AX207" s="68">
        <f t="shared" si="3"/>
        <v>3.2692307692307687E-2</v>
      </c>
    </row>
    <row r="208" spans="2:50" x14ac:dyDescent="0.2">
      <c r="B208" s="9"/>
      <c r="C208" s="21">
        <v>42745</v>
      </c>
      <c r="D208" s="74" t="s">
        <v>10</v>
      </c>
      <c r="E208" s="31"/>
      <c r="F208" s="31"/>
      <c r="G208" s="31"/>
      <c r="H208" s="31"/>
      <c r="I208" s="31"/>
      <c r="J208" s="37"/>
      <c r="K208" s="37"/>
      <c r="L208" s="37">
        <v>2.6</v>
      </c>
      <c r="M208" s="37">
        <v>50</v>
      </c>
      <c r="N208" s="37"/>
      <c r="O208" s="37"/>
      <c r="P208" s="34"/>
      <c r="Q208" s="34"/>
      <c r="R208" s="34"/>
      <c r="S208" s="37"/>
      <c r="T208" s="37"/>
      <c r="U208" s="48"/>
      <c r="V208" s="37"/>
      <c r="W208" s="37"/>
      <c r="X208" s="37"/>
      <c r="Y208" s="37"/>
      <c r="Z208" s="37">
        <v>7.71</v>
      </c>
      <c r="AA208" s="37"/>
      <c r="AB208" s="37"/>
      <c r="AC208" s="37"/>
      <c r="AD208" s="37"/>
      <c r="AE208" s="37"/>
      <c r="AF208" s="37"/>
      <c r="AG208" s="34"/>
      <c r="AH208" s="34"/>
      <c r="AI208" s="52">
        <v>110000</v>
      </c>
      <c r="AJ208" s="52">
        <v>110000</v>
      </c>
      <c r="AK208" s="37">
        <v>7269.9</v>
      </c>
      <c r="AL208" s="34"/>
      <c r="AM208" s="37">
        <v>10</v>
      </c>
      <c r="AN208" s="37">
        <v>13.2</v>
      </c>
      <c r="AO208" s="37">
        <v>20</v>
      </c>
      <c r="AP208" s="37">
        <f>8123.5/1000</f>
        <v>8.1234999999999999</v>
      </c>
      <c r="AQ208" s="37">
        <f>342.3/1000</f>
        <v>0.34229999999999999</v>
      </c>
      <c r="AR208" s="37"/>
      <c r="AS208" s="37">
        <v>50</v>
      </c>
      <c r="AT208" s="37">
        <v>50</v>
      </c>
      <c r="AU208" s="37"/>
      <c r="AV208" s="37"/>
      <c r="AW208" s="37">
        <v>2.7E-2</v>
      </c>
      <c r="AX208" s="68">
        <f t="shared" si="3"/>
        <v>5.2000000000000005E-2</v>
      </c>
    </row>
    <row r="209" spans="2:50" x14ac:dyDescent="0.2">
      <c r="B209" s="8"/>
      <c r="C209" s="21">
        <v>42745</v>
      </c>
      <c r="D209" s="75" t="s">
        <v>11</v>
      </c>
      <c r="E209" s="31"/>
      <c r="F209" s="31"/>
      <c r="G209" s="31"/>
      <c r="H209" s="31"/>
      <c r="I209" s="31"/>
      <c r="J209" s="37"/>
      <c r="K209" s="37"/>
      <c r="L209" s="37">
        <v>2.6</v>
      </c>
      <c r="M209" s="37">
        <v>55</v>
      </c>
      <c r="N209" s="37"/>
      <c r="O209" s="37"/>
      <c r="P209" s="34"/>
      <c r="Q209" s="34"/>
      <c r="R209" s="34"/>
      <c r="S209" s="37"/>
      <c r="T209" s="37"/>
      <c r="U209" s="48"/>
      <c r="V209" s="37"/>
      <c r="W209" s="37"/>
      <c r="X209" s="37"/>
      <c r="Y209" s="37"/>
      <c r="Z209" s="37">
        <v>7.73</v>
      </c>
      <c r="AA209" s="37"/>
      <c r="AB209" s="37"/>
      <c r="AC209" s="37"/>
      <c r="AD209" s="37"/>
      <c r="AE209" s="37"/>
      <c r="AF209" s="37"/>
      <c r="AG209" s="34"/>
      <c r="AH209" s="34"/>
      <c r="AI209" s="52">
        <v>110000</v>
      </c>
      <c r="AJ209" s="52">
        <v>70000</v>
      </c>
      <c r="AK209" s="37">
        <v>9938.5</v>
      </c>
      <c r="AL209" s="34"/>
      <c r="AM209" s="37">
        <v>10</v>
      </c>
      <c r="AN209" s="37">
        <v>15.3</v>
      </c>
      <c r="AO209" s="37">
        <v>20</v>
      </c>
      <c r="AP209" s="70">
        <v>10.813000000000001</v>
      </c>
      <c r="AQ209" s="37">
        <f>352.7/1000</f>
        <v>0.35270000000000001</v>
      </c>
      <c r="AR209" s="37"/>
      <c r="AS209" s="37">
        <v>50</v>
      </c>
      <c r="AT209" s="37">
        <v>50</v>
      </c>
      <c r="AU209" s="37"/>
      <c r="AV209" s="37"/>
      <c r="AW209" s="37">
        <f>40.2/1000</f>
        <v>4.02E-2</v>
      </c>
      <c r="AX209" s="68">
        <f t="shared" si="3"/>
        <v>4.7272727272727272E-2</v>
      </c>
    </row>
    <row r="210" spans="2:50" x14ac:dyDescent="0.2">
      <c r="B210" s="8"/>
      <c r="C210" s="21">
        <v>42745</v>
      </c>
      <c r="D210" s="76" t="s">
        <v>12</v>
      </c>
      <c r="E210" s="31"/>
      <c r="F210" s="31"/>
      <c r="G210" s="31"/>
      <c r="H210" s="31"/>
      <c r="I210" s="31"/>
      <c r="J210" s="37"/>
      <c r="K210" s="37"/>
      <c r="L210" s="37">
        <v>2.8</v>
      </c>
      <c r="M210" s="37">
        <v>59</v>
      </c>
      <c r="N210" s="37"/>
      <c r="O210" s="37"/>
      <c r="P210" s="34"/>
      <c r="Q210" s="34"/>
      <c r="R210" s="34"/>
      <c r="S210" s="37"/>
      <c r="T210" s="37"/>
      <c r="U210" s="48"/>
      <c r="V210" s="37"/>
      <c r="W210" s="37"/>
      <c r="X210" s="37"/>
      <c r="Y210" s="37"/>
      <c r="Z210" s="37">
        <v>7.77</v>
      </c>
      <c r="AA210" s="37"/>
      <c r="AB210" s="37"/>
      <c r="AC210" s="37"/>
      <c r="AD210" s="37"/>
      <c r="AE210" s="37"/>
      <c r="AF210" s="37"/>
      <c r="AG210" s="34"/>
      <c r="AH210" s="34"/>
      <c r="AI210" s="52">
        <v>110000</v>
      </c>
      <c r="AJ210" s="52">
        <v>33000</v>
      </c>
      <c r="AK210" s="37">
        <v>9901.1</v>
      </c>
      <c r="AL210" s="34"/>
      <c r="AM210" s="37">
        <v>10</v>
      </c>
      <c r="AN210" s="37">
        <v>17.2</v>
      </c>
      <c r="AO210" s="37">
        <v>20</v>
      </c>
      <c r="AP210" s="70">
        <v>11.308</v>
      </c>
      <c r="AQ210" s="37">
        <f>436.5/1000</f>
        <v>0.4365</v>
      </c>
      <c r="AR210" s="37"/>
      <c r="AS210" s="37">
        <v>50</v>
      </c>
      <c r="AT210" s="37">
        <v>50</v>
      </c>
      <c r="AU210" s="37"/>
      <c r="AV210" s="37"/>
      <c r="AW210" s="37">
        <f>57.8/1000</f>
        <v>5.7799999999999997E-2</v>
      </c>
      <c r="AX210" s="68">
        <f t="shared" si="3"/>
        <v>4.7457627118644062E-2</v>
      </c>
    </row>
    <row r="211" spans="2:50" x14ac:dyDescent="0.2">
      <c r="B211" s="8"/>
      <c r="C211" s="21">
        <v>42745</v>
      </c>
      <c r="D211" s="77" t="s">
        <v>13</v>
      </c>
      <c r="E211" s="31"/>
      <c r="F211" s="31"/>
      <c r="G211" s="31"/>
      <c r="H211" s="31"/>
      <c r="I211" s="31"/>
      <c r="J211" s="37"/>
      <c r="K211" s="37"/>
      <c r="L211" s="37">
        <v>2.5499999999999998</v>
      </c>
      <c r="M211" s="37">
        <v>31</v>
      </c>
      <c r="N211" s="37"/>
      <c r="O211" s="37"/>
      <c r="P211" s="34"/>
      <c r="Q211" s="34"/>
      <c r="R211" s="34"/>
      <c r="S211" s="37"/>
      <c r="T211" s="37"/>
      <c r="U211" s="48"/>
      <c r="V211" s="37"/>
      <c r="W211" s="37"/>
      <c r="X211" s="37"/>
      <c r="Y211" s="37"/>
      <c r="Z211" s="37">
        <v>7.74</v>
      </c>
      <c r="AA211" s="37"/>
      <c r="AB211" s="37"/>
      <c r="AC211" s="37"/>
      <c r="AD211" s="37"/>
      <c r="AE211" s="37"/>
      <c r="AF211" s="37"/>
      <c r="AG211" s="34"/>
      <c r="AH211" s="34"/>
      <c r="AI211" s="52">
        <v>13000</v>
      </c>
      <c r="AJ211" s="52">
        <v>13000</v>
      </c>
      <c r="AK211" s="37">
        <v>7866.1</v>
      </c>
      <c r="AL211" s="34"/>
      <c r="AM211" s="37">
        <v>10</v>
      </c>
      <c r="AN211" s="37">
        <v>13.5</v>
      </c>
      <c r="AO211" s="37">
        <v>20</v>
      </c>
      <c r="AP211" s="37">
        <f>8675.7/1000</f>
        <v>8.6757000000000009</v>
      </c>
      <c r="AQ211" s="37">
        <f>342.1/1000</f>
        <v>0.34210000000000002</v>
      </c>
      <c r="AR211" s="37"/>
      <c r="AS211" s="37">
        <v>50</v>
      </c>
      <c r="AT211" s="37">
        <v>50</v>
      </c>
      <c r="AU211" s="37"/>
      <c r="AV211" s="37"/>
      <c r="AW211" s="37">
        <f>33.8/1000</f>
        <v>3.3799999999999997E-2</v>
      </c>
      <c r="AX211" s="68">
        <f t="shared" si="3"/>
        <v>8.225806451612902E-2</v>
      </c>
    </row>
    <row r="212" spans="2:50" x14ac:dyDescent="0.2">
      <c r="B212" s="8"/>
      <c r="C212" s="21">
        <v>42745</v>
      </c>
      <c r="D212" s="78" t="s">
        <v>14</v>
      </c>
      <c r="E212" s="31"/>
      <c r="F212" s="31"/>
      <c r="G212" s="31"/>
      <c r="H212" s="31"/>
      <c r="I212" s="31"/>
      <c r="J212" s="37"/>
      <c r="K212" s="37"/>
      <c r="L212" s="37">
        <v>0.4</v>
      </c>
      <c r="M212" s="37">
        <v>25</v>
      </c>
      <c r="N212" s="37"/>
      <c r="O212" s="37"/>
      <c r="P212" s="34"/>
      <c r="Q212" s="34"/>
      <c r="R212" s="34"/>
      <c r="S212" s="37"/>
      <c r="T212" s="37"/>
      <c r="U212" s="48"/>
      <c r="V212" s="37"/>
      <c r="W212" s="37"/>
      <c r="X212" s="37"/>
      <c r="Y212" s="37"/>
      <c r="Z212" s="37">
        <v>8.0299999999999994</v>
      </c>
      <c r="AA212" s="37"/>
      <c r="AB212" s="37"/>
      <c r="AC212" s="37"/>
      <c r="AD212" s="37"/>
      <c r="AE212" s="37"/>
      <c r="AF212" s="37"/>
      <c r="AG212" s="34"/>
      <c r="AH212" s="34"/>
      <c r="AI212" s="52">
        <v>330</v>
      </c>
      <c r="AJ212" s="52">
        <v>330</v>
      </c>
      <c r="AK212" s="37">
        <v>322.60000000000002</v>
      </c>
      <c r="AL212" s="34"/>
      <c r="AM212" s="37">
        <v>10</v>
      </c>
      <c r="AN212" s="37">
        <v>10</v>
      </c>
      <c r="AO212" s="37">
        <v>20</v>
      </c>
      <c r="AP212" s="37">
        <f>403.3/1000</f>
        <v>0.40329999999999999</v>
      </c>
      <c r="AQ212" s="37">
        <f>7.4/1000</f>
        <v>7.4000000000000003E-3</v>
      </c>
      <c r="AR212" s="37"/>
      <c r="AS212" s="37">
        <v>50</v>
      </c>
      <c r="AT212" s="37">
        <v>50</v>
      </c>
      <c r="AU212" s="37"/>
      <c r="AV212" s="37"/>
      <c r="AW212" s="37">
        <f>20/1000</f>
        <v>0.02</v>
      </c>
      <c r="AX212" s="68">
        <f t="shared" si="3"/>
        <v>1.6E-2</v>
      </c>
    </row>
    <row r="213" spans="2:50" x14ac:dyDescent="0.2">
      <c r="B213" s="10"/>
      <c r="C213" s="21">
        <v>42843</v>
      </c>
      <c r="D213" s="27" t="s">
        <v>9</v>
      </c>
      <c r="E213" s="31"/>
      <c r="F213" s="31"/>
      <c r="G213" s="31"/>
      <c r="H213" s="31"/>
      <c r="I213" s="31"/>
      <c r="J213" s="31">
        <v>1</v>
      </c>
      <c r="K213" s="37"/>
      <c r="L213" s="37">
        <v>0.7</v>
      </c>
      <c r="M213" s="37">
        <v>34</v>
      </c>
      <c r="N213" s="37"/>
      <c r="O213" s="37"/>
      <c r="P213" s="34"/>
      <c r="Q213" s="34"/>
      <c r="R213" s="34"/>
      <c r="S213" s="37">
        <v>0.28999999999999998</v>
      </c>
      <c r="T213" s="37">
        <v>0.72</v>
      </c>
      <c r="U213" s="48">
        <v>0.01</v>
      </c>
      <c r="V213" s="37"/>
      <c r="W213" s="37"/>
      <c r="X213" s="37"/>
      <c r="Y213" s="37"/>
      <c r="Z213" s="37">
        <v>8.17</v>
      </c>
      <c r="AA213" s="37"/>
      <c r="AB213" s="37">
        <v>7</v>
      </c>
      <c r="AC213" s="37">
        <v>271</v>
      </c>
      <c r="AD213" s="37"/>
      <c r="AE213" s="37">
        <v>3.6</v>
      </c>
      <c r="AF213" s="37"/>
      <c r="AG213" s="34"/>
      <c r="AH213" s="34"/>
      <c r="AI213" s="52">
        <v>3500</v>
      </c>
      <c r="AJ213" s="52">
        <v>790</v>
      </c>
      <c r="AK213" s="37">
        <v>1394.8</v>
      </c>
      <c r="AL213" s="34"/>
      <c r="AM213" s="31">
        <v>10</v>
      </c>
      <c r="AN213" s="31">
        <v>10</v>
      </c>
      <c r="AO213" s="31">
        <v>20</v>
      </c>
      <c r="AP213" s="37">
        <f>1862.3/1000</f>
        <v>1.8622999999999998</v>
      </c>
      <c r="AQ213" s="37">
        <f>82/1000</f>
        <v>8.2000000000000003E-2</v>
      </c>
      <c r="AR213" s="37"/>
      <c r="AS213" s="31">
        <v>50</v>
      </c>
      <c r="AT213" s="31">
        <v>50</v>
      </c>
      <c r="AU213" s="37"/>
      <c r="AV213" s="37"/>
      <c r="AW213" s="37">
        <f>41.07/1000</f>
        <v>4.1070000000000002E-2</v>
      </c>
      <c r="AX213" s="68">
        <f t="shared" si="3"/>
        <v>2.0588235294117647E-2</v>
      </c>
    </row>
    <row r="214" spans="2:50" x14ac:dyDescent="0.2">
      <c r="B214" s="9"/>
      <c r="C214" s="22">
        <v>42843</v>
      </c>
      <c r="D214" s="74" t="s">
        <v>10</v>
      </c>
      <c r="E214" s="31"/>
      <c r="F214" s="31"/>
      <c r="G214" s="31"/>
      <c r="H214" s="31"/>
      <c r="I214" s="31"/>
      <c r="J214" s="31">
        <v>1</v>
      </c>
      <c r="K214" s="37"/>
      <c r="L214" s="37">
        <v>0.25</v>
      </c>
      <c r="M214" s="37">
        <v>31</v>
      </c>
      <c r="N214" s="37"/>
      <c r="O214" s="37"/>
      <c r="P214" s="34"/>
      <c r="Q214" s="34"/>
      <c r="R214" s="34"/>
      <c r="S214" s="37">
        <v>0.1</v>
      </c>
      <c r="T214" s="37">
        <v>0.29299999999999998</v>
      </c>
      <c r="U214" s="48">
        <v>7.0000000000000001E-3</v>
      </c>
      <c r="V214" s="37"/>
      <c r="W214" s="37"/>
      <c r="X214" s="37"/>
      <c r="Y214" s="37"/>
      <c r="Z214" s="37">
        <v>8.1199999999999992</v>
      </c>
      <c r="AA214" s="37"/>
      <c r="AB214" s="37">
        <v>10</v>
      </c>
      <c r="AC214" s="37">
        <v>271</v>
      </c>
      <c r="AD214" s="37"/>
      <c r="AE214" s="37">
        <v>2</v>
      </c>
      <c r="AF214" s="37"/>
      <c r="AG214" s="34"/>
      <c r="AH214" s="34"/>
      <c r="AI214" s="52">
        <v>490</v>
      </c>
      <c r="AJ214" s="52">
        <v>490</v>
      </c>
      <c r="AK214" s="37">
        <v>1401.4</v>
      </c>
      <c r="AL214" s="34"/>
      <c r="AM214" s="31">
        <v>10</v>
      </c>
      <c r="AN214" s="31">
        <v>10</v>
      </c>
      <c r="AO214" s="31">
        <v>20</v>
      </c>
      <c r="AP214" s="37">
        <f>1912.9/1000</f>
        <v>1.9129</v>
      </c>
      <c r="AQ214" s="37">
        <f>105.9/1000</f>
        <v>0.10590000000000001</v>
      </c>
      <c r="AR214" s="37"/>
      <c r="AS214" s="31">
        <v>50</v>
      </c>
      <c r="AT214" s="31">
        <v>50</v>
      </c>
      <c r="AU214" s="37"/>
      <c r="AV214" s="37"/>
      <c r="AW214" s="37">
        <f>20/1000</f>
        <v>0.02</v>
      </c>
      <c r="AX214" s="68">
        <f t="shared" si="3"/>
        <v>8.0645161290322578E-3</v>
      </c>
    </row>
    <row r="215" spans="2:50" x14ac:dyDescent="0.2">
      <c r="B215" s="8"/>
      <c r="C215" s="22">
        <v>42843</v>
      </c>
      <c r="D215" s="75" t="s">
        <v>11</v>
      </c>
      <c r="E215" s="31"/>
      <c r="F215" s="31"/>
      <c r="G215" s="31"/>
      <c r="H215" s="31"/>
      <c r="I215" s="31"/>
      <c r="J215" s="31">
        <v>1</v>
      </c>
      <c r="K215" s="37"/>
      <c r="L215" s="37">
        <v>0.4</v>
      </c>
      <c r="M215" s="37">
        <v>31</v>
      </c>
      <c r="N215" s="37"/>
      <c r="O215" s="37"/>
      <c r="P215" s="34"/>
      <c r="Q215" s="34"/>
      <c r="R215" s="34"/>
      <c r="S215" s="37">
        <v>0.1</v>
      </c>
      <c r="T215" s="37">
        <v>0.16300000000000001</v>
      </c>
      <c r="U215" s="48">
        <v>7.0000000000000001E-3</v>
      </c>
      <c r="V215" s="37"/>
      <c r="W215" s="37"/>
      <c r="X215" s="37"/>
      <c r="Y215" s="37"/>
      <c r="Z215" s="37">
        <v>8.1</v>
      </c>
      <c r="AA215" s="37"/>
      <c r="AB215" s="37">
        <v>11</v>
      </c>
      <c r="AC215" s="37">
        <v>297</v>
      </c>
      <c r="AD215" s="37"/>
      <c r="AE215" s="37">
        <v>2.8</v>
      </c>
      <c r="AF215" s="37"/>
      <c r="AG215" s="34"/>
      <c r="AH215" s="34"/>
      <c r="AI215" s="52">
        <v>230</v>
      </c>
      <c r="AJ215" s="52">
        <v>230</v>
      </c>
      <c r="AK215" s="37">
        <v>1276</v>
      </c>
      <c r="AL215" s="34"/>
      <c r="AM215" s="31">
        <v>10</v>
      </c>
      <c r="AN215" s="31">
        <v>10</v>
      </c>
      <c r="AO215" s="31">
        <v>20</v>
      </c>
      <c r="AP215" s="37">
        <f>1668.7/1000</f>
        <v>1.6687000000000001</v>
      </c>
      <c r="AQ215" s="37">
        <f>94.9/1000</f>
        <v>9.4900000000000012E-2</v>
      </c>
      <c r="AR215" s="37"/>
      <c r="AS215" s="31">
        <v>50</v>
      </c>
      <c r="AT215" s="31">
        <v>50</v>
      </c>
      <c r="AU215" s="37"/>
      <c r="AV215" s="37"/>
      <c r="AW215" s="37">
        <f>20/1000</f>
        <v>0.02</v>
      </c>
      <c r="AX215" s="68">
        <f t="shared" si="3"/>
        <v>1.2903225806451613E-2</v>
      </c>
    </row>
    <row r="216" spans="2:50" x14ac:dyDescent="0.2">
      <c r="B216" s="8"/>
      <c r="C216" s="22">
        <v>42843</v>
      </c>
      <c r="D216" s="76" t="s">
        <v>12</v>
      </c>
      <c r="E216" s="31"/>
      <c r="F216" s="31"/>
      <c r="G216" s="31"/>
      <c r="H216" s="31"/>
      <c r="I216" s="31"/>
      <c r="J216" s="31">
        <v>1</v>
      </c>
      <c r="K216" s="37"/>
      <c r="L216" s="37">
        <v>0.15</v>
      </c>
      <c r="M216" s="37">
        <v>33</v>
      </c>
      <c r="N216" s="37"/>
      <c r="O216" s="37"/>
      <c r="P216" s="34"/>
      <c r="Q216" s="34"/>
      <c r="R216" s="34"/>
      <c r="S216" s="37">
        <v>0.1</v>
      </c>
      <c r="T216" s="37">
        <v>0.16400000000000001</v>
      </c>
      <c r="U216" s="48">
        <v>6.0000000000000001E-3</v>
      </c>
      <c r="V216" s="37"/>
      <c r="W216" s="37"/>
      <c r="X216" s="37"/>
      <c r="Y216" s="37"/>
      <c r="Z216" s="37">
        <v>8.16</v>
      </c>
      <c r="AA216" s="37"/>
      <c r="AB216" s="37">
        <v>20</v>
      </c>
      <c r="AC216" s="37">
        <v>329</v>
      </c>
      <c r="AD216" s="37"/>
      <c r="AE216" s="37">
        <v>7.6</v>
      </c>
      <c r="AF216" s="37"/>
      <c r="AG216" s="34"/>
      <c r="AH216" s="34"/>
      <c r="AI216" s="52">
        <v>490</v>
      </c>
      <c r="AJ216" s="52">
        <v>490</v>
      </c>
      <c r="AK216" s="37">
        <v>2392.5</v>
      </c>
      <c r="AL216" s="34"/>
      <c r="AM216" s="31">
        <v>10</v>
      </c>
      <c r="AN216" s="31">
        <v>10</v>
      </c>
      <c r="AO216" s="31">
        <v>20</v>
      </c>
      <c r="AP216" s="37">
        <f>2527.8/1000</f>
        <v>2.5278</v>
      </c>
      <c r="AQ216" s="37">
        <f>105.2/1000</f>
        <v>0.1052</v>
      </c>
      <c r="AR216" s="37"/>
      <c r="AS216" s="31">
        <v>50</v>
      </c>
      <c r="AT216" s="31">
        <v>50</v>
      </c>
      <c r="AU216" s="37"/>
      <c r="AV216" s="37"/>
      <c r="AW216" s="37">
        <f>20.1/1000</f>
        <v>2.01E-2</v>
      </c>
      <c r="AX216" s="68">
        <f t="shared" si="3"/>
        <v>4.5454545454545452E-3</v>
      </c>
    </row>
    <row r="217" spans="2:50" x14ac:dyDescent="0.2">
      <c r="B217" s="8"/>
      <c r="C217" s="22">
        <v>42843</v>
      </c>
      <c r="D217" s="77" t="s">
        <v>13</v>
      </c>
      <c r="E217" s="31"/>
      <c r="F217" s="31"/>
      <c r="G217" s="31"/>
      <c r="H217" s="31"/>
      <c r="I217" s="31"/>
      <c r="J217" s="31">
        <v>1</v>
      </c>
      <c r="K217" s="37"/>
      <c r="L217" s="37">
        <v>0.3</v>
      </c>
      <c r="M217" s="37">
        <v>41</v>
      </c>
      <c r="N217" s="37"/>
      <c r="O217" s="37"/>
      <c r="P217" s="34"/>
      <c r="Q217" s="34"/>
      <c r="R217" s="34"/>
      <c r="S217" s="37">
        <v>0.1</v>
      </c>
      <c r="T217" s="37">
        <v>0.16300000000000001</v>
      </c>
      <c r="U217" s="48">
        <v>7.0000000000000001E-3</v>
      </c>
      <c r="V217" s="37"/>
      <c r="W217" s="37"/>
      <c r="X217" s="37"/>
      <c r="Y217" s="37"/>
      <c r="Z217" s="37">
        <v>8.0299999999999994</v>
      </c>
      <c r="AA217" s="37"/>
      <c r="AB217" s="37">
        <v>18</v>
      </c>
      <c r="AC217" s="37">
        <v>294</v>
      </c>
      <c r="AD217" s="37"/>
      <c r="AE217" s="37">
        <v>6.8</v>
      </c>
      <c r="AF217" s="37"/>
      <c r="AG217" s="34"/>
      <c r="AH217" s="34"/>
      <c r="AI217" s="52">
        <v>2400</v>
      </c>
      <c r="AJ217" s="52">
        <v>1300</v>
      </c>
      <c r="AK217" s="37">
        <v>2492.6</v>
      </c>
      <c r="AL217" s="34"/>
      <c r="AM217" s="31">
        <v>10</v>
      </c>
      <c r="AN217" s="31">
        <v>10</v>
      </c>
      <c r="AO217" s="31">
        <v>20</v>
      </c>
      <c r="AP217" s="37">
        <f>253.8/1000</f>
        <v>0.25380000000000003</v>
      </c>
      <c r="AQ217" s="37">
        <f>108.3/1000</f>
        <v>0.10829999999999999</v>
      </c>
      <c r="AR217" s="37"/>
      <c r="AS217" s="31">
        <v>50</v>
      </c>
      <c r="AT217" s="31">
        <v>50</v>
      </c>
      <c r="AU217" s="37"/>
      <c r="AV217" s="37"/>
      <c r="AW217" s="37">
        <f>25.5/1000</f>
        <v>2.5499999999999998E-2</v>
      </c>
      <c r="AX217" s="68">
        <f t="shared" si="3"/>
        <v>7.3170731707317069E-3</v>
      </c>
    </row>
    <row r="218" spans="2:50" x14ac:dyDescent="0.2">
      <c r="B218" s="8"/>
      <c r="C218" s="22">
        <v>42843</v>
      </c>
      <c r="D218" s="78" t="s">
        <v>14</v>
      </c>
      <c r="E218" s="31"/>
      <c r="F218" s="31"/>
      <c r="G218" s="31"/>
      <c r="H218" s="31"/>
      <c r="I218" s="31"/>
      <c r="J218" s="31">
        <v>1</v>
      </c>
      <c r="K218" s="37"/>
      <c r="L218" s="37">
        <v>2.5000000000000001E-2</v>
      </c>
      <c r="M218" s="37">
        <v>35</v>
      </c>
      <c r="N218" s="37"/>
      <c r="O218" s="37"/>
      <c r="P218" s="34"/>
      <c r="Q218" s="34"/>
      <c r="R218" s="34"/>
      <c r="S218" s="37">
        <v>0.1</v>
      </c>
      <c r="T218" s="37">
        <v>0.13</v>
      </c>
      <c r="U218" s="48">
        <v>2E-3</v>
      </c>
      <c r="V218" s="37"/>
      <c r="W218" s="37"/>
      <c r="X218" s="37"/>
      <c r="Y218" s="37"/>
      <c r="Z218" s="37">
        <v>8.1</v>
      </c>
      <c r="AA218" s="37"/>
      <c r="AB218" s="37">
        <v>4</v>
      </c>
      <c r="AC218" s="37">
        <v>502</v>
      </c>
      <c r="AD218" s="37"/>
      <c r="AE218" s="37">
        <v>5.6</v>
      </c>
      <c r="AF218" s="37"/>
      <c r="AG218" s="34"/>
      <c r="AH218" s="34"/>
      <c r="AI218" s="52">
        <v>790</v>
      </c>
      <c r="AJ218" s="52">
        <v>490</v>
      </c>
      <c r="AK218" s="37">
        <v>700.7</v>
      </c>
      <c r="AL218" s="34"/>
      <c r="AM218" s="31">
        <v>10</v>
      </c>
      <c r="AN218" s="31">
        <v>10</v>
      </c>
      <c r="AO218" s="31">
        <v>20</v>
      </c>
      <c r="AP218" s="37">
        <f>611.5/1000</f>
        <v>0.61150000000000004</v>
      </c>
      <c r="AQ218" s="37">
        <f>43.3/1000</f>
        <v>4.3299999999999998E-2</v>
      </c>
      <c r="AR218" s="37"/>
      <c r="AS218" s="31">
        <v>50</v>
      </c>
      <c r="AT218" s="31">
        <v>50</v>
      </c>
      <c r="AU218" s="37"/>
      <c r="AV218" s="37"/>
      <c r="AW218" s="37">
        <f>20/1000</f>
        <v>0.02</v>
      </c>
      <c r="AX218" s="68">
        <f t="shared" si="3"/>
        <v>7.1428571428571429E-4</v>
      </c>
    </row>
    <row r="219" spans="2:50" x14ac:dyDescent="0.2">
      <c r="B219" s="10"/>
      <c r="C219" s="22">
        <v>42934</v>
      </c>
      <c r="D219" s="27" t="s">
        <v>9</v>
      </c>
      <c r="E219" s="31"/>
      <c r="F219" s="31"/>
      <c r="G219" s="31"/>
      <c r="H219" s="31"/>
      <c r="I219" s="31"/>
      <c r="J219" s="37"/>
      <c r="K219" s="37"/>
      <c r="L219" s="37">
        <v>0.5</v>
      </c>
      <c r="M219" s="31">
        <v>25</v>
      </c>
      <c r="N219" s="37"/>
      <c r="O219" s="37"/>
      <c r="P219" s="34"/>
      <c r="Q219" s="34"/>
      <c r="R219" s="34"/>
      <c r="S219" s="37"/>
      <c r="T219" s="37"/>
      <c r="U219" s="48"/>
      <c r="V219" s="37"/>
      <c r="W219" s="37"/>
      <c r="X219" s="37"/>
      <c r="Y219" s="37"/>
      <c r="Z219" s="37">
        <v>7.69</v>
      </c>
      <c r="AA219" s="37"/>
      <c r="AB219" s="37"/>
      <c r="AC219" s="37"/>
      <c r="AD219" s="37"/>
      <c r="AE219" s="37"/>
      <c r="AF219" s="37"/>
      <c r="AG219" s="34"/>
      <c r="AH219" s="34"/>
      <c r="AI219" s="52"/>
      <c r="AJ219" s="52"/>
      <c r="AK219" s="37"/>
      <c r="AL219" s="34"/>
      <c r="AM219" s="31">
        <v>10</v>
      </c>
      <c r="AN219" s="37">
        <v>11.8</v>
      </c>
      <c r="AO219" s="31">
        <v>20</v>
      </c>
      <c r="AP219" s="37">
        <f>346.2/1000</f>
        <v>0.34620000000000001</v>
      </c>
      <c r="AQ219" s="37">
        <f>26.2/1000</f>
        <v>2.6199999999999998E-2</v>
      </c>
      <c r="AR219" s="37"/>
      <c r="AS219" s="31">
        <v>50</v>
      </c>
      <c r="AT219" s="31">
        <v>50</v>
      </c>
      <c r="AU219" s="37"/>
      <c r="AV219" s="37"/>
      <c r="AW219" s="37">
        <f>26.2/1000</f>
        <v>2.6199999999999998E-2</v>
      </c>
      <c r="AX219" s="68">
        <f t="shared" si="3"/>
        <v>0.02</v>
      </c>
    </row>
    <row r="220" spans="2:50" x14ac:dyDescent="0.2">
      <c r="B220" s="9"/>
      <c r="C220" s="22">
        <v>42934</v>
      </c>
      <c r="D220" s="74" t="s">
        <v>10</v>
      </c>
      <c r="E220" s="31"/>
      <c r="F220" s="31"/>
      <c r="G220" s="31"/>
      <c r="H220" s="31"/>
      <c r="I220" s="31"/>
      <c r="J220" s="37"/>
      <c r="K220" s="37"/>
      <c r="L220" s="37">
        <v>0.55000000000000004</v>
      </c>
      <c r="M220" s="31">
        <v>25</v>
      </c>
      <c r="N220" s="37"/>
      <c r="O220" s="37"/>
      <c r="P220" s="34"/>
      <c r="Q220" s="34"/>
      <c r="R220" s="34"/>
      <c r="S220" s="37"/>
      <c r="T220" s="37"/>
      <c r="U220" s="48"/>
      <c r="V220" s="37"/>
      <c r="W220" s="37"/>
      <c r="X220" s="37"/>
      <c r="Y220" s="37"/>
      <c r="Z220" s="37">
        <v>7.64</v>
      </c>
      <c r="AA220" s="37"/>
      <c r="AB220" s="37"/>
      <c r="AC220" s="37"/>
      <c r="AD220" s="37"/>
      <c r="AE220" s="37"/>
      <c r="AF220" s="37"/>
      <c r="AG220" s="34"/>
      <c r="AH220" s="34"/>
      <c r="AI220" s="52"/>
      <c r="AJ220" s="52"/>
      <c r="AK220" s="37"/>
      <c r="AL220" s="34"/>
      <c r="AM220" s="31">
        <v>10</v>
      </c>
      <c r="AN220" s="31">
        <v>10</v>
      </c>
      <c r="AO220" s="31">
        <v>20</v>
      </c>
      <c r="AP220" s="37">
        <f>327.8/1000</f>
        <v>0.32780000000000004</v>
      </c>
      <c r="AQ220" s="37">
        <f>46.6/1000</f>
        <v>4.6600000000000003E-2</v>
      </c>
      <c r="AR220" s="37"/>
      <c r="AS220" s="31">
        <v>50</v>
      </c>
      <c r="AT220" s="31">
        <v>50</v>
      </c>
      <c r="AU220" s="37"/>
      <c r="AV220" s="37"/>
      <c r="AW220" s="37">
        <f>26.3/1000</f>
        <v>2.63E-2</v>
      </c>
      <c r="AX220" s="68">
        <f t="shared" si="3"/>
        <v>2.2000000000000002E-2</v>
      </c>
    </row>
    <row r="221" spans="2:50" x14ac:dyDescent="0.2">
      <c r="B221" s="8"/>
      <c r="C221" s="22">
        <v>42934</v>
      </c>
      <c r="D221" s="75" t="s">
        <v>11</v>
      </c>
      <c r="E221" s="31"/>
      <c r="F221" s="31"/>
      <c r="G221" s="31"/>
      <c r="H221" s="31"/>
      <c r="I221" s="31"/>
      <c r="J221" s="37"/>
      <c r="K221" s="37"/>
      <c r="L221" s="37">
        <v>0.6</v>
      </c>
      <c r="M221" s="31">
        <v>25</v>
      </c>
      <c r="N221" s="37"/>
      <c r="O221" s="37"/>
      <c r="P221" s="34"/>
      <c r="Q221" s="34"/>
      <c r="R221" s="34"/>
      <c r="S221" s="37"/>
      <c r="T221" s="37"/>
      <c r="U221" s="48"/>
      <c r="V221" s="37"/>
      <c r="W221" s="37"/>
      <c r="X221" s="37"/>
      <c r="Y221" s="37"/>
      <c r="Z221" s="37">
        <v>7.78</v>
      </c>
      <c r="AA221" s="37"/>
      <c r="AB221" s="37"/>
      <c r="AC221" s="37"/>
      <c r="AD221" s="37"/>
      <c r="AE221" s="37"/>
      <c r="AF221" s="37"/>
      <c r="AG221" s="34"/>
      <c r="AH221" s="34"/>
      <c r="AI221" s="52"/>
      <c r="AJ221" s="52"/>
      <c r="AK221" s="37"/>
      <c r="AL221" s="34"/>
      <c r="AM221" s="31">
        <v>10</v>
      </c>
      <c r="AN221" s="31">
        <v>10</v>
      </c>
      <c r="AO221" s="31">
        <v>20</v>
      </c>
      <c r="AP221" s="37">
        <f>280.4/1000</f>
        <v>0.28039999999999998</v>
      </c>
      <c r="AQ221" s="37">
        <f>35.8/1000</f>
        <v>3.5799999999999998E-2</v>
      </c>
      <c r="AR221" s="37"/>
      <c r="AS221" s="31">
        <v>50</v>
      </c>
      <c r="AT221" s="31">
        <v>50</v>
      </c>
      <c r="AU221" s="37"/>
      <c r="AV221" s="37"/>
      <c r="AW221" s="37">
        <f>39.8/1000</f>
        <v>3.9799999999999995E-2</v>
      </c>
      <c r="AX221" s="68">
        <f t="shared" si="3"/>
        <v>2.4E-2</v>
      </c>
    </row>
    <row r="222" spans="2:50" x14ac:dyDescent="0.2">
      <c r="B222" s="8"/>
      <c r="C222" s="22">
        <v>42934</v>
      </c>
      <c r="D222" s="76" t="s">
        <v>12</v>
      </c>
      <c r="E222" s="31"/>
      <c r="F222" s="31"/>
      <c r="G222" s="31"/>
      <c r="H222" s="31"/>
      <c r="I222" s="31"/>
      <c r="J222" s="37"/>
      <c r="K222" s="37"/>
      <c r="L222" s="37">
        <v>0.5</v>
      </c>
      <c r="M222" s="31">
        <v>25</v>
      </c>
      <c r="N222" s="37"/>
      <c r="O222" s="37"/>
      <c r="P222" s="34"/>
      <c r="Q222" s="34"/>
      <c r="R222" s="34"/>
      <c r="S222" s="37"/>
      <c r="T222" s="37"/>
      <c r="U222" s="48"/>
      <c r="V222" s="37"/>
      <c r="W222" s="37"/>
      <c r="X222" s="37"/>
      <c r="Y222" s="37"/>
      <c r="Z222" s="37">
        <v>7.84</v>
      </c>
      <c r="AA222" s="37"/>
      <c r="AB222" s="37"/>
      <c r="AC222" s="37"/>
      <c r="AD222" s="37"/>
      <c r="AE222" s="37"/>
      <c r="AF222" s="37"/>
      <c r="AG222" s="34"/>
      <c r="AH222" s="34"/>
      <c r="AI222" s="52"/>
      <c r="AJ222" s="52"/>
      <c r="AK222" s="37"/>
      <c r="AL222" s="34"/>
      <c r="AM222" s="31">
        <v>10</v>
      </c>
      <c r="AN222" s="31">
        <v>10</v>
      </c>
      <c r="AO222" s="31">
        <v>20</v>
      </c>
      <c r="AP222" s="37">
        <f>190.7/1000</f>
        <v>0.19069999999999998</v>
      </c>
      <c r="AQ222" s="37">
        <f>53.9/1000</f>
        <v>5.3899999999999997E-2</v>
      </c>
      <c r="AR222" s="37"/>
      <c r="AS222" s="31">
        <v>50</v>
      </c>
      <c r="AT222" s="31">
        <v>50</v>
      </c>
      <c r="AU222" s="37"/>
      <c r="AV222" s="37"/>
      <c r="AW222" s="37">
        <f>38.6/1000</f>
        <v>3.8600000000000002E-2</v>
      </c>
      <c r="AX222" s="68">
        <f t="shared" si="3"/>
        <v>0.02</v>
      </c>
    </row>
    <row r="223" spans="2:50" x14ac:dyDescent="0.2">
      <c r="B223" s="8"/>
      <c r="C223" s="22">
        <v>42934</v>
      </c>
      <c r="D223" s="77" t="s">
        <v>13</v>
      </c>
      <c r="E223" s="31"/>
      <c r="F223" s="31"/>
      <c r="G223" s="31"/>
      <c r="H223" s="31"/>
      <c r="I223" s="31"/>
      <c r="J223" s="37"/>
      <c r="K223" s="37"/>
      <c r="L223" s="37">
        <v>0.6</v>
      </c>
      <c r="M223" s="31">
        <v>25</v>
      </c>
      <c r="N223" s="37"/>
      <c r="O223" s="37"/>
      <c r="P223" s="34"/>
      <c r="Q223" s="34"/>
      <c r="R223" s="34"/>
      <c r="S223" s="37"/>
      <c r="T223" s="37"/>
      <c r="U223" s="48"/>
      <c r="V223" s="37"/>
      <c r="W223" s="37"/>
      <c r="X223" s="37"/>
      <c r="Y223" s="37"/>
      <c r="Z223" s="37">
        <v>7.74</v>
      </c>
      <c r="AA223" s="37"/>
      <c r="AB223" s="37"/>
      <c r="AC223" s="37"/>
      <c r="AD223" s="37"/>
      <c r="AE223" s="37"/>
      <c r="AF223" s="37"/>
      <c r="AG223" s="34"/>
      <c r="AH223" s="34"/>
      <c r="AI223" s="52"/>
      <c r="AJ223" s="52"/>
      <c r="AK223" s="37"/>
      <c r="AL223" s="34"/>
      <c r="AM223" s="31">
        <v>10</v>
      </c>
      <c r="AN223" s="31">
        <v>10</v>
      </c>
      <c r="AO223" s="31">
        <v>20</v>
      </c>
      <c r="AP223" s="37">
        <f>162.8/1000</f>
        <v>0.1628</v>
      </c>
      <c r="AQ223" s="37">
        <f>12/1000</f>
        <v>1.2E-2</v>
      </c>
      <c r="AR223" s="37"/>
      <c r="AS223" s="31">
        <v>50</v>
      </c>
      <c r="AT223" s="31">
        <v>50</v>
      </c>
      <c r="AU223" s="37"/>
      <c r="AV223" s="37"/>
      <c r="AW223" s="37">
        <f>20/1000</f>
        <v>0.02</v>
      </c>
      <c r="AX223" s="68">
        <f t="shared" si="3"/>
        <v>2.4E-2</v>
      </c>
    </row>
    <row r="224" spans="2:50" x14ac:dyDescent="0.2">
      <c r="B224" s="8"/>
      <c r="C224" s="22">
        <v>42934</v>
      </c>
      <c r="D224" s="78" t="s">
        <v>14</v>
      </c>
      <c r="E224" s="31"/>
      <c r="F224" s="31"/>
      <c r="G224" s="31"/>
      <c r="H224" s="31"/>
      <c r="I224" s="31"/>
      <c r="J224" s="37"/>
      <c r="K224" s="37"/>
      <c r="L224" s="37">
        <v>0.7</v>
      </c>
      <c r="M224" s="31">
        <v>25</v>
      </c>
      <c r="N224" s="37"/>
      <c r="O224" s="37"/>
      <c r="P224" s="34"/>
      <c r="Q224" s="34"/>
      <c r="R224" s="34"/>
      <c r="S224" s="37"/>
      <c r="T224" s="37"/>
      <c r="U224" s="48"/>
      <c r="V224" s="37"/>
      <c r="W224" s="37"/>
      <c r="X224" s="37"/>
      <c r="Y224" s="37"/>
      <c r="Z224" s="37">
        <v>7.87</v>
      </c>
      <c r="AA224" s="37"/>
      <c r="AB224" s="37"/>
      <c r="AC224" s="37"/>
      <c r="AD224" s="37"/>
      <c r="AE224" s="37"/>
      <c r="AF224" s="37"/>
      <c r="AG224" s="34"/>
      <c r="AH224" s="34"/>
      <c r="AI224" s="52"/>
      <c r="AJ224" s="52"/>
      <c r="AK224" s="37"/>
      <c r="AL224" s="34"/>
      <c r="AM224" s="31">
        <v>10</v>
      </c>
      <c r="AN224" s="31">
        <v>10</v>
      </c>
      <c r="AO224" s="31">
        <v>20</v>
      </c>
      <c r="AP224" s="37">
        <f>332.6/1000</f>
        <v>0.33260000000000001</v>
      </c>
      <c r="AQ224" s="37">
        <f>45.5/1000</f>
        <v>4.5499999999999999E-2</v>
      </c>
      <c r="AR224" s="37"/>
      <c r="AS224" s="31">
        <v>50</v>
      </c>
      <c r="AT224" s="31">
        <v>50</v>
      </c>
      <c r="AU224" s="37"/>
      <c r="AV224" s="37"/>
      <c r="AW224" s="37">
        <f>27.4/1000</f>
        <v>2.7399999999999997E-2</v>
      </c>
      <c r="AX224" s="68">
        <f t="shared" si="3"/>
        <v>2.7999999999999997E-2</v>
      </c>
    </row>
    <row r="225" spans="2:50" x14ac:dyDescent="0.2">
      <c r="B225" s="10"/>
      <c r="C225" s="22">
        <v>43025</v>
      </c>
      <c r="D225" s="27" t="s">
        <v>9</v>
      </c>
      <c r="E225" s="31"/>
      <c r="F225" s="31"/>
      <c r="G225" s="31"/>
      <c r="H225" s="31"/>
      <c r="I225" s="31"/>
      <c r="J225" s="31">
        <v>1</v>
      </c>
      <c r="K225" s="31"/>
      <c r="L225" s="31">
        <v>1</v>
      </c>
      <c r="M225" s="31">
        <v>25</v>
      </c>
      <c r="N225" s="31"/>
      <c r="O225" s="31"/>
      <c r="P225" s="31"/>
      <c r="Q225" s="31"/>
      <c r="R225" s="31"/>
      <c r="S225" s="31">
        <v>0.1</v>
      </c>
      <c r="T225" s="31">
        <v>0.03</v>
      </c>
      <c r="U225" s="43">
        <v>2E-3</v>
      </c>
      <c r="V225" s="31"/>
      <c r="W225" s="31"/>
      <c r="X225" s="31"/>
      <c r="Y225" s="31"/>
      <c r="Z225" s="31">
        <v>8.0500000000000007</v>
      </c>
      <c r="AA225" s="31"/>
      <c r="AB225" s="31">
        <v>6</v>
      </c>
      <c r="AC225" s="31">
        <v>442</v>
      </c>
      <c r="AD225" s="31"/>
      <c r="AE225" s="31">
        <v>10</v>
      </c>
      <c r="AF225" s="31"/>
      <c r="AG225" s="31"/>
      <c r="AH225" s="31"/>
      <c r="AI225" s="58">
        <v>1100</v>
      </c>
      <c r="AJ225" s="58">
        <v>450</v>
      </c>
      <c r="AK225" s="31">
        <v>294.8</v>
      </c>
      <c r="AL225" s="31"/>
      <c r="AM225" s="31">
        <v>10</v>
      </c>
      <c r="AN225" s="31">
        <v>10</v>
      </c>
      <c r="AO225" s="31">
        <v>20</v>
      </c>
      <c r="AP225" s="31">
        <f>305.1/1000</f>
        <v>0.30510000000000004</v>
      </c>
      <c r="AQ225" s="31">
        <f>32.8/1000</f>
        <v>3.2799999999999996E-2</v>
      </c>
      <c r="AR225" s="31"/>
      <c r="AS225" s="31">
        <v>50</v>
      </c>
      <c r="AT225" s="31">
        <v>50</v>
      </c>
      <c r="AU225" s="31"/>
      <c r="AV225" s="31"/>
      <c r="AW225" s="31">
        <f>290.1/1000</f>
        <v>0.29010000000000002</v>
      </c>
      <c r="AX225" s="68">
        <f t="shared" si="3"/>
        <v>0.04</v>
      </c>
    </row>
    <row r="226" spans="2:50" x14ac:dyDescent="0.2">
      <c r="B226" s="9"/>
      <c r="C226" s="22">
        <v>43025</v>
      </c>
      <c r="D226" s="74" t="s">
        <v>10</v>
      </c>
      <c r="E226" s="31"/>
      <c r="F226" s="31"/>
      <c r="G226" s="31"/>
      <c r="H226" s="31"/>
      <c r="I226" s="31"/>
      <c r="J226" s="31">
        <v>1</v>
      </c>
      <c r="K226" s="31"/>
      <c r="L226" s="31">
        <v>0.85</v>
      </c>
      <c r="M226" s="31">
        <v>25</v>
      </c>
      <c r="N226" s="31"/>
      <c r="O226" s="31"/>
      <c r="P226" s="31"/>
      <c r="Q226" s="31"/>
      <c r="R226" s="31"/>
      <c r="S226" s="31">
        <v>0.1</v>
      </c>
      <c r="T226" s="31">
        <v>0.05</v>
      </c>
      <c r="U226" s="43">
        <v>2E-3</v>
      </c>
      <c r="V226" s="31"/>
      <c r="W226" s="31"/>
      <c r="X226" s="31"/>
      <c r="Y226" s="31"/>
      <c r="Z226" s="31">
        <v>7.89</v>
      </c>
      <c r="AA226" s="31"/>
      <c r="AB226" s="31">
        <v>7</v>
      </c>
      <c r="AC226" s="31">
        <v>455</v>
      </c>
      <c r="AD226" s="31"/>
      <c r="AE226" s="31">
        <v>4.4000000000000004</v>
      </c>
      <c r="AF226" s="31"/>
      <c r="AG226" s="31"/>
      <c r="AH226" s="31"/>
      <c r="AI226" s="58">
        <v>200</v>
      </c>
      <c r="AJ226" s="58">
        <v>200</v>
      </c>
      <c r="AK226" s="31">
        <v>212.6</v>
      </c>
      <c r="AL226" s="31"/>
      <c r="AM226" s="31">
        <v>10</v>
      </c>
      <c r="AN226" s="31">
        <v>10</v>
      </c>
      <c r="AO226" s="31">
        <v>20</v>
      </c>
      <c r="AP226" s="31">
        <f>184.5/1000</f>
        <v>0.1845</v>
      </c>
      <c r="AQ226" s="31">
        <f>100.9/1000</f>
        <v>0.1009</v>
      </c>
      <c r="AR226" s="31"/>
      <c r="AS226" s="31">
        <v>50</v>
      </c>
      <c r="AT226" s="31">
        <v>50</v>
      </c>
      <c r="AU226" s="31"/>
      <c r="AV226" s="31"/>
      <c r="AW226" s="31">
        <f>40.9/1000</f>
        <v>4.0899999999999999E-2</v>
      </c>
      <c r="AX226" s="68">
        <f t="shared" si="3"/>
        <v>3.4000000000000002E-2</v>
      </c>
    </row>
    <row r="227" spans="2:50" x14ac:dyDescent="0.2">
      <c r="B227" s="8"/>
      <c r="C227" s="22">
        <v>43025</v>
      </c>
      <c r="D227" s="75" t="s">
        <v>11</v>
      </c>
      <c r="E227" s="31"/>
      <c r="F227" s="31"/>
      <c r="G227" s="31"/>
      <c r="H227" s="31"/>
      <c r="I227" s="31"/>
      <c r="J227" s="31">
        <v>1</v>
      </c>
      <c r="K227" s="31"/>
      <c r="L227" s="31">
        <v>0.38</v>
      </c>
      <c r="M227" s="31">
        <v>27</v>
      </c>
      <c r="N227" s="31"/>
      <c r="O227" s="31"/>
      <c r="P227" s="31"/>
      <c r="Q227" s="31"/>
      <c r="R227" s="31"/>
      <c r="S227" s="31">
        <v>0.1</v>
      </c>
      <c r="T227" s="31">
        <v>0.04</v>
      </c>
      <c r="U227" s="43">
        <v>2E-3</v>
      </c>
      <c r="V227" s="31"/>
      <c r="W227" s="31"/>
      <c r="X227" s="31"/>
      <c r="Y227" s="31"/>
      <c r="Z227" s="31">
        <v>8.0299999999999994</v>
      </c>
      <c r="AA227" s="31"/>
      <c r="AB227" s="31">
        <v>6</v>
      </c>
      <c r="AC227" s="31">
        <v>459</v>
      </c>
      <c r="AD227" s="31"/>
      <c r="AE227" s="31">
        <v>10.4</v>
      </c>
      <c r="AF227" s="31"/>
      <c r="AG227" s="31"/>
      <c r="AH227" s="31"/>
      <c r="AI227" s="58">
        <v>1100</v>
      </c>
      <c r="AJ227" s="58">
        <v>780</v>
      </c>
      <c r="AK227" s="31">
        <v>149.69999999999999</v>
      </c>
      <c r="AL227" s="31"/>
      <c r="AM227" s="31">
        <v>10</v>
      </c>
      <c r="AN227" s="31">
        <v>10</v>
      </c>
      <c r="AO227" s="31">
        <v>20</v>
      </c>
      <c r="AP227" s="31">
        <f>175.8/1000</f>
        <v>0.17580000000000001</v>
      </c>
      <c r="AQ227" s="31">
        <f>38.5/1000</f>
        <v>3.85E-2</v>
      </c>
      <c r="AR227" s="31"/>
      <c r="AS227" s="31">
        <v>50</v>
      </c>
      <c r="AT227" s="31">
        <v>50</v>
      </c>
      <c r="AU227" s="31"/>
      <c r="AV227" s="31"/>
      <c r="AW227" s="31">
        <f>83.8/1000</f>
        <v>8.3799999999999999E-2</v>
      </c>
      <c r="AX227" s="68">
        <f t="shared" si="3"/>
        <v>1.4074074074074074E-2</v>
      </c>
    </row>
    <row r="228" spans="2:50" x14ac:dyDescent="0.2">
      <c r="B228" s="8"/>
      <c r="C228" s="22">
        <v>43025</v>
      </c>
      <c r="D228" s="76" t="s">
        <v>12</v>
      </c>
      <c r="E228" s="31"/>
      <c r="F228" s="31"/>
      <c r="G228" s="31"/>
      <c r="H228" s="31"/>
      <c r="I228" s="31"/>
      <c r="J228" s="31">
        <v>1</v>
      </c>
      <c r="K228" s="31"/>
      <c r="L228" s="31">
        <v>0.4</v>
      </c>
      <c r="M228" s="31">
        <v>25</v>
      </c>
      <c r="N228" s="31"/>
      <c r="O228" s="31"/>
      <c r="P228" s="31"/>
      <c r="Q228" s="31"/>
      <c r="R228" s="31"/>
      <c r="S228" s="31">
        <v>0.1</v>
      </c>
      <c r="T228" s="31">
        <v>0.05</v>
      </c>
      <c r="U228" s="43">
        <v>2E-3</v>
      </c>
      <c r="V228" s="31"/>
      <c r="W228" s="31"/>
      <c r="X228" s="31"/>
      <c r="Y228" s="31"/>
      <c r="Z228" s="31">
        <v>8.08</v>
      </c>
      <c r="AA228" s="31"/>
      <c r="AB228" s="31">
        <v>6</v>
      </c>
      <c r="AC228" s="31">
        <v>482</v>
      </c>
      <c r="AD228" s="31"/>
      <c r="AE228" s="31">
        <v>12</v>
      </c>
      <c r="AF228" s="31"/>
      <c r="AG228" s="31"/>
      <c r="AH228" s="31"/>
      <c r="AI228" s="58">
        <v>1400</v>
      </c>
      <c r="AJ228" s="58">
        <v>1400</v>
      </c>
      <c r="AK228" s="31">
        <v>260.2</v>
      </c>
      <c r="AL228" s="31"/>
      <c r="AM228" s="31">
        <v>10</v>
      </c>
      <c r="AN228" s="31">
        <v>10</v>
      </c>
      <c r="AO228" s="31">
        <v>20</v>
      </c>
      <c r="AP228" s="31">
        <f>306.1/1000</f>
        <v>0.30610000000000004</v>
      </c>
      <c r="AQ228" s="31">
        <f>24/1000</f>
        <v>2.4E-2</v>
      </c>
      <c r="AR228" s="31"/>
      <c r="AS228" s="31">
        <v>50</v>
      </c>
      <c r="AT228" s="31">
        <v>50</v>
      </c>
      <c r="AU228" s="31"/>
      <c r="AV228" s="31"/>
      <c r="AW228" s="31">
        <f>66.4/1000</f>
        <v>6.6400000000000001E-2</v>
      </c>
      <c r="AX228" s="68">
        <f t="shared" si="3"/>
        <v>1.6E-2</v>
      </c>
    </row>
    <row r="229" spans="2:50" x14ac:dyDescent="0.2">
      <c r="B229" s="8"/>
      <c r="C229" s="22">
        <v>43025</v>
      </c>
      <c r="D229" s="77" t="s">
        <v>13</v>
      </c>
      <c r="E229" s="31"/>
      <c r="F229" s="31"/>
      <c r="G229" s="31"/>
      <c r="H229" s="31"/>
      <c r="I229" s="31"/>
      <c r="J229" s="31">
        <v>1</v>
      </c>
      <c r="K229" s="31"/>
      <c r="L229" s="31">
        <v>0.6</v>
      </c>
      <c r="M229" s="31">
        <v>25</v>
      </c>
      <c r="N229" s="31"/>
      <c r="O229" s="31"/>
      <c r="P229" s="31"/>
      <c r="Q229" s="31"/>
      <c r="R229" s="31"/>
      <c r="S229" s="31">
        <v>0.1</v>
      </c>
      <c r="T229" s="31">
        <v>0.03</v>
      </c>
      <c r="U229" s="43">
        <v>2E-3</v>
      </c>
      <c r="V229" s="31"/>
      <c r="W229" s="31"/>
      <c r="X229" s="31"/>
      <c r="Y229" s="31"/>
      <c r="Z229" s="31">
        <v>7.82</v>
      </c>
      <c r="AA229" s="31"/>
      <c r="AB229" s="31">
        <v>6</v>
      </c>
      <c r="AC229" s="31">
        <v>445</v>
      </c>
      <c r="AD229" s="31"/>
      <c r="AE229" s="31">
        <v>16.8</v>
      </c>
      <c r="AF229" s="31"/>
      <c r="AG229" s="31"/>
      <c r="AH229" s="31"/>
      <c r="AI229" s="58">
        <v>780</v>
      </c>
      <c r="AJ229" s="58">
        <v>780</v>
      </c>
      <c r="AK229" s="31">
        <v>304</v>
      </c>
      <c r="AL229" s="31"/>
      <c r="AM229" s="31">
        <v>10</v>
      </c>
      <c r="AN229" s="31">
        <v>10</v>
      </c>
      <c r="AO229" s="31">
        <v>20</v>
      </c>
      <c r="AP229" s="31">
        <f>265.2/1000</f>
        <v>0.26519999999999999</v>
      </c>
      <c r="AQ229" s="31">
        <f>86.4/1000</f>
        <v>8.6400000000000005E-2</v>
      </c>
      <c r="AR229" s="31"/>
      <c r="AS229" s="31">
        <v>50</v>
      </c>
      <c r="AT229" s="31">
        <v>50</v>
      </c>
      <c r="AU229" s="31"/>
      <c r="AV229" s="31"/>
      <c r="AW229" s="71">
        <f>23/1000</f>
        <v>2.3E-2</v>
      </c>
      <c r="AX229" s="68">
        <f t="shared" si="3"/>
        <v>2.4E-2</v>
      </c>
    </row>
    <row r="230" spans="2:50" x14ac:dyDescent="0.2">
      <c r="B230" s="8"/>
      <c r="C230" s="22">
        <v>43025</v>
      </c>
      <c r="D230" s="78" t="s">
        <v>14</v>
      </c>
      <c r="E230" s="31"/>
      <c r="F230" s="31"/>
      <c r="G230" s="31"/>
      <c r="H230" s="31"/>
      <c r="I230" s="31"/>
      <c r="J230" s="31">
        <v>1</v>
      </c>
      <c r="K230" s="31"/>
      <c r="L230" s="31">
        <v>0.5</v>
      </c>
      <c r="M230" s="31">
        <v>25</v>
      </c>
      <c r="N230" s="31"/>
      <c r="O230" s="31"/>
      <c r="P230" s="31"/>
      <c r="Q230" s="31"/>
      <c r="R230" s="31"/>
      <c r="S230" s="31">
        <v>0.1</v>
      </c>
      <c r="T230" s="31">
        <v>0.05</v>
      </c>
      <c r="U230" s="43">
        <v>2E-3</v>
      </c>
      <c r="V230" s="31"/>
      <c r="W230" s="31"/>
      <c r="X230" s="31"/>
      <c r="Y230" s="31"/>
      <c r="Z230" s="31">
        <v>7.13</v>
      </c>
      <c r="AA230" s="31"/>
      <c r="AB230" s="31">
        <v>6</v>
      </c>
      <c r="AC230" s="31">
        <v>510</v>
      </c>
      <c r="AD230" s="31"/>
      <c r="AE230" s="31">
        <v>5.2</v>
      </c>
      <c r="AF230" s="31"/>
      <c r="AG230" s="31"/>
      <c r="AH230" s="31"/>
      <c r="AI230" s="58">
        <v>5400</v>
      </c>
      <c r="AJ230" s="58">
        <v>490</v>
      </c>
      <c r="AK230" s="31">
        <v>202.4</v>
      </c>
      <c r="AL230" s="31"/>
      <c r="AM230" s="31">
        <v>10</v>
      </c>
      <c r="AN230" s="31">
        <v>10</v>
      </c>
      <c r="AO230" s="31">
        <v>20</v>
      </c>
      <c r="AP230" s="31">
        <f>191.8/1000</f>
        <v>0.1918</v>
      </c>
      <c r="AQ230" s="31">
        <f>67.2/1000</f>
        <v>6.720000000000001E-2</v>
      </c>
      <c r="AR230" s="31"/>
      <c r="AS230" s="31">
        <v>50</v>
      </c>
      <c r="AT230" s="31">
        <v>50</v>
      </c>
      <c r="AU230" s="31"/>
      <c r="AV230" s="31"/>
      <c r="AW230" s="71">
        <f>28.7/1000</f>
        <v>2.87E-2</v>
      </c>
      <c r="AX230" s="68">
        <f t="shared" si="3"/>
        <v>0.02</v>
      </c>
    </row>
    <row r="231" spans="2:50" x14ac:dyDescent="0.2">
      <c r="B231" s="10">
        <v>2018</v>
      </c>
      <c r="C231" s="22">
        <v>43109</v>
      </c>
      <c r="D231" s="27" t="s">
        <v>9</v>
      </c>
      <c r="E231" s="31"/>
      <c r="F231" s="31"/>
      <c r="G231" s="31"/>
      <c r="H231" s="31"/>
      <c r="I231" s="31"/>
      <c r="J231" s="31">
        <v>1</v>
      </c>
      <c r="K231" s="31"/>
      <c r="L231" s="31">
        <v>0.6</v>
      </c>
      <c r="M231" s="31">
        <v>35</v>
      </c>
      <c r="N231" s="31"/>
      <c r="O231" s="31"/>
      <c r="P231" s="31"/>
      <c r="Q231" s="31"/>
      <c r="R231" s="31"/>
      <c r="S231" s="31">
        <v>0.1</v>
      </c>
      <c r="T231" s="31">
        <v>0.09</v>
      </c>
      <c r="U231" s="43">
        <v>8.0000000000000002E-3</v>
      </c>
      <c r="V231" s="31"/>
      <c r="W231" s="31"/>
      <c r="X231" s="31"/>
      <c r="Y231" s="31"/>
      <c r="Z231" s="31">
        <v>8.1</v>
      </c>
      <c r="AA231" s="31"/>
      <c r="AB231" s="31">
        <v>9</v>
      </c>
      <c r="AC231" s="31">
        <v>324</v>
      </c>
      <c r="AD231" s="31"/>
      <c r="AE231" s="31">
        <v>8.4</v>
      </c>
      <c r="AF231" s="31"/>
      <c r="AG231" s="31"/>
      <c r="AH231" s="31"/>
      <c r="AI231" s="58">
        <v>4900</v>
      </c>
      <c r="AJ231" s="58">
        <v>2200</v>
      </c>
      <c r="AK231" s="31">
        <v>1400.3</v>
      </c>
      <c r="AL231" s="31"/>
      <c r="AM231" s="31">
        <v>10</v>
      </c>
      <c r="AN231" s="31">
        <v>11.6</v>
      </c>
      <c r="AO231" s="31">
        <v>20</v>
      </c>
      <c r="AP231" s="31">
        <f>1437.7/1000</f>
        <v>1.4377</v>
      </c>
      <c r="AQ231" s="31">
        <f>78.8/1000</f>
        <v>7.8799999999999995E-2</v>
      </c>
      <c r="AR231" s="31"/>
      <c r="AS231" s="31">
        <v>50</v>
      </c>
      <c r="AT231" s="31">
        <v>50</v>
      </c>
      <c r="AU231" s="31"/>
      <c r="AV231" s="31"/>
      <c r="AW231" s="31">
        <f>90.3/1000</f>
        <v>9.0299999999999991E-2</v>
      </c>
      <c r="AX231" s="68">
        <f t="shared" si="3"/>
        <v>1.7142857142857144E-2</v>
      </c>
    </row>
    <row r="232" spans="2:50" x14ac:dyDescent="0.2">
      <c r="B232" s="9"/>
      <c r="C232" s="22">
        <v>43109</v>
      </c>
      <c r="D232" s="74" t="s">
        <v>10</v>
      </c>
      <c r="E232" s="31"/>
      <c r="F232" s="31"/>
      <c r="G232" s="31"/>
      <c r="H232" s="31"/>
      <c r="I232" s="31"/>
      <c r="J232" s="31">
        <v>1</v>
      </c>
      <c r="K232" s="31"/>
      <c r="L232" s="31">
        <v>0.7</v>
      </c>
      <c r="M232" s="31">
        <v>28</v>
      </c>
      <c r="N232" s="31"/>
      <c r="O232" s="31"/>
      <c r="P232" s="31"/>
      <c r="Q232" s="31"/>
      <c r="R232" s="31"/>
      <c r="S232" s="31">
        <v>0.1</v>
      </c>
      <c r="T232" s="31">
        <v>0.21</v>
      </c>
      <c r="U232" s="43">
        <v>7.0000000000000001E-3</v>
      </c>
      <c r="V232" s="31"/>
      <c r="W232" s="31"/>
      <c r="X232" s="31"/>
      <c r="Y232" s="31"/>
      <c r="Z232" s="31">
        <v>7.96</v>
      </c>
      <c r="AA232" s="31"/>
      <c r="AB232" s="31">
        <v>8</v>
      </c>
      <c r="AC232" s="31">
        <v>344</v>
      </c>
      <c r="AD232" s="31"/>
      <c r="AE232" s="31">
        <v>5.2</v>
      </c>
      <c r="AF232" s="31"/>
      <c r="AG232" s="31"/>
      <c r="AH232" s="31"/>
      <c r="AI232" s="58">
        <v>7000</v>
      </c>
      <c r="AJ232" s="58">
        <v>4900</v>
      </c>
      <c r="AK232" s="31">
        <v>1377.2</v>
      </c>
      <c r="AL232" s="31"/>
      <c r="AM232" s="31">
        <v>10</v>
      </c>
      <c r="AN232" s="31">
        <v>10</v>
      </c>
      <c r="AO232" s="31">
        <v>20</v>
      </c>
      <c r="AP232" s="31">
        <f>1289.2/1000</f>
        <v>1.2892000000000001</v>
      </c>
      <c r="AQ232" s="31">
        <f>114.4/1000</f>
        <v>0.1144</v>
      </c>
      <c r="AR232" s="31"/>
      <c r="AS232" s="31">
        <v>50</v>
      </c>
      <c r="AT232" s="31">
        <v>50</v>
      </c>
      <c r="AU232" s="31"/>
      <c r="AV232" s="31"/>
      <c r="AW232" s="31">
        <f>78.8/1000</f>
        <v>7.8799999999999995E-2</v>
      </c>
      <c r="AX232" s="68">
        <f t="shared" si="3"/>
        <v>2.4999999999999998E-2</v>
      </c>
    </row>
    <row r="233" spans="2:50" x14ac:dyDescent="0.2">
      <c r="B233" s="8"/>
      <c r="C233" s="22">
        <v>43109</v>
      </c>
      <c r="D233" s="75" t="s">
        <v>11</v>
      </c>
      <c r="E233" s="31"/>
      <c r="F233" s="31"/>
      <c r="G233" s="31"/>
      <c r="H233" s="31"/>
      <c r="I233" s="31"/>
      <c r="J233" s="31">
        <v>1</v>
      </c>
      <c r="K233" s="31"/>
      <c r="L233" s="31">
        <v>0.5</v>
      </c>
      <c r="M233" s="31">
        <v>25</v>
      </c>
      <c r="N233" s="31"/>
      <c r="O233" s="31"/>
      <c r="P233" s="31"/>
      <c r="Q233" s="31"/>
      <c r="R233" s="31"/>
      <c r="S233" s="31">
        <v>0.1</v>
      </c>
      <c r="T233" s="31">
        <v>0.1</v>
      </c>
      <c r="U233" s="43">
        <v>6.0000000000000001E-3</v>
      </c>
      <c r="V233" s="31"/>
      <c r="W233" s="31"/>
      <c r="X233" s="31"/>
      <c r="Y233" s="31"/>
      <c r="Z233" s="31">
        <v>8.08</v>
      </c>
      <c r="AA233" s="31"/>
      <c r="AB233" s="31">
        <v>11</v>
      </c>
      <c r="AC233" s="31">
        <v>383</v>
      </c>
      <c r="AD233" s="31"/>
      <c r="AE233" s="31">
        <v>6.8</v>
      </c>
      <c r="AF233" s="31"/>
      <c r="AG233" s="31"/>
      <c r="AH233" s="31"/>
      <c r="AI233" s="58">
        <v>3300</v>
      </c>
      <c r="AJ233" s="58">
        <v>680</v>
      </c>
      <c r="AK233" s="31">
        <v>1269.4000000000001</v>
      </c>
      <c r="AL233" s="31"/>
      <c r="AM233" s="31">
        <v>10</v>
      </c>
      <c r="AN233" s="31">
        <v>10</v>
      </c>
      <c r="AO233" s="31">
        <v>20</v>
      </c>
      <c r="AP233" s="31">
        <f>1439.9/1000</f>
        <v>1.4399000000000002</v>
      </c>
      <c r="AQ233" s="31">
        <f>146.2/1000</f>
        <v>0.1462</v>
      </c>
      <c r="AR233" s="31"/>
      <c r="AS233" s="31">
        <v>50</v>
      </c>
      <c r="AT233" s="31">
        <v>50</v>
      </c>
      <c r="AU233" s="31"/>
      <c r="AV233" s="31"/>
      <c r="AW233" s="31">
        <f>37.6/1000</f>
        <v>3.7600000000000001E-2</v>
      </c>
      <c r="AX233" s="68">
        <f t="shared" si="3"/>
        <v>0.02</v>
      </c>
    </row>
    <row r="234" spans="2:50" x14ac:dyDescent="0.2">
      <c r="B234" s="8"/>
      <c r="C234" s="22">
        <v>43109</v>
      </c>
      <c r="D234" s="76" t="s">
        <v>12</v>
      </c>
      <c r="E234" s="31"/>
      <c r="F234" s="31"/>
      <c r="G234" s="31"/>
      <c r="H234" s="31"/>
      <c r="I234" s="31"/>
      <c r="J234" s="31">
        <v>1</v>
      </c>
      <c r="K234" s="31"/>
      <c r="L234" s="31">
        <v>0.6</v>
      </c>
      <c r="M234" s="31">
        <v>25</v>
      </c>
      <c r="N234" s="31"/>
      <c r="O234" s="31"/>
      <c r="P234" s="31"/>
      <c r="Q234" s="31"/>
      <c r="R234" s="31"/>
      <c r="S234" s="31">
        <v>0.1</v>
      </c>
      <c r="T234" s="31">
        <v>0.15</v>
      </c>
      <c r="U234" s="43">
        <v>1.2E-2</v>
      </c>
      <c r="V234" s="31"/>
      <c r="W234" s="31"/>
      <c r="X234" s="31"/>
      <c r="Y234" s="31"/>
      <c r="Z234" s="31">
        <v>8.14</v>
      </c>
      <c r="AA234" s="31"/>
      <c r="AB234" s="31">
        <v>22</v>
      </c>
      <c r="AC234" s="31">
        <v>411</v>
      </c>
      <c r="AD234" s="31"/>
      <c r="AE234" s="31">
        <v>3.2</v>
      </c>
      <c r="AF234" s="31"/>
      <c r="AG234" s="31"/>
      <c r="AH234" s="31"/>
      <c r="AI234" s="58">
        <v>13000</v>
      </c>
      <c r="AJ234" s="58">
        <v>3300</v>
      </c>
      <c r="AK234" s="31">
        <v>1361.8</v>
      </c>
      <c r="AL234" s="31"/>
      <c r="AM234" s="31">
        <v>10</v>
      </c>
      <c r="AN234" s="31">
        <v>14.4</v>
      </c>
      <c r="AO234" s="31">
        <v>20</v>
      </c>
      <c r="AP234" s="31">
        <f>1555.4/1000</f>
        <v>1.5554000000000001</v>
      </c>
      <c r="AQ234" s="31">
        <f>81.6/1000</f>
        <v>8.1599999999999992E-2</v>
      </c>
      <c r="AR234" s="31"/>
      <c r="AS234" s="31">
        <v>50</v>
      </c>
      <c r="AT234" s="31">
        <v>50</v>
      </c>
      <c r="AU234" s="31"/>
      <c r="AV234" s="31"/>
      <c r="AW234" s="31">
        <f>76.2/1000</f>
        <v>7.6200000000000004E-2</v>
      </c>
      <c r="AX234" s="68">
        <f t="shared" si="3"/>
        <v>2.4E-2</v>
      </c>
    </row>
    <row r="235" spans="2:50" x14ac:dyDescent="0.2">
      <c r="B235" s="8"/>
      <c r="C235" s="22">
        <v>43109</v>
      </c>
      <c r="D235" s="77" t="s">
        <v>13</v>
      </c>
      <c r="E235" s="31"/>
      <c r="F235" s="31"/>
      <c r="G235" s="31"/>
      <c r="H235" s="31"/>
      <c r="I235" s="31"/>
      <c r="J235" s="31">
        <v>1</v>
      </c>
      <c r="K235" s="31"/>
      <c r="L235" s="31">
        <v>0.65</v>
      </c>
      <c r="M235" s="31">
        <v>29</v>
      </c>
      <c r="N235" s="31"/>
      <c r="O235" s="31"/>
      <c r="P235" s="31"/>
      <c r="Q235" s="31"/>
      <c r="R235" s="31"/>
      <c r="S235" s="31">
        <v>0.1</v>
      </c>
      <c r="T235" s="31">
        <v>0.11</v>
      </c>
      <c r="U235" s="43">
        <v>7.0000000000000001E-3</v>
      </c>
      <c r="V235" s="31"/>
      <c r="W235" s="31"/>
      <c r="X235" s="31"/>
      <c r="Y235" s="31"/>
      <c r="Z235" s="31">
        <v>8.08</v>
      </c>
      <c r="AA235" s="31"/>
      <c r="AB235" s="31">
        <v>17</v>
      </c>
      <c r="AC235" s="31">
        <v>367</v>
      </c>
      <c r="AD235" s="31"/>
      <c r="AE235" s="31">
        <v>17.600000000000001</v>
      </c>
      <c r="AF235" s="31"/>
      <c r="AG235" s="31"/>
      <c r="AH235" s="31"/>
      <c r="AI235" s="58">
        <v>3300</v>
      </c>
      <c r="AJ235" s="58">
        <v>790</v>
      </c>
      <c r="AK235" s="31">
        <v>1397</v>
      </c>
      <c r="AL235" s="31"/>
      <c r="AM235" s="31">
        <v>10</v>
      </c>
      <c r="AN235" s="31">
        <v>10</v>
      </c>
      <c r="AO235" s="31">
        <v>20</v>
      </c>
      <c r="AP235" s="31">
        <f>1436.6/1000</f>
        <v>1.4365999999999999</v>
      </c>
      <c r="AQ235" s="31">
        <f>98.8/1000</f>
        <v>9.8799999999999999E-2</v>
      </c>
      <c r="AR235" s="31"/>
      <c r="AS235" s="31">
        <v>50</v>
      </c>
      <c r="AT235" s="31">
        <v>50</v>
      </c>
      <c r="AU235" s="31"/>
      <c r="AV235" s="31"/>
      <c r="AW235" s="31">
        <f>105.5/1000</f>
        <v>0.1055</v>
      </c>
      <c r="AX235" s="68">
        <f t="shared" si="3"/>
        <v>2.2413793103448276E-2</v>
      </c>
    </row>
    <row r="236" spans="2:50" x14ac:dyDescent="0.2">
      <c r="B236" s="8"/>
      <c r="C236" s="22">
        <v>43109</v>
      </c>
      <c r="D236" s="78" t="s">
        <v>14</v>
      </c>
      <c r="E236" s="31"/>
      <c r="F236" s="31"/>
      <c r="G236" s="31"/>
      <c r="H236" s="31"/>
      <c r="I236" s="31"/>
      <c r="J236" s="31">
        <v>1</v>
      </c>
      <c r="K236" s="31"/>
      <c r="L236" s="31">
        <v>0.17499999999999999</v>
      </c>
      <c r="M236" s="31">
        <v>25</v>
      </c>
      <c r="N236" s="31"/>
      <c r="O236" s="31"/>
      <c r="P236" s="31"/>
      <c r="Q236" s="31"/>
      <c r="R236" s="31"/>
      <c r="S236" s="31">
        <v>0.1</v>
      </c>
      <c r="T236" s="31">
        <v>0.15</v>
      </c>
      <c r="U236" s="43">
        <v>2E-3</v>
      </c>
      <c r="V236" s="31"/>
      <c r="W236" s="31"/>
      <c r="X236" s="31"/>
      <c r="Y236" s="31"/>
      <c r="Z236" s="31">
        <v>8.1</v>
      </c>
      <c r="AA236" s="31"/>
      <c r="AB236" s="31">
        <v>8</v>
      </c>
      <c r="AC236" s="31">
        <v>549</v>
      </c>
      <c r="AD236" s="31"/>
      <c r="AE236" s="31">
        <v>31.2</v>
      </c>
      <c r="AF236" s="31"/>
      <c r="AG236" s="31"/>
      <c r="AH236" s="31"/>
      <c r="AI236" s="58">
        <v>1300</v>
      </c>
      <c r="AJ236" s="58">
        <v>1300</v>
      </c>
      <c r="AK236" s="31">
        <v>352.9</v>
      </c>
      <c r="AL236" s="31"/>
      <c r="AM236" s="31">
        <v>10</v>
      </c>
      <c r="AN236" s="31">
        <v>10</v>
      </c>
      <c r="AO236" s="31">
        <v>20</v>
      </c>
      <c r="AP236" s="31">
        <f>482.6/1000</f>
        <v>0.48260000000000003</v>
      </c>
      <c r="AQ236" s="31">
        <f>19.7/1000</f>
        <v>1.9699999999999999E-2</v>
      </c>
      <c r="AR236" s="31"/>
      <c r="AS236" s="31">
        <v>50</v>
      </c>
      <c r="AT236" s="31">
        <v>50</v>
      </c>
      <c r="AU236" s="31"/>
      <c r="AV236" s="31"/>
      <c r="AW236" s="31">
        <f>69.9/1000</f>
        <v>6.9900000000000004E-2</v>
      </c>
      <c r="AX236" s="68">
        <f t="shared" si="3"/>
        <v>6.9999999999999993E-3</v>
      </c>
    </row>
    <row r="237" spans="2:50" x14ac:dyDescent="0.2">
      <c r="B237" s="10"/>
      <c r="C237" s="22">
        <v>43193</v>
      </c>
      <c r="D237" s="27" t="s">
        <v>9</v>
      </c>
      <c r="E237" s="31"/>
      <c r="F237" s="31"/>
      <c r="G237" s="31"/>
      <c r="H237" s="31"/>
      <c r="I237" s="31"/>
      <c r="J237" s="31">
        <v>1</v>
      </c>
      <c r="K237" s="31"/>
      <c r="L237" s="31">
        <v>3.4</v>
      </c>
      <c r="M237" s="31">
        <v>79</v>
      </c>
      <c r="N237" s="31"/>
      <c r="O237" s="31"/>
      <c r="P237" s="31"/>
      <c r="Q237" s="31"/>
      <c r="R237" s="31"/>
      <c r="S237" s="31">
        <v>0.3</v>
      </c>
      <c r="T237" s="31">
        <v>0.254</v>
      </c>
      <c r="U237" s="43">
        <v>1.6E-2</v>
      </c>
      <c r="V237" s="31"/>
      <c r="W237" s="31"/>
      <c r="X237" s="31"/>
      <c r="Y237" s="31"/>
      <c r="Z237" s="31">
        <v>7.12</v>
      </c>
      <c r="AA237" s="31"/>
      <c r="AB237" s="31">
        <v>230</v>
      </c>
      <c r="AC237" s="31">
        <v>515</v>
      </c>
      <c r="AD237" s="31"/>
      <c r="AE237" s="31">
        <v>8</v>
      </c>
      <c r="AF237" s="31"/>
      <c r="AG237" s="31"/>
      <c r="AH237" s="31"/>
      <c r="AI237" s="58">
        <v>3300</v>
      </c>
      <c r="AJ237" s="58">
        <v>3300</v>
      </c>
      <c r="AK237" s="31">
        <v>8384.2000000000007</v>
      </c>
      <c r="AL237" s="31"/>
      <c r="AM237" s="31">
        <v>10</v>
      </c>
      <c r="AN237" s="31">
        <v>19</v>
      </c>
      <c r="AO237" s="31">
        <v>20</v>
      </c>
      <c r="AP237" s="31">
        <f>8657/1000</f>
        <v>8.657</v>
      </c>
      <c r="AQ237" s="31">
        <f>258.7/1000</f>
        <v>0.25869999999999999</v>
      </c>
      <c r="AR237" s="31"/>
      <c r="AS237" s="31">
        <v>50</v>
      </c>
      <c r="AT237" s="31">
        <v>50</v>
      </c>
      <c r="AU237" s="31"/>
      <c r="AV237" s="31"/>
      <c r="AW237" s="31">
        <f>80.3/1000</f>
        <v>8.0299999999999996E-2</v>
      </c>
      <c r="AX237" s="68">
        <f t="shared" si="3"/>
        <v>4.3037974683544304E-2</v>
      </c>
    </row>
    <row r="238" spans="2:50" x14ac:dyDescent="0.2">
      <c r="B238" s="9"/>
      <c r="C238" s="22">
        <v>43193</v>
      </c>
      <c r="D238" s="74" t="s">
        <v>10</v>
      </c>
      <c r="E238" s="31"/>
      <c r="F238" s="31"/>
      <c r="G238" s="31"/>
      <c r="H238" s="31"/>
      <c r="I238" s="31"/>
      <c r="J238" s="31">
        <v>1</v>
      </c>
      <c r="K238" s="31"/>
      <c r="L238" s="31">
        <v>3.05</v>
      </c>
      <c r="M238" s="31">
        <v>72</v>
      </c>
      <c r="N238" s="31"/>
      <c r="O238" s="31"/>
      <c r="P238" s="31"/>
      <c r="Q238" s="31"/>
      <c r="R238" s="31"/>
      <c r="S238" s="31">
        <v>0.33</v>
      </c>
      <c r="T238" s="31">
        <v>0.104</v>
      </c>
      <c r="U238" s="43">
        <v>2.5999999999999999E-2</v>
      </c>
      <c r="V238" s="31"/>
      <c r="W238" s="31"/>
      <c r="X238" s="31"/>
      <c r="Y238" s="31"/>
      <c r="Z238" s="31">
        <v>7.22</v>
      </c>
      <c r="AA238" s="31"/>
      <c r="AB238" s="31">
        <v>198</v>
      </c>
      <c r="AC238" s="31">
        <v>496</v>
      </c>
      <c r="AD238" s="31"/>
      <c r="AE238" s="31">
        <v>6.8</v>
      </c>
      <c r="AF238" s="31"/>
      <c r="AG238" s="31"/>
      <c r="AH238" s="31"/>
      <c r="AI238" s="58">
        <v>17000</v>
      </c>
      <c r="AJ238" s="58">
        <v>17000</v>
      </c>
      <c r="AK238" s="31">
        <v>7846.3</v>
      </c>
      <c r="AL238" s="31"/>
      <c r="AM238" s="31">
        <v>10</v>
      </c>
      <c r="AN238" s="31">
        <v>18.7</v>
      </c>
      <c r="AO238" s="31">
        <v>20</v>
      </c>
      <c r="AP238" s="31">
        <f>8366.6/1000</f>
        <v>8.3666</v>
      </c>
      <c r="AQ238" s="31">
        <f>263.2/1000</f>
        <v>0.26319999999999999</v>
      </c>
      <c r="AR238" s="31"/>
      <c r="AS238" s="31">
        <v>50</v>
      </c>
      <c r="AT238" s="31">
        <v>50</v>
      </c>
      <c r="AU238" s="31"/>
      <c r="AV238" s="31"/>
      <c r="AW238" s="31">
        <f>51.9/1000</f>
        <v>5.1900000000000002E-2</v>
      </c>
      <c r="AX238" s="68">
        <f t="shared" si="3"/>
        <v>4.2361111111111106E-2</v>
      </c>
    </row>
    <row r="239" spans="2:50" x14ac:dyDescent="0.2">
      <c r="B239" s="8"/>
      <c r="C239" s="22">
        <v>43193</v>
      </c>
      <c r="D239" s="75" t="s">
        <v>11</v>
      </c>
      <c r="E239" s="31"/>
      <c r="F239" s="31"/>
      <c r="G239" s="31"/>
      <c r="H239" s="31"/>
      <c r="I239" s="31"/>
      <c r="J239" s="31">
        <v>1</v>
      </c>
      <c r="K239" s="31"/>
      <c r="L239" s="31">
        <v>2.8</v>
      </c>
      <c r="M239" s="31">
        <v>74</v>
      </c>
      <c r="N239" s="31"/>
      <c r="O239" s="31"/>
      <c r="P239" s="31"/>
      <c r="Q239" s="31"/>
      <c r="R239" s="31"/>
      <c r="S239" s="31">
        <v>0.35</v>
      </c>
      <c r="T239" s="31">
        <v>7.0000000000000007E-2</v>
      </c>
      <c r="U239" s="43">
        <v>0.02</v>
      </c>
      <c r="V239" s="31"/>
      <c r="W239" s="31"/>
      <c r="X239" s="31"/>
      <c r="Y239" s="31"/>
      <c r="Z239" s="31">
        <v>7.23</v>
      </c>
      <c r="AA239" s="31"/>
      <c r="AB239" s="31">
        <v>180</v>
      </c>
      <c r="AC239" s="31">
        <v>501</v>
      </c>
      <c r="AD239" s="31"/>
      <c r="AE239" s="31">
        <v>12</v>
      </c>
      <c r="AF239" s="31"/>
      <c r="AG239" s="31"/>
      <c r="AH239" s="31"/>
      <c r="AI239" s="58">
        <v>4900</v>
      </c>
      <c r="AJ239" s="58">
        <v>4900</v>
      </c>
      <c r="AK239" s="31">
        <v>7751.7</v>
      </c>
      <c r="AL239" s="31"/>
      <c r="AM239" s="31">
        <v>10</v>
      </c>
      <c r="AN239" s="31">
        <v>14.3</v>
      </c>
      <c r="AO239" s="31">
        <v>20.5</v>
      </c>
      <c r="AP239" s="31">
        <f>8396.3/1000</f>
        <v>8.3963000000000001</v>
      </c>
      <c r="AQ239" s="31">
        <f>244.2/1000</f>
        <v>0.2442</v>
      </c>
      <c r="AR239" s="31"/>
      <c r="AS239" s="31">
        <v>50</v>
      </c>
      <c r="AT239" s="31">
        <v>50</v>
      </c>
      <c r="AU239" s="31"/>
      <c r="AV239" s="31"/>
      <c r="AW239" s="31">
        <f>51.2/1000</f>
        <v>5.1200000000000002E-2</v>
      </c>
      <c r="AX239" s="68">
        <f t="shared" si="3"/>
        <v>3.7837837837837833E-2</v>
      </c>
    </row>
    <row r="240" spans="2:50" x14ac:dyDescent="0.2">
      <c r="B240" s="8"/>
      <c r="C240" s="22">
        <v>43193</v>
      </c>
      <c r="D240" s="76" t="s">
        <v>12</v>
      </c>
      <c r="E240" s="31"/>
      <c r="F240" s="31"/>
      <c r="G240" s="31"/>
      <c r="H240" s="31"/>
      <c r="I240" s="31"/>
      <c r="J240" s="31">
        <v>1.07</v>
      </c>
      <c r="K240" s="31"/>
      <c r="L240" s="31">
        <v>3.53</v>
      </c>
      <c r="M240" s="31">
        <v>90</v>
      </c>
      <c r="N240" s="31"/>
      <c r="O240" s="31"/>
      <c r="P240" s="31"/>
      <c r="Q240" s="31"/>
      <c r="R240" s="31"/>
      <c r="S240" s="31">
        <v>0.39</v>
      </c>
      <c r="T240" s="31">
        <v>4.8000000000000001E-2</v>
      </c>
      <c r="U240" s="43">
        <v>2.1999999999999999E-2</v>
      </c>
      <c r="V240" s="31"/>
      <c r="W240" s="31"/>
      <c r="X240" s="31"/>
      <c r="Y240" s="31"/>
      <c r="Z240" s="31">
        <v>7.35</v>
      </c>
      <c r="AA240" s="31"/>
      <c r="AB240" s="31">
        <v>290</v>
      </c>
      <c r="AC240" s="31">
        <v>571</v>
      </c>
      <c r="AD240" s="31"/>
      <c r="AE240" s="31">
        <v>10.4</v>
      </c>
      <c r="AF240" s="31"/>
      <c r="AG240" s="31"/>
      <c r="AH240" s="31"/>
      <c r="AI240" s="58">
        <v>1700</v>
      </c>
      <c r="AJ240" s="58">
        <v>1300</v>
      </c>
      <c r="AK240" s="31">
        <v>10785.5</v>
      </c>
      <c r="AL240" s="31"/>
      <c r="AM240" s="31">
        <v>10</v>
      </c>
      <c r="AN240" s="31">
        <v>21.8</v>
      </c>
      <c r="AO240" s="31">
        <v>20</v>
      </c>
      <c r="AP240" s="31">
        <f>13079/1000</f>
        <v>13.079000000000001</v>
      </c>
      <c r="AQ240" s="31">
        <f>306.6/1000</f>
        <v>0.30660000000000004</v>
      </c>
      <c r="AR240" s="31"/>
      <c r="AS240" s="31">
        <v>50</v>
      </c>
      <c r="AT240" s="31">
        <v>50</v>
      </c>
      <c r="AU240" s="31"/>
      <c r="AV240" s="31"/>
      <c r="AW240" s="31">
        <f>81.2/1000</f>
        <v>8.1200000000000008E-2</v>
      </c>
      <c r="AX240" s="68">
        <f t="shared" si="3"/>
        <v>3.9222222222222221E-2</v>
      </c>
    </row>
    <row r="241" spans="1:50" x14ac:dyDescent="0.2">
      <c r="B241" s="8"/>
      <c r="C241" s="22">
        <v>43193</v>
      </c>
      <c r="D241" s="77" t="s">
        <v>13</v>
      </c>
      <c r="E241" s="31"/>
      <c r="F241" s="31"/>
      <c r="G241" s="31"/>
      <c r="H241" s="31"/>
      <c r="I241" s="31"/>
      <c r="J241" s="31">
        <v>1</v>
      </c>
      <c r="K241" s="31"/>
      <c r="L241" s="31">
        <v>3.1</v>
      </c>
      <c r="M241" s="31">
        <v>79</v>
      </c>
      <c r="N241" s="31"/>
      <c r="O241" s="31"/>
      <c r="P241" s="31"/>
      <c r="Q241" s="31"/>
      <c r="R241" s="31"/>
      <c r="S241" s="31">
        <v>0.32</v>
      </c>
      <c r="T241" s="31">
        <v>0.113</v>
      </c>
      <c r="U241" s="43">
        <v>1.7000000000000001E-2</v>
      </c>
      <c r="V241" s="31"/>
      <c r="W241" s="31"/>
      <c r="X241" s="31"/>
      <c r="Y241" s="31"/>
      <c r="Z241" s="31">
        <v>7.33</v>
      </c>
      <c r="AA241" s="31"/>
      <c r="AB241" s="31">
        <v>198</v>
      </c>
      <c r="AC241" s="31">
        <v>510</v>
      </c>
      <c r="AD241" s="31"/>
      <c r="AE241" s="31">
        <v>2.8</v>
      </c>
      <c r="AF241" s="31"/>
      <c r="AG241" s="31"/>
      <c r="AH241" s="31"/>
      <c r="AI241" s="58">
        <v>13000</v>
      </c>
      <c r="AJ241" s="58">
        <v>13000</v>
      </c>
      <c r="AK241" s="31">
        <v>8635</v>
      </c>
      <c r="AL241" s="31"/>
      <c r="AM241" s="31">
        <v>10</v>
      </c>
      <c r="AN241" s="31">
        <v>14.5</v>
      </c>
      <c r="AO241" s="31">
        <v>20</v>
      </c>
      <c r="AP241" s="31">
        <f>9010.1/1000</f>
        <v>9.0100999999999996</v>
      </c>
      <c r="AQ241" s="31">
        <f>246.2/1000</f>
        <v>0.2462</v>
      </c>
      <c r="AR241" s="31"/>
      <c r="AS241" s="31">
        <v>50</v>
      </c>
      <c r="AT241" s="31">
        <v>50</v>
      </c>
      <c r="AU241" s="31"/>
      <c r="AV241" s="31"/>
      <c r="AW241" s="31">
        <f>47/1000</f>
        <v>4.7E-2</v>
      </c>
      <c r="AX241" s="68">
        <f t="shared" si="3"/>
        <v>3.9240506329113925E-2</v>
      </c>
    </row>
    <row r="242" spans="1:50" x14ac:dyDescent="0.2">
      <c r="B242" s="8"/>
      <c r="C242" s="22">
        <v>43193</v>
      </c>
      <c r="D242" s="78" t="s">
        <v>14</v>
      </c>
      <c r="E242" s="31"/>
      <c r="F242" s="31"/>
      <c r="G242" s="31"/>
      <c r="H242" s="31"/>
      <c r="I242" s="31"/>
      <c r="J242" s="31">
        <v>1</v>
      </c>
      <c r="K242" s="31"/>
      <c r="L242" s="31">
        <v>0.3</v>
      </c>
      <c r="M242" s="31">
        <v>25</v>
      </c>
      <c r="N242" s="31"/>
      <c r="O242" s="31"/>
      <c r="P242" s="31"/>
      <c r="Q242" s="31"/>
      <c r="R242" s="31"/>
      <c r="S242" s="31">
        <v>0.1</v>
      </c>
      <c r="T242" s="31">
        <v>0.186</v>
      </c>
      <c r="U242" s="43">
        <v>1.4E-2</v>
      </c>
      <c r="V242" s="31"/>
      <c r="W242" s="31"/>
      <c r="X242" s="31"/>
      <c r="Y242" s="31"/>
      <c r="Z242" s="31">
        <v>7.7</v>
      </c>
      <c r="AA242" s="31"/>
      <c r="AB242" s="31">
        <v>15</v>
      </c>
      <c r="AC242" s="31">
        <v>417</v>
      </c>
      <c r="AD242" s="31"/>
      <c r="AE242" s="31">
        <v>25.6</v>
      </c>
      <c r="AF242" s="31"/>
      <c r="AG242" s="31"/>
      <c r="AH242" s="31"/>
      <c r="AI242" s="58">
        <v>2200</v>
      </c>
      <c r="AJ242" s="58">
        <v>2200</v>
      </c>
      <c r="AK242" s="31">
        <v>747.8</v>
      </c>
      <c r="AL242" s="31"/>
      <c r="AM242" s="31">
        <v>10</v>
      </c>
      <c r="AN242" s="31">
        <v>10</v>
      </c>
      <c r="AO242" s="31">
        <v>20</v>
      </c>
      <c r="AP242" s="31">
        <f>1155/1000</f>
        <v>1.155</v>
      </c>
      <c r="AQ242" s="31">
        <f>16.3/1000</f>
        <v>1.6300000000000002E-2</v>
      </c>
      <c r="AR242" s="31"/>
      <c r="AS242" s="31">
        <v>50</v>
      </c>
      <c r="AT242" s="31">
        <v>50</v>
      </c>
      <c r="AU242" s="31"/>
      <c r="AV242" s="31"/>
      <c r="AW242" s="31">
        <f>42.5/1000</f>
        <v>4.2500000000000003E-2</v>
      </c>
      <c r="AX242" s="68">
        <f t="shared" si="3"/>
        <v>1.2E-2</v>
      </c>
    </row>
    <row r="243" spans="1:50" x14ac:dyDescent="0.2">
      <c r="B243" s="10"/>
      <c r="C243" s="22">
        <v>43298</v>
      </c>
      <c r="D243" s="27" t="s">
        <v>9</v>
      </c>
      <c r="E243" s="31"/>
      <c r="F243" s="31"/>
      <c r="G243" s="31"/>
      <c r="H243" s="31"/>
      <c r="I243" s="31"/>
      <c r="J243" s="31"/>
      <c r="K243" s="31"/>
      <c r="L243" s="31">
        <v>1</v>
      </c>
      <c r="M243" s="31">
        <v>25</v>
      </c>
      <c r="N243" s="31"/>
      <c r="O243" s="31"/>
      <c r="P243" s="31"/>
      <c r="Q243" s="31"/>
      <c r="R243" s="31"/>
      <c r="S243" s="31"/>
      <c r="T243" s="31"/>
      <c r="U243" s="43"/>
      <c r="V243" s="31"/>
      <c r="W243" s="31"/>
      <c r="X243" s="31"/>
      <c r="Y243" s="31"/>
      <c r="Z243" s="31">
        <v>8.34</v>
      </c>
      <c r="AA243" s="31"/>
      <c r="AB243" s="31"/>
      <c r="AC243" s="31"/>
      <c r="AD243" s="31"/>
      <c r="AE243" s="31"/>
      <c r="AF243" s="31"/>
      <c r="AG243" s="31"/>
      <c r="AH243" s="31"/>
      <c r="AI243" s="58">
        <v>490</v>
      </c>
      <c r="AJ243" s="58">
        <v>330</v>
      </c>
      <c r="AK243" s="31"/>
      <c r="AL243" s="31"/>
      <c r="AM243" s="31">
        <v>10</v>
      </c>
      <c r="AN243" s="31">
        <v>10</v>
      </c>
      <c r="AO243" s="31">
        <v>20</v>
      </c>
      <c r="AP243" s="31">
        <f>341.7/1000</f>
        <v>0.3417</v>
      </c>
      <c r="AQ243" s="31">
        <f>37.8/1000</f>
        <v>3.78E-2</v>
      </c>
      <c r="AR243" s="31"/>
      <c r="AS243" s="31">
        <v>50</v>
      </c>
      <c r="AT243" s="31">
        <v>50</v>
      </c>
      <c r="AU243" s="31"/>
      <c r="AV243" s="31"/>
      <c r="AW243" s="37">
        <f>20/1000</f>
        <v>0.02</v>
      </c>
      <c r="AX243" s="68">
        <f t="shared" si="3"/>
        <v>0.04</v>
      </c>
    </row>
    <row r="244" spans="1:50" x14ac:dyDescent="0.2">
      <c r="B244" s="9"/>
      <c r="C244" s="22">
        <v>43298</v>
      </c>
      <c r="D244" s="74" t="s">
        <v>10</v>
      </c>
      <c r="E244" s="31"/>
      <c r="F244" s="31"/>
      <c r="G244" s="31"/>
      <c r="H244" s="31"/>
      <c r="I244" s="31"/>
      <c r="J244" s="31"/>
      <c r="K244" s="31"/>
      <c r="L244" s="31">
        <v>1</v>
      </c>
      <c r="M244" s="31">
        <v>25</v>
      </c>
      <c r="N244" s="31"/>
      <c r="O244" s="31"/>
      <c r="P244" s="31"/>
      <c r="Q244" s="31"/>
      <c r="R244" s="31"/>
      <c r="S244" s="31"/>
      <c r="T244" s="31"/>
      <c r="U244" s="43"/>
      <c r="V244" s="31"/>
      <c r="W244" s="31"/>
      <c r="X244" s="31"/>
      <c r="Y244" s="31"/>
      <c r="Z244" s="31">
        <v>8.4</v>
      </c>
      <c r="AA244" s="31"/>
      <c r="AB244" s="31"/>
      <c r="AC244" s="31"/>
      <c r="AD244" s="31"/>
      <c r="AE244" s="31"/>
      <c r="AF244" s="31"/>
      <c r="AG244" s="31"/>
      <c r="AH244" s="31"/>
      <c r="AI244" s="58">
        <v>490</v>
      </c>
      <c r="AJ244" s="58">
        <v>220</v>
      </c>
      <c r="AK244" s="31"/>
      <c r="AL244" s="31"/>
      <c r="AM244" s="31">
        <v>10</v>
      </c>
      <c r="AN244" s="31">
        <v>10</v>
      </c>
      <c r="AO244" s="31">
        <v>20</v>
      </c>
      <c r="AP244" s="31">
        <f>296/1000</f>
        <v>0.29599999999999999</v>
      </c>
      <c r="AQ244" s="31">
        <f>36.6/1000</f>
        <v>3.6600000000000001E-2</v>
      </c>
      <c r="AR244" s="31"/>
      <c r="AS244" s="31">
        <v>50</v>
      </c>
      <c r="AT244" s="31">
        <v>50</v>
      </c>
      <c r="AU244" s="31"/>
      <c r="AV244" s="31"/>
      <c r="AW244" s="37">
        <f>20/1000</f>
        <v>0.02</v>
      </c>
      <c r="AX244" s="68">
        <f t="shared" si="3"/>
        <v>0.04</v>
      </c>
    </row>
    <row r="245" spans="1:50" x14ac:dyDescent="0.2">
      <c r="B245" s="8"/>
      <c r="C245" s="22">
        <v>43298</v>
      </c>
      <c r="D245" s="75" t="s">
        <v>11</v>
      </c>
      <c r="E245" s="31"/>
      <c r="F245" s="31"/>
      <c r="G245" s="31"/>
      <c r="H245" s="31"/>
      <c r="I245" s="31"/>
      <c r="J245" s="31"/>
      <c r="K245" s="31"/>
      <c r="L245" s="31">
        <v>1</v>
      </c>
      <c r="M245" s="31">
        <v>25</v>
      </c>
      <c r="N245" s="31"/>
      <c r="O245" s="31"/>
      <c r="P245" s="31"/>
      <c r="Q245" s="31"/>
      <c r="R245" s="31"/>
      <c r="S245" s="31"/>
      <c r="T245" s="31"/>
      <c r="U245" s="43"/>
      <c r="V245" s="31"/>
      <c r="W245" s="31"/>
      <c r="X245" s="31"/>
      <c r="Y245" s="31"/>
      <c r="Z245" s="31">
        <v>8.4700000000000006</v>
      </c>
      <c r="AA245" s="31"/>
      <c r="AB245" s="31"/>
      <c r="AC245" s="31"/>
      <c r="AD245" s="31"/>
      <c r="AE245" s="31"/>
      <c r="AF245" s="31"/>
      <c r="AG245" s="31"/>
      <c r="AH245" s="31"/>
      <c r="AI245" s="58">
        <v>490</v>
      </c>
      <c r="AJ245" s="58">
        <v>490</v>
      </c>
      <c r="AK245" s="31"/>
      <c r="AL245" s="31"/>
      <c r="AM245" s="31">
        <v>10</v>
      </c>
      <c r="AN245" s="31">
        <v>10</v>
      </c>
      <c r="AO245" s="31">
        <v>20</v>
      </c>
      <c r="AP245" s="31">
        <f>70.6/1000</f>
        <v>7.0599999999999996E-2</v>
      </c>
      <c r="AQ245" s="31">
        <f>21.6/1000</f>
        <v>2.1600000000000001E-2</v>
      </c>
      <c r="AR245" s="31"/>
      <c r="AS245" s="31">
        <v>50</v>
      </c>
      <c r="AT245" s="31">
        <v>50</v>
      </c>
      <c r="AU245" s="31"/>
      <c r="AV245" s="31"/>
      <c r="AW245" s="37">
        <f>20/1000</f>
        <v>0.02</v>
      </c>
      <c r="AX245" s="68">
        <f t="shared" si="3"/>
        <v>0.04</v>
      </c>
    </row>
    <row r="246" spans="1:50" x14ac:dyDescent="0.2">
      <c r="B246" s="8"/>
      <c r="C246" s="22">
        <v>43298</v>
      </c>
      <c r="D246" s="76" t="s">
        <v>12</v>
      </c>
      <c r="E246" s="31"/>
      <c r="F246" s="31"/>
      <c r="G246" s="31"/>
      <c r="H246" s="31"/>
      <c r="I246" s="31"/>
      <c r="J246" s="31"/>
      <c r="K246" s="31"/>
      <c r="L246" s="31">
        <v>1</v>
      </c>
      <c r="M246" s="31">
        <v>25</v>
      </c>
      <c r="N246" s="31"/>
      <c r="O246" s="31"/>
      <c r="P246" s="31"/>
      <c r="Q246" s="31"/>
      <c r="R246" s="31"/>
      <c r="S246" s="31"/>
      <c r="T246" s="31"/>
      <c r="U246" s="43"/>
      <c r="V246" s="31"/>
      <c r="W246" s="31"/>
      <c r="X246" s="31"/>
      <c r="Y246" s="31"/>
      <c r="Z246" s="31">
        <v>8.49</v>
      </c>
      <c r="AA246" s="31"/>
      <c r="AB246" s="31"/>
      <c r="AC246" s="31"/>
      <c r="AD246" s="31"/>
      <c r="AE246" s="31"/>
      <c r="AF246" s="31"/>
      <c r="AG246" s="31"/>
      <c r="AH246" s="31"/>
      <c r="AI246" s="58">
        <v>2200</v>
      </c>
      <c r="AJ246" s="58">
        <v>2200</v>
      </c>
      <c r="AK246" s="31"/>
      <c r="AL246" s="31"/>
      <c r="AM246" s="31">
        <v>10</v>
      </c>
      <c r="AN246" s="31">
        <v>10</v>
      </c>
      <c r="AO246" s="31">
        <v>20</v>
      </c>
      <c r="AP246" s="31">
        <f>81.4/1000</f>
        <v>8.14E-2</v>
      </c>
      <c r="AQ246" s="31">
        <f>25.3/1000</f>
        <v>2.53E-2</v>
      </c>
      <c r="AR246" s="31"/>
      <c r="AS246" s="31">
        <v>50</v>
      </c>
      <c r="AT246" s="31">
        <v>50</v>
      </c>
      <c r="AU246" s="31"/>
      <c r="AV246" s="31"/>
      <c r="AW246" s="31">
        <f>24.1/1000</f>
        <v>2.41E-2</v>
      </c>
      <c r="AX246" s="68">
        <f t="shared" si="3"/>
        <v>0.04</v>
      </c>
    </row>
    <row r="247" spans="1:50" x14ac:dyDescent="0.2">
      <c r="A247" s="3" t="s">
        <v>3</v>
      </c>
      <c r="B247" s="8"/>
      <c r="C247" s="22">
        <v>43298</v>
      </c>
      <c r="D247" s="77" t="s">
        <v>13</v>
      </c>
      <c r="E247" s="31"/>
      <c r="F247" s="31"/>
      <c r="G247" s="31"/>
      <c r="H247" s="31"/>
      <c r="I247" s="31"/>
      <c r="J247" s="31"/>
      <c r="K247" s="31"/>
      <c r="L247" s="31">
        <v>1</v>
      </c>
      <c r="M247" s="31">
        <v>25</v>
      </c>
      <c r="N247" s="31"/>
      <c r="O247" s="31"/>
      <c r="P247" s="31"/>
      <c r="Q247" s="31"/>
      <c r="R247" s="31"/>
      <c r="S247" s="31"/>
      <c r="T247" s="31"/>
      <c r="U247" s="43"/>
      <c r="V247" s="31"/>
      <c r="W247" s="31"/>
      <c r="X247" s="31"/>
      <c r="Y247" s="31"/>
      <c r="Z247" s="31">
        <v>8.39</v>
      </c>
      <c r="AA247" s="31"/>
      <c r="AB247" s="31"/>
      <c r="AC247" s="31"/>
      <c r="AD247" s="31"/>
      <c r="AE247" s="31"/>
      <c r="AF247" s="31"/>
      <c r="AG247" s="31"/>
      <c r="AH247" s="31"/>
      <c r="AI247" s="58">
        <v>1100</v>
      </c>
      <c r="AJ247" s="58">
        <v>1100</v>
      </c>
      <c r="AK247" s="31"/>
      <c r="AL247" s="31"/>
      <c r="AM247" s="31">
        <v>10</v>
      </c>
      <c r="AN247" s="31">
        <v>10</v>
      </c>
      <c r="AO247" s="31">
        <v>20</v>
      </c>
      <c r="AP247" s="31">
        <f>93.4/1000</f>
        <v>9.3400000000000011E-2</v>
      </c>
      <c r="AQ247" s="31">
        <f>32/1000</f>
        <v>3.2000000000000001E-2</v>
      </c>
      <c r="AR247" s="31"/>
      <c r="AS247" s="31">
        <v>50</v>
      </c>
      <c r="AT247" s="31">
        <v>50</v>
      </c>
      <c r="AU247" s="31"/>
      <c r="AV247" s="31"/>
      <c r="AW247" s="37">
        <f>20/1000</f>
        <v>0.02</v>
      </c>
      <c r="AX247" s="68">
        <f t="shared" si="3"/>
        <v>0.04</v>
      </c>
    </row>
    <row r="248" spans="1:50" x14ac:dyDescent="0.2">
      <c r="A248" s="3" t="s">
        <v>3</v>
      </c>
      <c r="B248" s="8"/>
      <c r="C248" s="22">
        <v>43298</v>
      </c>
      <c r="D248" s="78" t="s">
        <v>14</v>
      </c>
      <c r="E248" s="31"/>
      <c r="F248" s="31"/>
      <c r="G248" s="31"/>
      <c r="H248" s="31"/>
      <c r="I248" s="31"/>
      <c r="J248" s="31"/>
      <c r="K248" s="31"/>
      <c r="L248" s="31">
        <v>1</v>
      </c>
      <c r="M248" s="31">
        <v>25</v>
      </c>
      <c r="N248" s="31"/>
      <c r="O248" s="31"/>
      <c r="P248" s="31"/>
      <c r="Q248" s="31"/>
      <c r="R248" s="31"/>
      <c r="S248" s="31"/>
      <c r="T248" s="31"/>
      <c r="U248" s="43"/>
      <c r="V248" s="31"/>
      <c r="W248" s="31"/>
      <c r="X248" s="31"/>
      <c r="Y248" s="31"/>
      <c r="Z248" s="31">
        <v>8.1</v>
      </c>
      <c r="AA248" s="31"/>
      <c r="AB248" s="31"/>
      <c r="AC248" s="31"/>
      <c r="AD248" s="31"/>
      <c r="AE248" s="31"/>
      <c r="AF248" s="31"/>
      <c r="AG248" s="31"/>
      <c r="AH248" s="31"/>
      <c r="AI248" s="58">
        <v>1300</v>
      </c>
      <c r="AJ248" s="58">
        <v>330</v>
      </c>
      <c r="AK248" s="31"/>
      <c r="AL248" s="31"/>
      <c r="AM248" s="31">
        <v>10</v>
      </c>
      <c r="AN248" s="31">
        <v>10</v>
      </c>
      <c r="AO248" s="31">
        <v>20</v>
      </c>
      <c r="AP248" s="31">
        <f>101/1000</f>
        <v>0.10100000000000001</v>
      </c>
      <c r="AQ248" s="31">
        <f>17.7/1000</f>
        <v>1.77E-2</v>
      </c>
      <c r="AR248" s="31"/>
      <c r="AS248" s="31">
        <v>50</v>
      </c>
      <c r="AT248" s="31">
        <v>50</v>
      </c>
      <c r="AU248" s="31"/>
      <c r="AV248" s="31"/>
      <c r="AW248" s="37">
        <f>20/1000</f>
        <v>0.02</v>
      </c>
      <c r="AX248" s="68">
        <f t="shared" si="3"/>
        <v>0.04</v>
      </c>
    </row>
    <row r="249" spans="1:50" x14ac:dyDescent="0.2">
      <c r="B249" s="10"/>
      <c r="C249" s="22">
        <v>43403</v>
      </c>
      <c r="D249" s="27" t="s">
        <v>9</v>
      </c>
      <c r="E249" s="31"/>
      <c r="F249" s="31"/>
      <c r="G249" s="31"/>
      <c r="H249" s="31"/>
      <c r="I249" s="31"/>
      <c r="J249" s="31">
        <v>1</v>
      </c>
      <c r="K249" s="31"/>
      <c r="L249" s="31">
        <v>1.95</v>
      </c>
      <c r="M249" s="31">
        <v>26</v>
      </c>
      <c r="N249" s="31"/>
      <c r="O249" s="31"/>
      <c r="P249" s="31"/>
      <c r="Q249" s="31"/>
      <c r="R249" s="31"/>
      <c r="S249" s="31">
        <v>0.1</v>
      </c>
      <c r="T249" s="31">
        <v>0.71</v>
      </c>
      <c r="U249" s="43">
        <v>2E-3</v>
      </c>
      <c r="V249" s="31"/>
      <c r="W249" s="31"/>
      <c r="X249" s="31"/>
      <c r="Y249" s="31"/>
      <c r="Z249" s="31">
        <v>8.6999999999999993</v>
      </c>
      <c r="AA249" s="31"/>
      <c r="AB249" s="31">
        <v>18</v>
      </c>
      <c r="AC249" s="31">
        <v>517</v>
      </c>
      <c r="AD249" s="31"/>
      <c r="AE249" s="31">
        <v>4.4000000000000004</v>
      </c>
      <c r="AF249" s="31"/>
      <c r="AG249" s="31"/>
      <c r="AH249" s="31"/>
      <c r="AI249" s="58">
        <v>1700</v>
      </c>
      <c r="AJ249" s="58">
        <v>1700</v>
      </c>
      <c r="AK249" s="31">
        <v>608.29999999999995</v>
      </c>
      <c r="AL249" s="31"/>
      <c r="AM249" s="31">
        <v>10</v>
      </c>
      <c r="AN249" s="31">
        <v>10</v>
      </c>
      <c r="AO249" s="31">
        <v>20</v>
      </c>
      <c r="AP249" s="31">
        <f>596.8/1000</f>
        <v>0.5968</v>
      </c>
      <c r="AQ249" s="31">
        <f>93.8/1000</f>
        <v>9.3799999999999994E-2</v>
      </c>
      <c r="AR249" s="31"/>
      <c r="AS249" s="31">
        <v>50</v>
      </c>
      <c r="AT249" s="31">
        <v>50</v>
      </c>
      <c r="AU249" s="31"/>
      <c r="AV249" s="31"/>
      <c r="AW249" s="37">
        <f>20/1000</f>
        <v>0.02</v>
      </c>
      <c r="AX249" s="68">
        <f t="shared" si="3"/>
        <v>7.4999999999999997E-2</v>
      </c>
    </row>
    <row r="250" spans="1:50" x14ac:dyDescent="0.2">
      <c r="B250" s="9"/>
      <c r="C250" s="22">
        <v>43403</v>
      </c>
      <c r="D250" s="74" t="s">
        <v>10</v>
      </c>
      <c r="E250" s="31"/>
      <c r="F250" s="31"/>
      <c r="G250" s="31"/>
      <c r="H250" s="31"/>
      <c r="I250" s="31"/>
      <c r="J250" s="31">
        <v>1</v>
      </c>
      <c r="K250" s="31"/>
      <c r="L250" s="31">
        <v>2.2000000000000002</v>
      </c>
      <c r="M250" s="31">
        <v>25</v>
      </c>
      <c r="N250" s="31"/>
      <c r="O250" s="31"/>
      <c r="P250" s="31"/>
      <c r="Q250" s="31"/>
      <c r="R250" s="31"/>
      <c r="S250" s="31">
        <v>0.1</v>
      </c>
      <c r="T250" s="31">
        <v>0.08</v>
      </c>
      <c r="U250" s="43">
        <v>2E-3</v>
      </c>
      <c r="V250" s="31"/>
      <c r="W250" s="31"/>
      <c r="X250" s="31"/>
      <c r="Y250" s="31"/>
      <c r="Z250" s="31">
        <v>8.3800000000000008</v>
      </c>
      <c r="AA250" s="31"/>
      <c r="AB250" s="31">
        <v>31</v>
      </c>
      <c r="AC250" s="31">
        <v>532</v>
      </c>
      <c r="AD250" s="31"/>
      <c r="AE250" s="31">
        <v>7.6</v>
      </c>
      <c r="AF250" s="31"/>
      <c r="AG250" s="31"/>
      <c r="AH250" s="31"/>
      <c r="AI250" s="58">
        <v>3500</v>
      </c>
      <c r="AJ250" s="58">
        <v>3500</v>
      </c>
      <c r="AK250" s="31">
        <v>815.5</v>
      </c>
      <c r="AL250" s="31"/>
      <c r="AM250" s="31">
        <v>10</v>
      </c>
      <c r="AN250" s="31">
        <v>10</v>
      </c>
      <c r="AO250" s="31">
        <v>20</v>
      </c>
      <c r="AP250" s="31">
        <f>847.8/1000</f>
        <v>0.8478</v>
      </c>
      <c r="AQ250" s="31">
        <f>234.4/1000</f>
        <v>0.2344</v>
      </c>
      <c r="AR250" s="31"/>
      <c r="AS250" s="31">
        <v>50</v>
      </c>
      <c r="AT250" s="31">
        <v>50</v>
      </c>
      <c r="AU250" s="31"/>
      <c r="AV250" s="31"/>
      <c r="AW250" s="31">
        <f>22/1000</f>
        <v>2.1999999999999999E-2</v>
      </c>
      <c r="AX250" s="68">
        <f t="shared" si="3"/>
        <v>8.8000000000000009E-2</v>
      </c>
    </row>
    <row r="251" spans="1:50" x14ac:dyDescent="0.2">
      <c r="B251" s="8"/>
      <c r="C251" s="22">
        <v>43403</v>
      </c>
      <c r="D251" s="75" t="s">
        <v>11</v>
      </c>
      <c r="E251" s="31"/>
      <c r="F251" s="31"/>
      <c r="G251" s="31"/>
      <c r="H251" s="31"/>
      <c r="I251" s="31"/>
      <c r="J251" s="31">
        <v>1</v>
      </c>
      <c r="K251" s="31"/>
      <c r="L251" s="31">
        <v>1.95</v>
      </c>
      <c r="M251" s="31">
        <v>25</v>
      </c>
      <c r="N251" s="31"/>
      <c r="O251" s="31"/>
      <c r="P251" s="31"/>
      <c r="Q251" s="31"/>
      <c r="R251" s="31"/>
      <c r="S251" s="31">
        <v>0.1</v>
      </c>
      <c r="T251" s="31">
        <v>0.12</v>
      </c>
      <c r="U251" s="43">
        <v>2E-3</v>
      </c>
      <c r="V251" s="31"/>
      <c r="W251" s="31"/>
      <c r="X251" s="31"/>
      <c r="Y251" s="31"/>
      <c r="Z251" s="31">
        <v>8.94</v>
      </c>
      <c r="AA251" s="31"/>
      <c r="AB251" s="31">
        <v>19</v>
      </c>
      <c r="AC251" s="31">
        <v>514</v>
      </c>
      <c r="AD251" s="31"/>
      <c r="AE251" s="31">
        <v>13.6</v>
      </c>
      <c r="AF251" s="31"/>
      <c r="AG251" s="31"/>
      <c r="AH251" s="31"/>
      <c r="AI251" s="58">
        <v>5400</v>
      </c>
      <c r="AJ251" s="58">
        <v>5400</v>
      </c>
      <c r="AK251" s="31">
        <v>485.8</v>
      </c>
      <c r="AL251" s="31"/>
      <c r="AM251" s="31">
        <v>10</v>
      </c>
      <c r="AN251" s="31">
        <v>20</v>
      </c>
      <c r="AO251" s="31">
        <v>10</v>
      </c>
      <c r="AP251" s="31">
        <f>510.2/1000</f>
        <v>0.51019999999999999</v>
      </c>
      <c r="AQ251" s="31">
        <f>86.7/1000</f>
        <v>8.6699999999999999E-2</v>
      </c>
      <c r="AR251" s="31"/>
      <c r="AS251" s="31">
        <v>50</v>
      </c>
      <c r="AT251" s="31">
        <v>50</v>
      </c>
      <c r="AU251" s="31"/>
      <c r="AV251" s="31"/>
      <c r="AW251" s="37">
        <f>20/1000</f>
        <v>0.02</v>
      </c>
      <c r="AX251" s="68">
        <f t="shared" si="3"/>
        <v>7.8E-2</v>
      </c>
    </row>
    <row r="252" spans="1:50" x14ac:dyDescent="0.2">
      <c r="B252" s="8"/>
      <c r="C252" s="22">
        <v>43403</v>
      </c>
      <c r="D252" s="76" t="s">
        <v>12</v>
      </c>
      <c r="E252" s="31"/>
      <c r="F252" s="31"/>
      <c r="G252" s="31"/>
      <c r="H252" s="31"/>
      <c r="I252" s="31"/>
      <c r="J252" s="31">
        <v>1</v>
      </c>
      <c r="K252" s="31"/>
      <c r="L252" s="31">
        <v>2.2999999999999998</v>
      </c>
      <c r="M252" s="31">
        <v>25</v>
      </c>
      <c r="N252" s="31"/>
      <c r="O252" s="31"/>
      <c r="P252" s="31"/>
      <c r="Q252" s="31"/>
      <c r="R252" s="31"/>
      <c r="S252" s="31">
        <v>0.11</v>
      </c>
      <c r="T252" s="31">
        <v>0.22</v>
      </c>
      <c r="U252" s="43">
        <v>2E-3</v>
      </c>
      <c r="V252" s="31"/>
      <c r="W252" s="31"/>
      <c r="X252" s="31"/>
      <c r="Y252" s="31"/>
      <c r="Z252" s="31">
        <v>8.92</v>
      </c>
      <c r="AA252" s="31"/>
      <c r="AB252" s="31">
        <v>22</v>
      </c>
      <c r="AC252" s="31">
        <v>536</v>
      </c>
      <c r="AD252" s="31"/>
      <c r="AE252" s="31">
        <v>8.4</v>
      </c>
      <c r="AF252" s="31"/>
      <c r="AG252" s="31"/>
      <c r="AH252" s="31"/>
      <c r="AI252" s="58">
        <v>9200</v>
      </c>
      <c r="AJ252" s="58">
        <v>5400</v>
      </c>
      <c r="AK252" s="31">
        <v>648.20000000000005</v>
      </c>
      <c r="AL252" s="31"/>
      <c r="AM252" s="31">
        <v>10</v>
      </c>
      <c r="AN252" s="31">
        <v>20</v>
      </c>
      <c r="AO252" s="31">
        <v>10</v>
      </c>
      <c r="AP252" s="31">
        <f>721.7/1000</f>
        <v>0.72170000000000001</v>
      </c>
      <c r="AQ252" s="31">
        <f>89.7/1000</f>
        <v>8.9700000000000002E-2</v>
      </c>
      <c r="AR252" s="31"/>
      <c r="AS252" s="31">
        <v>50</v>
      </c>
      <c r="AT252" s="31">
        <v>50</v>
      </c>
      <c r="AU252" s="31"/>
      <c r="AV252" s="31"/>
      <c r="AW252" s="37">
        <f>20/1000</f>
        <v>0.02</v>
      </c>
      <c r="AX252" s="68">
        <f t="shared" si="3"/>
        <v>9.1999999999999998E-2</v>
      </c>
    </row>
    <row r="253" spans="1:50" x14ac:dyDescent="0.2">
      <c r="B253" s="8"/>
      <c r="C253" s="22">
        <v>43403</v>
      </c>
      <c r="D253" s="77" t="s">
        <v>13</v>
      </c>
      <c r="E253" s="31"/>
      <c r="F253" s="31"/>
      <c r="G253" s="31"/>
      <c r="H253" s="31"/>
      <c r="I253" s="31"/>
      <c r="J253" s="31">
        <v>1</v>
      </c>
      <c r="K253" s="31"/>
      <c r="L253" s="31">
        <v>1.6</v>
      </c>
      <c r="M253" s="31">
        <v>25</v>
      </c>
      <c r="N253" s="31"/>
      <c r="O253" s="31"/>
      <c r="P253" s="31"/>
      <c r="Q253" s="31"/>
      <c r="R253" s="31"/>
      <c r="S253" s="31">
        <v>0.1</v>
      </c>
      <c r="T253" s="31">
        <v>0.06</v>
      </c>
      <c r="U253" s="43">
        <v>2E-3</v>
      </c>
      <c r="V253" s="31"/>
      <c r="W253" s="31"/>
      <c r="X253" s="31"/>
      <c r="Y253" s="31"/>
      <c r="Z253" s="31">
        <v>8.57</v>
      </c>
      <c r="AA253" s="31"/>
      <c r="AB253" s="31">
        <v>27</v>
      </c>
      <c r="AC253" s="31">
        <v>531</v>
      </c>
      <c r="AD253" s="31"/>
      <c r="AE253" s="31">
        <v>4.4000000000000004</v>
      </c>
      <c r="AF253" s="31"/>
      <c r="AG253" s="31"/>
      <c r="AH253" s="31"/>
      <c r="AI253" s="58">
        <v>79</v>
      </c>
      <c r="AJ253" s="58">
        <v>79</v>
      </c>
      <c r="AK253" s="31">
        <v>763.8</v>
      </c>
      <c r="AL253" s="31"/>
      <c r="AM253" s="31">
        <v>10</v>
      </c>
      <c r="AN253" s="31">
        <v>20</v>
      </c>
      <c r="AO253" s="31">
        <v>10</v>
      </c>
      <c r="AP253" s="31">
        <f>761.1/1000</f>
        <v>0.7611</v>
      </c>
      <c r="AQ253" s="31">
        <f>175.6/1000</f>
        <v>0.17560000000000001</v>
      </c>
      <c r="AR253" s="31"/>
      <c r="AS253" s="31">
        <v>50</v>
      </c>
      <c r="AT253" s="31">
        <v>50</v>
      </c>
      <c r="AU253" s="31"/>
      <c r="AV253" s="31"/>
      <c r="AW253" s="37">
        <f>20/1000</f>
        <v>0.02</v>
      </c>
      <c r="AX253" s="68">
        <f t="shared" si="3"/>
        <v>6.4000000000000001E-2</v>
      </c>
    </row>
    <row r="254" spans="1:50" x14ac:dyDescent="0.2">
      <c r="B254" s="8"/>
      <c r="C254" s="22">
        <v>43403</v>
      </c>
      <c r="D254" s="78" t="s">
        <v>14</v>
      </c>
      <c r="E254" s="31"/>
      <c r="F254" s="31"/>
      <c r="G254" s="31"/>
      <c r="H254" s="31"/>
      <c r="I254" s="31"/>
      <c r="J254" s="31">
        <v>1</v>
      </c>
      <c r="K254" s="31"/>
      <c r="L254" s="31">
        <v>0.4</v>
      </c>
      <c r="M254" s="31">
        <v>25</v>
      </c>
      <c r="N254" s="31"/>
      <c r="O254" s="31"/>
      <c r="P254" s="31"/>
      <c r="Q254" s="31"/>
      <c r="R254" s="31"/>
      <c r="S254" s="31">
        <v>0.1</v>
      </c>
      <c r="T254" s="31">
        <v>0.12</v>
      </c>
      <c r="U254" s="43">
        <v>2E-3</v>
      </c>
      <c r="V254" s="31"/>
      <c r="W254" s="31"/>
      <c r="X254" s="31"/>
      <c r="Y254" s="31"/>
      <c r="Z254" s="31">
        <v>7.58</v>
      </c>
      <c r="AA254" s="31"/>
      <c r="AB254" s="31">
        <v>6</v>
      </c>
      <c r="AC254" s="31">
        <v>571</v>
      </c>
      <c r="AD254" s="31"/>
      <c r="AE254" s="31">
        <v>0</v>
      </c>
      <c r="AF254" s="31"/>
      <c r="AG254" s="31"/>
      <c r="AH254" s="31"/>
      <c r="AI254" s="58">
        <v>3500</v>
      </c>
      <c r="AJ254" s="58">
        <v>1700</v>
      </c>
      <c r="AK254" s="31">
        <v>43.5</v>
      </c>
      <c r="AL254" s="31"/>
      <c r="AM254" s="31">
        <v>10</v>
      </c>
      <c r="AN254" s="31">
        <v>20</v>
      </c>
      <c r="AO254" s="31">
        <v>10</v>
      </c>
      <c r="AP254" s="31">
        <f>66.3/1000</f>
        <v>6.6299999999999998E-2</v>
      </c>
      <c r="AQ254" s="31">
        <f>73.8/100</f>
        <v>0.73799999999999999</v>
      </c>
      <c r="AR254" s="31"/>
      <c r="AS254" s="31">
        <v>50</v>
      </c>
      <c r="AT254" s="31">
        <v>50</v>
      </c>
      <c r="AU254" s="31"/>
      <c r="AV254" s="31"/>
      <c r="AW254" s="37">
        <f>20/1000</f>
        <v>0.02</v>
      </c>
      <c r="AX254" s="68">
        <f t="shared" si="3"/>
        <v>1.6E-2</v>
      </c>
    </row>
    <row r="255" spans="1:50" x14ac:dyDescent="0.2">
      <c r="B255" s="8">
        <v>2019</v>
      </c>
      <c r="C255" s="22">
        <v>43487</v>
      </c>
      <c r="D255" s="27" t="s">
        <v>9</v>
      </c>
      <c r="E255" s="31"/>
      <c r="F255" s="31"/>
      <c r="G255" s="31"/>
      <c r="H255" s="31"/>
      <c r="I255" s="31"/>
      <c r="J255" s="31"/>
      <c r="K255" s="31"/>
      <c r="L255" s="31">
        <v>1.35</v>
      </c>
      <c r="M255" s="31">
        <v>25</v>
      </c>
      <c r="N255" s="31"/>
      <c r="O255" s="31"/>
      <c r="P255" s="31"/>
      <c r="Q255" s="31"/>
      <c r="R255" s="31"/>
      <c r="S255" s="31"/>
      <c r="T255" s="31"/>
      <c r="U255" s="43"/>
      <c r="V255" s="31"/>
      <c r="W255" s="31"/>
      <c r="X255" s="31"/>
      <c r="Y255" s="31"/>
      <c r="Z255" s="31">
        <v>8.41</v>
      </c>
      <c r="AA255" s="31"/>
      <c r="AB255" s="31"/>
      <c r="AC255" s="31"/>
      <c r="AD255" s="31"/>
      <c r="AE255" s="31"/>
      <c r="AF255" s="31"/>
      <c r="AG255" s="31"/>
      <c r="AH255" s="31"/>
      <c r="AI255" s="58">
        <v>450</v>
      </c>
      <c r="AJ255" s="58">
        <v>450</v>
      </c>
      <c r="AK255" s="31"/>
      <c r="AL255" s="31"/>
      <c r="AM255" s="31">
        <v>10</v>
      </c>
      <c r="AN255" s="31">
        <v>10</v>
      </c>
      <c r="AO255" s="31">
        <v>20</v>
      </c>
      <c r="AP255" s="31">
        <f>275.99/1000</f>
        <v>0.27599000000000001</v>
      </c>
      <c r="AQ255" s="31">
        <f>67.87/1000</f>
        <v>6.787E-2</v>
      </c>
      <c r="AR255" s="31"/>
      <c r="AS255" s="31">
        <v>50</v>
      </c>
      <c r="AT255" s="31">
        <v>50</v>
      </c>
      <c r="AU255" s="31"/>
      <c r="AV255" s="31"/>
      <c r="AW255" s="31">
        <f>27.94/1000</f>
        <v>2.794E-2</v>
      </c>
      <c r="AX255" s="68">
        <f t="shared" si="3"/>
        <v>5.4000000000000006E-2</v>
      </c>
    </row>
    <row r="256" spans="1:50" x14ac:dyDescent="0.2">
      <c r="B256" s="9"/>
      <c r="C256" s="22">
        <v>43487</v>
      </c>
      <c r="D256" s="74" t="s">
        <v>10</v>
      </c>
      <c r="E256" s="31"/>
      <c r="F256" s="31"/>
      <c r="G256" s="31"/>
      <c r="H256" s="31"/>
      <c r="I256" s="31"/>
      <c r="J256" s="31"/>
      <c r="K256" s="31"/>
      <c r="L256" s="31">
        <v>0.85</v>
      </c>
      <c r="M256" s="31">
        <v>25</v>
      </c>
      <c r="N256" s="31"/>
      <c r="O256" s="31"/>
      <c r="P256" s="31"/>
      <c r="Q256" s="31"/>
      <c r="R256" s="31"/>
      <c r="S256" s="31"/>
      <c r="T256" s="31"/>
      <c r="U256" s="43"/>
      <c r="V256" s="31"/>
      <c r="W256" s="31"/>
      <c r="X256" s="31"/>
      <c r="Y256" s="31"/>
      <c r="Z256" s="31">
        <v>8.2200000000000006</v>
      </c>
      <c r="AA256" s="31"/>
      <c r="AB256" s="31"/>
      <c r="AC256" s="31"/>
      <c r="AD256" s="31"/>
      <c r="AE256" s="31"/>
      <c r="AF256" s="31"/>
      <c r="AG256" s="31"/>
      <c r="AH256" s="31"/>
      <c r="AI256" s="58">
        <v>780</v>
      </c>
      <c r="AJ256" s="58">
        <v>450</v>
      </c>
      <c r="AK256" s="31"/>
      <c r="AL256" s="31"/>
      <c r="AM256" s="31">
        <v>10</v>
      </c>
      <c r="AN256" s="31">
        <v>10</v>
      </c>
      <c r="AO256" s="31">
        <v>20</v>
      </c>
      <c r="AP256" s="31">
        <f>321.2/1000</f>
        <v>0.32119999999999999</v>
      </c>
      <c r="AQ256" s="31">
        <f>109.69/1000</f>
        <v>0.10969</v>
      </c>
      <c r="AR256" s="31"/>
      <c r="AS256" s="31">
        <v>50</v>
      </c>
      <c r="AT256" s="31">
        <v>50</v>
      </c>
      <c r="AU256" s="31"/>
      <c r="AV256" s="31"/>
      <c r="AW256" s="31">
        <f>55.54/1000</f>
        <v>5.5539999999999999E-2</v>
      </c>
      <c r="AX256" s="68">
        <f t="shared" si="3"/>
        <v>3.4000000000000002E-2</v>
      </c>
    </row>
    <row r="257" spans="2:50" x14ac:dyDescent="0.2">
      <c r="B257" s="8" t="s">
        <v>5</v>
      </c>
      <c r="C257" s="22">
        <v>43487</v>
      </c>
      <c r="D257" s="75" t="s">
        <v>11</v>
      </c>
      <c r="E257" s="31"/>
      <c r="F257" s="31"/>
      <c r="G257" s="31"/>
      <c r="H257" s="31"/>
      <c r="I257" s="31"/>
      <c r="J257" s="31"/>
      <c r="K257" s="31"/>
      <c r="L257" s="31">
        <v>1.0249999999999999</v>
      </c>
      <c r="M257" s="31">
        <v>25</v>
      </c>
      <c r="N257" s="31"/>
      <c r="O257" s="31"/>
      <c r="P257" s="31"/>
      <c r="Q257" s="31"/>
      <c r="R257" s="31"/>
      <c r="S257" s="31"/>
      <c r="T257" s="31"/>
      <c r="U257" s="43"/>
      <c r="V257" s="31"/>
      <c r="W257" s="31"/>
      <c r="X257" s="31"/>
      <c r="Y257" s="31"/>
      <c r="Z257" s="31">
        <v>8.4499999999999993</v>
      </c>
      <c r="AA257" s="31"/>
      <c r="AB257" s="31"/>
      <c r="AC257" s="31"/>
      <c r="AD257" s="31"/>
      <c r="AE257" s="31"/>
      <c r="AF257" s="31"/>
      <c r="AG257" s="31"/>
      <c r="AH257" s="31"/>
      <c r="AI257" s="58">
        <v>2000</v>
      </c>
      <c r="AJ257" s="58">
        <v>2000</v>
      </c>
      <c r="AK257" s="31"/>
      <c r="AL257" s="31"/>
      <c r="AM257" s="31">
        <v>10</v>
      </c>
      <c r="AN257" s="31">
        <v>38.65</v>
      </c>
      <c r="AO257" s="31">
        <v>21.91</v>
      </c>
      <c r="AP257" s="31">
        <f>842.49/1000</f>
        <v>0.84248999999999996</v>
      </c>
      <c r="AQ257" s="31">
        <f>62.33/1000</f>
        <v>6.2329999999999997E-2</v>
      </c>
      <c r="AR257" s="31"/>
      <c r="AS257" s="31">
        <v>50</v>
      </c>
      <c r="AT257" s="31">
        <v>50</v>
      </c>
      <c r="AU257" s="31"/>
      <c r="AV257" s="31"/>
      <c r="AW257" s="31">
        <f>37.22/1000</f>
        <v>3.7219999999999996E-2</v>
      </c>
      <c r="AX257" s="68">
        <f t="shared" si="3"/>
        <v>4.0999999999999995E-2</v>
      </c>
    </row>
    <row r="258" spans="2:50" x14ac:dyDescent="0.2">
      <c r="B258" s="8"/>
      <c r="C258" s="22">
        <v>43487</v>
      </c>
      <c r="D258" s="77" t="s">
        <v>13</v>
      </c>
      <c r="E258" s="31"/>
      <c r="F258" s="31"/>
      <c r="G258" s="31"/>
      <c r="H258" s="31"/>
      <c r="I258" s="31"/>
      <c r="J258" s="31"/>
      <c r="K258" s="31"/>
      <c r="L258" s="31">
        <v>1.1000000000000001</v>
      </c>
      <c r="M258" s="31">
        <v>25</v>
      </c>
      <c r="N258" s="31"/>
      <c r="O258" s="31"/>
      <c r="P258" s="31"/>
      <c r="Q258" s="31"/>
      <c r="R258" s="31"/>
      <c r="S258" s="31"/>
      <c r="T258" s="31"/>
      <c r="U258" s="43"/>
      <c r="V258" s="31"/>
      <c r="W258" s="31"/>
      <c r="X258" s="31"/>
      <c r="Y258" s="31"/>
      <c r="Z258" s="31">
        <v>7.76</v>
      </c>
      <c r="AA258" s="31"/>
      <c r="AB258" s="31"/>
      <c r="AC258" s="31"/>
      <c r="AD258" s="31"/>
      <c r="AE258" s="31"/>
      <c r="AF258" s="31"/>
      <c r="AG258" s="31"/>
      <c r="AH258" s="31"/>
      <c r="AI258" s="58">
        <v>5400</v>
      </c>
      <c r="AJ258" s="58">
        <v>3500</v>
      </c>
      <c r="AK258" s="31"/>
      <c r="AL258" s="31"/>
      <c r="AM258" s="31">
        <v>10</v>
      </c>
      <c r="AN258" s="31">
        <v>10</v>
      </c>
      <c r="AO258" s="31">
        <v>20</v>
      </c>
      <c r="AP258" s="31">
        <f>199.1/1000</f>
        <v>0.1991</v>
      </c>
      <c r="AQ258" s="31">
        <f>62.94/1000</f>
        <v>6.2939999999999996E-2</v>
      </c>
      <c r="AR258" s="31"/>
      <c r="AS258" s="31">
        <v>50</v>
      </c>
      <c r="AT258" s="31">
        <v>50</v>
      </c>
      <c r="AU258" s="31"/>
      <c r="AV258" s="31"/>
      <c r="AW258" s="37">
        <f>20/1000</f>
        <v>0.02</v>
      </c>
      <c r="AX258" s="68">
        <f t="shared" si="3"/>
        <v>4.4000000000000004E-2</v>
      </c>
    </row>
    <row r="259" spans="2:50" x14ac:dyDescent="0.2">
      <c r="B259" s="8"/>
      <c r="C259" s="22">
        <v>43487</v>
      </c>
      <c r="D259" s="78" t="s">
        <v>14</v>
      </c>
      <c r="E259" s="31"/>
      <c r="F259" s="31"/>
      <c r="G259" s="31"/>
      <c r="H259" s="31"/>
      <c r="I259" s="31"/>
      <c r="J259" s="31"/>
      <c r="K259" s="31"/>
      <c r="L259" s="31">
        <v>0.2</v>
      </c>
      <c r="M259" s="31">
        <v>25</v>
      </c>
      <c r="N259" s="31"/>
      <c r="O259" s="31"/>
      <c r="P259" s="31"/>
      <c r="Q259" s="31"/>
      <c r="R259" s="31"/>
      <c r="S259" s="31"/>
      <c r="T259" s="31"/>
      <c r="U259" s="43"/>
      <c r="V259" s="31"/>
      <c r="W259" s="31"/>
      <c r="X259" s="31"/>
      <c r="Y259" s="31"/>
      <c r="Z259" s="31">
        <v>8.44</v>
      </c>
      <c r="AA259" s="31"/>
      <c r="AB259" s="31"/>
      <c r="AC259" s="31"/>
      <c r="AD259" s="31"/>
      <c r="AE259" s="31"/>
      <c r="AF259" s="31"/>
      <c r="AG259" s="31"/>
      <c r="AH259" s="31"/>
      <c r="AI259" s="58">
        <v>2000</v>
      </c>
      <c r="AJ259" s="58">
        <v>2000</v>
      </c>
      <c r="AK259" s="31"/>
      <c r="AL259" s="31"/>
      <c r="AM259" s="31">
        <v>10</v>
      </c>
      <c r="AN259" s="31">
        <v>10</v>
      </c>
      <c r="AO259" s="31">
        <v>20</v>
      </c>
      <c r="AP259" s="31">
        <f>122.65/1000</f>
        <v>0.12265000000000001</v>
      </c>
      <c r="AQ259" s="31">
        <f>20.5/1000</f>
        <v>2.0500000000000001E-2</v>
      </c>
      <c r="AR259" s="31"/>
      <c r="AS259" s="31">
        <v>50</v>
      </c>
      <c r="AT259" s="31">
        <v>50</v>
      </c>
      <c r="AU259" s="31"/>
      <c r="AV259" s="31"/>
      <c r="AW259" s="31">
        <f>24.39/1000</f>
        <v>2.4390000000000002E-2</v>
      </c>
      <c r="AX259" s="68">
        <f t="shared" si="3"/>
        <v>8.0000000000000002E-3</v>
      </c>
    </row>
    <row r="260" spans="2:50" x14ac:dyDescent="0.2">
      <c r="B260" s="8"/>
      <c r="C260" s="24">
        <v>43578</v>
      </c>
      <c r="D260" s="27" t="s">
        <v>9</v>
      </c>
      <c r="E260" s="31"/>
      <c r="F260" s="31"/>
      <c r="G260" s="31"/>
      <c r="H260" s="31"/>
      <c r="I260" s="31"/>
      <c r="J260" s="31">
        <v>1</v>
      </c>
      <c r="K260" s="31"/>
      <c r="L260" s="31">
        <v>4</v>
      </c>
      <c r="M260" s="31">
        <v>64</v>
      </c>
      <c r="N260" s="31"/>
      <c r="O260" s="31"/>
      <c r="P260" s="31"/>
      <c r="Q260" s="31"/>
      <c r="R260" s="31"/>
      <c r="S260" s="31">
        <v>0.31</v>
      </c>
      <c r="T260" s="31">
        <v>0.112</v>
      </c>
      <c r="U260" s="31">
        <v>2E-3</v>
      </c>
      <c r="V260" s="31"/>
      <c r="W260" s="31"/>
      <c r="X260" s="31"/>
      <c r="Y260" s="31"/>
      <c r="Z260" s="31">
        <v>8.17</v>
      </c>
      <c r="AA260" s="31"/>
      <c r="AB260" s="31">
        <v>113</v>
      </c>
      <c r="AC260" s="31">
        <v>459</v>
      </c>
      <c r="AD260" s="31"/>
      <c r="AE260" s="31">
        <v>18.399999999999999</v>
      </c>
      <c r="AF260" s="31"/>
      <c r="AG260" s="31"/>
      <c r="AH260" s="31"/>
      <c r="AI260" s="58">
        <v>22000</v>
      </c>
      <c r="AJ260" s="58">
        <v>13000</v>
      </c>
      <c r="AK260" s="31">
        <v>14157</v>
      </c>
      <c r="AL260" s="31"/>
      <c r="AM260" s="31">
        <v>10</v>
      </c>
      <c r="AN260" s="31">
        <v>23.837</v>
      </c>
      <c r="AO260" s="31">
        <v>20</v>
      </c>
      <c r="AP260" s="31">
        <f>13777.5/1000</f>
        <v>13.7775</v>
      </c>
      <c r="AQ260" s="31">
        <f>225.17/1000</f>
        <v>0.22516999999999998</v>
      </c>
      <c r="AR260" s="31"/>
      <c r="AS260" s="31">
        <v>50</v>
      </c>
      <c r="AT260" s="31">
        <v>50</v>
      </c>
      <c r="AU260" s="31"/>
      <c r="AV260" s="31"/>
      <c r="AW260" s="31">
        <f>46.01/1000</f>
        <v>4.6009999999999995E-2</v>
      </c>
      <c r="AX260" s="68">
        <f t="shared" si="3"/>
        <v>6.25E-2</v>
      </c>
    </row>
    <row r="261" spans="2:50" x14ac:dyDescent="0.2">
      <c r="B261" s="9"/>
      <c r="C261" s="24">
        <v>43578</v>
      </c>
      <c r="D261" s="74" t="s">
        <v>10</v>
      </c>
      <c r="E261" s="31"/>
      <c r="F261" s="31"/>
      <c r="G261" s="31"/>
      <c r="H261" s="31"/>
      <c r="I261" s="31"/>
      <c r="J261" s="31">
        <v>1</v>
      </c>
      <c r="K261" s="31"/>
      <c r="L261" s="31">
        <v>4</v>
      </c>
      <c r="M261" s="31">
        <v>69</v>
      </c>
      <c r="N261" s="31"/>
      <c r="O261" s="31"/>
      <c r="P261" s="31"/>
      <c r="Q261" s="31"/>
      <c r="R261" s="31"/>
      <c r="S261" s="31">
        <v>0.26</v>
      </c>
      <c r="T261" s="31">
        <v>0.10199999999999999</v>
      </c>
      <c r="U261" s="31">
        <v>2E-3</v>
      </c>
      <c r="V261" s="31"/>
      <c r="W261" s="31"/>
      <c r="X261" s="31"/>
      <c r="Y261" s="31"/>
      <c r="Z261" s="31">
        <v>8.1</v>
      </c>
      <c r="AA261" s="31"/>
      <c r="AB261" s="31">
        <v>176</v>
      </c>
      <c r="AC261" s="31">
        <v>476</v>
      </c>
      <c r="AD261" s="31"/>
      <c r="AE261" s="31">
        <v>28.4</v>
      </c>
      <c r="AF261" s="31"/>
      <c r="AG261" s="31"/>
      <c r="AH261" s="31"/>
      <c r="AI261" s="58">
        <v>11000</v>
      </c>
      <c r="AJ261" s="58">
        <v>11000</v>
      </c>
      <c r="AK261" s="31">
        <v>14520</v>
      </c>
      <c r="AL261" s="31"/>
      <c r="AM261" s="31">
        <v>10</v>
      </c>
      <c r="AN261" s="31">
        <v>34.496000000000002</v>
      </c>
      <c r="AO261" s="31">
        <v>20</v>
      </c>
      <c r="AP261" s="31">
        <f>14283.5/1000</f>
        <v>14.2835</v>
      </c>
      <c r="AQ261" s="31">
        <f>260.7/1000</f>
        <v>0.26069999999999999</v>
      </c>
      <c r="AR261" s="31"/>
      <c r="AS261" s="31">
        <v>50</v>
      </c>
      <c r="AT261" s="31">
        <v>50</v>
      </c>
      <c r="AU261" s="31"/>
      <c r="AV261" s="31"/>
      <c r="AW261" s="31">
        <f>45.4/1000</f>
        <v>4.5399999999999996E-2</v>
      </c>
      <c r="AX261" s="68">
        <f t="shared" si="3"/>
        <v>5.7971014492753624E-2</v>
      </c>
    </row>
    <row r="262" spans="2:50" x14ac:dyDescent="0.2">
      <c r="B262" s="8"/>
      <c r="C262" s="24">
        <v>43578</v>
      </c>
      <c r="D262" s="75" t="s">
        <v>11</v>
      </c>
      <c r="E262" s="31"/>
      <c r="F262" s="31"/>
      <c r="G262" s="31"/>
      <c r="H262" s="31"/>
      <c r="I262" s="31"/>
      <c r="J262" s="31">
        <v>1</v>
      </c>
      <c r="K262" s="31"/>
      <c r="L262" s="31">
        <v>4</v>
      </c>
      <c r="M262" s="31">
        <v>64</v>
      </c>
      <c r="N262" s="31"/>
      <c r="O262" s="31"/>
      <c r="P262" s="31"/>
      <c r="Q262" s="31"/>
      <c r="R262" s="31"/>
      <c r="S262" s="31">
        <v>0.27</v>
      </c>
      <c r="T262" s="31">
        <v>6.4000000000000001E-2</v>
      </c>
      <c r="U262" s="31">
        <v>2E-3</v>
      </c>
      <c r="V262" s="31"/>
      <c r="W262" s="31"/>
      <c r="X262" s="31"/>
      <c r="Y262" s="31"/>
      <c r="Z262" s="31">
        <v>8.18</v>
      </c>
      <c r="AA262" s="31"/>
      <c r="AB262" s="31">
        <v>120</v>
      </c>
      <c r="AC262" s="31">
        <v>461</v>
      </c>
      <c r="AD262" s="31"/>
      <c r="AE262" s="31">
        <v>18.399999999999999</v>
      </c>
      <c r="AF262" s="31"/>
      <c r="AG262" s="31"/>
      <c r="AH262" s="31"/>
      <c r="AI262" s="58">
        <v>33000</v>
      </c>
      <c r="AJ262" s="58">
        <v>33000</v>
      </c>
      <c r="AK262" s="31">
        <v>10436.799999999999</v>
      </c>
      <c r="AL262" s="31"/>
      <c r="AM262" s="31">
        <v>10</v>
      </c>
      <c r="AN262" s="31">
        <v>73.667000000000002</v>
      </c>
      <c r="AO262" s="31">
        <v>20</v>
      </c>
      <c r="AP262" s="31">
        <f>12881/1000</f>
        <v>12.881</v>
      </c>
      <c r="AQ262" s="31">
        <f>222.53/1000</f>
        <v>0.22253000000000001</v>
      </c>
      <c r="AR262" s="31"/>
      <c r="AS262" s="31">
        <v>50</v>
      </c>
      <c r="AT262" s="31">
        <v>50</v>
      </c>
      <c r="AU262" s="31"/>
      <c r="AV262" s="31"/>
      <c r="AW262" s="31">
        <f>136.4/1000</f>
        <v>0.13639999999999999</v>
      </c>
      <c r="AX262" s="68">
        <f t="shared" si="3"/>
        <v>6.25E-2</v>
      </c>
    </row>
    <row r="263" spans="2:50" x14ac:dyDescent="0.2">
      <c r="B263" s="8"/>
      <c r="C263" s="24">
        <v>43578</v>
      </c>
      <c r="D263" s="76" t="s">
        <v>12</v>
      </c>
      <c r="E263" s="31"/>
      <c r="F263" s="31"/>
      <c r="G263" s="31"/>
      <c r="H263" s="31"/>
      <c r="I263" s="31"/>
      <c r="J263" s="31">
        <v>1</v>
      </c>
      <c r="K263" s="31"/>
      <c r="L263" s="31">
        <v>3</v>
      </c>
      <c r="M263" s="31">
        <v>64</v>
      </c>
      <c r="N263" s="31"/>
      <c r="O263" s="31"/>
      <c r="P263" s="31"/>
      <c r="Q263" s="31"/>
      <c r="R263" s="31"/>
      <c r="S263" s="31">
        <v>0.3</v>
      </c>
      <c r="T263" s="31">
        <v>0.16400000000000001</v>
      </c>
      <c r="U263" s="31">
        <v>2E-3</v>
      </c>
      <c r="V263" s="31"/>
      <c r="W263" s="31"/>
      <c r="X263" s="31"/>
      <c r="Y263" s="31"/>
      <c r="Z263" s="31">
        <v>8.1300000000000008</v>
      </c>
      <c r="AA263" s="31"/>
      <c r="AB263" s="31">
        <v>194</v>
      </c>
      <c r="AC263" s="31">
        <v>514</v>
      </c>
      <c r="AD263" s="31"/>
      <c r="AE263" s="31">
        <v>22.8</v>
      </c>
      <c r="AF263" s="31"/>
      <c r="AG263" s="31"/>
      <c r="AH263" s="31"/>
      <c r="AI263" s="58">
        <v>49000</v>
      </c>
      <c r="AJ263" s="58">
        <v>49000</v>
      </c>
      <c r="AK263" s="31">
        <v>11979</v>
      </c>
      <c r="AL263" s="31"/>
      <c r="AM263" s="31">
        <v>10</v>
      </c>
      <c r="AN263" s="31">
        <v>32.395000000000003</v>
      </c>
      <c r="AO263" s="31">
        <v>21.472000000000001</v>
      </c>
      <c r="AP263" s="31">
        <f>13893/1000</f>
        <v>13.893000000000001</v>
      </c>
      <c r="AQ263" s="31">
        <f>256.63/1000</f>
        <v>0.25662999999999997</v>
      </c>
      <c r="AR263" s="31"/>
      <c r="AS263" s="31">
        <v>50</v>
      </c>
      <c r="AT263" s="31">
        <v>50</v>
      </c>
      <c r="AU263" s="31"/>
      <c r="AV263" s="31"/>
      <c r="AW263" s="31">
        <f>109.08/1000</f>
        <v>0.10908</v>
      </c>
      <c r="AX263" s="68">
        <f t="shared" si="3"/>
        <v>4.6875E-2</v>
      </c>
    </row>
    <row r="264" spans="2:50" x14ac:dyDescent="0.2">
      <c r="B264" s="8"/>
      <c r="C264" s="24">
        <v>43578</v>
      </c>
      <c r="D264" s="77" t="s">
        <v>13</v>
      </c>
      <c r="E264" s="31"/>
      <c r="F264" s="31"/>
      <c r="G264" s="31"/>
      <c r="H264" s="31"/>
      <c r="I264" s="31"/>
      <c r="J264" s="31">
        <v>1</v>
      </c>
      <c r="K264" s="31"/>
      <c r="L264" s="31">
        <v>0.2</v>
      </c>
      <c r="M264" s="31">
        <v>25</v>
      </c>
      <c r="N264" s="31"/>
      <c r="O264" s="31"/>
      <c r="P264" s="31"/>
      <c r="Q264" s="31"/>
      <c r="R264" s="31"/>
      <c r="S264" s="31">
        <v>0.1</v>
      </c>
      <c r="T264" s="31">
        <v>6.4000000000000001E-2</v>
      </c>
      <c r="U264" s="31">
        <v>2E-3</v>
      </c>
      <c r="V264" s="31"/>
      <c r="W264" s="31"/>
      <c r="X264" s="31"/>
      <c r="Y264" s="31"/>
      <c r="Z264" s="31">
        <v>8.09</v>
      </c>
      <c r="AA264" s="31"/>
      <c r="AB264" s="31">
        <v>6</v>
      </c>
      <c r="AC264" s="31">
        <v>549</v>
      </c>
      <c r="AD264" s="31"/>
      <c r="AE264" s="31">
        <v>6</v>
      </c>
      <c r="AF264" s="31"/>
      <c r="AG264" s="31"/>
      <c r="AH264" s="31"/>
      <c r="AI264" s="58">
        <v>3500</v>
      </c>
      <c r="AJ264" s="58">
        <v>490</v>
      </c>
      <c r="AK264" s="31">
        <v>154.44</v>
      </c>
      <c r="AL264" s="31"/>
      <c r="AM264" s="31">
        <v>10</v>
      </c>
      <c r="AN264" s="31">
        <v>10</v>
      </c>
      <c r="AO264" s="31">
        <v>20</v>
      </c>
      <c r="AP264" s="31">
        <f>204.82/1000</f>
        <v>0.20482</v>
      </c>
      <c r="AQ264" s="31">
        <f>209/1000</f>
        <v>0.20899999999999999</v>
      </c>
      <c r="AR264" s="31"/>
      <c r="AS264" s="31">
        <v>50</v>
      </c>
      <c r="AT264" s="31">
        <v>50</v>
      </c>
      <c r="AU264" s="31"/>
      <c r="AV264" s="31"/>
      <c r="AW264" s="31">
        <f>42.47/1000</f>
        <v>4.2470000000000001E-2</v>
      </c>
      <c r="AX264" s="68">
        <f t="shared" si="3"/>
        <v>8.0000000000000002E-3</v>
      </c>
    </row>
    <row r="265" spans="2:50" x14ac:dyDescent="0.2">
      <c r="B265" s="8"/>
      <c r="C265" s="24">
        <v>43578</v>
      </c>
      <c r="D265" s="78" t="s">
        <v>14</v>
      </c>
      <c r="E265" s="31"/>
      <c r="F265" s="31"/>
      <c r="G265" s="31"/>
      <c r="H265" s="31"/>
      <c r="I265" s="31"/>
      <c r="J265" s="31">
        <v>1</v>
      </c>
      <c r="K265" s="31"/>
      <c r="L265" s="31">
        <v>4</v>
      </c>
      <c r="M265" s="31">
        <v>69</v>
      </c>
      <c r="N265" s="31"/>
      <c r="O265" s="31"/>
      <c r="P265" s="31"/>
      <c r="Q265" s="31"/>
      <c r="R265" s="31"/>
      <c r="S265" s="31">
        <v>0.27</v>
      </c>
      <c r="T265" s="31">
        <v>9.5000000000000001E-2</v>
      </c>
      <c r="U265" s="31">
        <v>2E-3</v>
      </c>
      <c r="V265" s="31"/>
      <c r="W265" s="31"/>
      <c r="X265" s="31"/>
      <c r="Y265" s="31"/>
      <c r="Z265" s="31">
        <v>8.09</v>
      </c>
      <c r="AA265" s="31"/>
      <c r="AB265" s="31">
        <v>177</v>
      </c>
      <c r="AC265" s="31">
        <v>472</v>
      </c>
      <c r="AD265" s="31"/>
      <c r="AE265" s="31">
        <v>12.4</v>
      </c>
      <c r="AF265" s="31"/>
      <c r="AG265" s="31"/>
      <c r="AH265" s="31"/>
      <c r="AI265" s="58">
        <v>17000</v>
      </c>
      <c r="AJ265" s="58">
        <v>7800</v>
      </c>
      <c r="AK265" s="31">
        <v>13772</v>
      </c>
      <c r="AL265" s="31"/>
      <c r="AM265" s="31">
        <v>10</v>
      </c>
      <c r="AN265" s="31">
        <v>28.776</v>
      </c>
      <c r="AO265" s="31">
        <v>20</v>
      </c>
      <c r="AP265" s="31">
        <f>14470.5/1000</f>
        <v>14.470499999999999</v>
      </c>
      <c r="AQ265" s="31">
        <f>263.01/1000</f>
        <v>0.26300999999999997</v>
      </c>
      <c r="AR265" s="31"/>
      <c r="AS265" s="31">
        <v>50</v>
      </c>
      <c r="AT265" s="31">
        <v>50</v>
      </c>
      <c r="AU265" s="31"/>
      <c r="AV265" s="31"/>
      <c r="AW265" s="31">
        <f>76.34/1000</f>
        <v>7.6340000000000005E-2</v>
      </c>
      <c r="AX265" s="68">
        <f t="shared" si="3"/>
        <v>5.7971014492753624E-2</v>
      </c>
    </row>
    <row r="266" spans="2:50" x14ac:dyDescent="0.2">
      <c r="B266" s="10"/>
      <c r="C266" s="22">
        <v>43704</v>
      </c>
      <c r="D266" s="27" t="s">
        <v>9</v>
      </c>
      <c r="E266" s="31"/>
      <c r="F266" s="31"/>
      <c r="G266" s="31"/>
      <c r="H266" s="31"/>
      <c r="I266" s="31"/>
      <c r="J266" s="31"/>
      <c r="K266" s="31"/>
      <c r="L266" s="31">
        <v>1.75</v>
      </c>
      <c r="M266" s="31">
        <v>25</v>
      </c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>
        <v>8.33</v>
      </c>
      <c r="AA266" s="31"/>
      <c r="AB266" s="31"/>
      <c r="AC266" s="31"/>
      <c r="AD266" s="31"/>
      <c r="AE266" s="31"/>
      <c r="AF266" s="31"/>
      <c r="AG266" s="31"/>
      <c r="AH266" s="31"/>
      <c r="AI266" s="58">
        <v>1100</v>
      </c>
      <c r="AJ266" s="58">
        <v>700</v>
      </c>
      <c r="AK266" s="31"/>
      <c r="AL266" s="31"/>
      <c r="AM266" s="31">
        <v>10</v>
      </c>
      <c r="AN266" s="31">
        <v>14.343999999999999</v>
      </c>
      <c r="AO266" s="31">
        <v>20</v>
      </c>
      <c r="AP266" s="31">
        <f>231.55/1000</f>
        <v>0.23155000000000001</v>
      </c>
      <c r="AQ266" s="31">
        <f>18.106/1000</f>
        <v>1.8106000000000001E-2</v>
      </c>
      <c r="AR266" s="31"/>
      <c r="AS266" s="31">
        <v>50</v>
      </c>
      <c r="AT266" s="31">
        <v>50</v>
      </c>
      <c r="AU266" s="31"/>
      <c r="AV266" s="31"/>
      <c r="AW266" s="31">
        <f>31.614/1000</f>
        <v>3.1614000000000003E-2</v>
      </c>
      <c r="AX266" s="68">
        <f t="shared" si="3"/>
        <v>7.0000000000000007E-2</v>
      </c>
    </row>
    <row r="267" spans="2:50" x14ac:dyDescent="0.2">
      <c r="B267" s="9"/>
      <c r="C267" s="22">
        <v>43704</v>
      </c>
      <c r="D267" s="74" t="s">
        <v>10</v>
      </c>
      <c r="E267" s="31"/>
      <c r="F267" s="31"/>
      <c r="G267" s="31"/>
      <c r="H267" s="31"/>
      <c r="I267" s="31"/>
      <c r="J267" s="31"/>
      <c r="K267" s="31"/>
      <c r="L267" s="31">
        <v>2.25</v>
      </c>
      <c r="M267" s="31">
        <v>25</v>
      </c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>
        <v>8.27</v>
      </c>
      <c r="AA267" s="31"/>
      <c r="AB267" s="31"/>
      <c r="AC267" s="31"/>
      <c r="AD267" s="31"/>
      <c r="AE267" s="31"/>
      <c r="AF267" s="31"/>
      <c r="AG267" s="31"/>
      <c r="AH267" s="31"/>
      <c r="AI267" s="58">
        <v>490</v>
      </c>
      <c r="AJ267" s="58">
        <v>230</v>
      </c>
      <c r="AK267" s="31"/>
      <c r="AL267" s="31"/>
      <c r="AM267" s="31">
        <v>10</v>
      </c>
      <c r="AN267" s="31">
        <v>14.244999999999999</v>
      </c>
      <c r="AO267" s="31">
        <v>20</v>
      </c>
      <c r="AP267" s="31">
        <f>236.83/1000</f>
        <v>0.23683000000000001</v>
      </c>
      <c r="AQ267" s="31">
        <f>31.229/1000</f>
        <v>3.1229E-2</v>
      </c>
      <c r="AR267" s="31"/>
      <c r="AS267" s="31">
        <v>50</v>
      </c>
      <c r="AT267" s="31">
        <v>50</v>
      </c>
      <c r="AU267" s="31"/>
      <c r="AV267" s="31"/>
      <c r="AW267" s="31">
        <f>67.617/1000</f>
        <v>6.761700000000001E-2</v>
      </c>
      <c r="AX267" s="68">
        <f t="shared" si="3"/>
        <v>0.09</v>
      </c>
    </row>
    <row r="268" spans="2:50" x14ac:dyDescent="0.2">
      <c r="B268" s="8"/>
      <c r="C268" s="22">
        <v>43704</v>
      </c>
      <c r="D268" s="75" t="s">
        <v>11</v>
      </c>
      <c r="E268" s="31"/>
      <c r="F268" s="31"/>
      <c r="G268" s="31"/>
      <c r="H268" s="31"/>
      <c r="I268" s="31"/>
      <c r="J268" s="31"/>
      <c r="K268" s="31"/>
      <c r="L268" s="31">
        <v>2</v>
      </c>
      <c r="M268" s="31">
        <v>25</v>
      </c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>
        <v>8.23</v>
      </c>
      <c r="AA268" s="31"/>
      <c r="AB268" s="31"/>
      <c r="AC268" s="31"/>
      <c r="AD268" s="31"/>
      <c r="AE268" s="31"/>
      <c r="AF268" s="31"/>
      <c r="AG268" s="31"/>
      <c r="AH268" s="31"/>
      <c r="AI268" s="58">
        <v>1700</v>
      </c>
      <c r="AJ268" s="58">
        <v>490</v>
      </c>
      <c r="AK268" s="31"/>
      <c r="AL268" s="31"/>
      <c r="AM268" s="31">
        <v>10</v>
      </c>
      <c r="AN268" s="31">
        <v>11.032999999999999</v>
      </c>
      <c r="AO268" s="31">
        <v>20</v>
      </c>
      <c r="AP268" s="31">
        <f>325.44/1000</f>
        <v>0.32544000000000001</v>
      </c>
      <c r="AQ268" s="31">
        <f>43.065/1000</f>
        <v>4.3064999999999999E-2</v>
      </c>
      <c r="AR268" s="31"/>
      <c r="AS268" s="31">
        <v>50</v>
      </c>
      <c r="AT268" s="31">
        <v>50</v>
      </c>
      <c r="AU268" s="31"/>
      <c r="AV268" s="31"/>
      <c r="AW268" s="31">
        <f>22.605/1000</f>
        <v>2.2605E-2</v>
      </c>
      <c r="AX268" s="68">
        <f t="shared" si="3"/>
        <v>0.08</v>
      </c>
    </row>
    <row r="269" spans="2:50" x14ac:dyDescent="0.2">
      <c r="B269" s="8"/>
      <c r="C269" s="22">
        <v>43704</v>
      </c>
      <c r="D269" s="76" t="s">
        <v>12</v>
      </c>
      <c r="E269" s="31"/>
      <c r="F269" s="31"/>
      <c r="G269" s="31"/>
      <c r="H269" s="31"/>
      <c r="I269" s="31"/>
      <c r="J269" s="31"/>
      <c r="K269" s="31"/>
      <c r="L269" s="31">
        <v>1.85</v>
      </c>
      <c r="M269" s="31">
        <v>25</v>
      </c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>
        <v>8.3699999999999992</v>
      </c>
      <c r="AA269" s="31"/>
      <c r="AB269" s="31"/>
      <c r="AC269" s="31"/>
      <c r="AD269" s="31"/>
      <c r="AE269" s="31"/>
      <c r="AF269" s="31"/>
      <c r="AG269" s="31"/>
      <c r="AH269" s="31"/>
      <c r="AI269" s="58">
        <v>16000</v>
      </c>
      <c r="AJ269" s="58">
        <v>16000</v>
      </c>
      <c r="AK269" s="31"/>
      <c r="AL269" s="31"/>
      <c r="AM269" s="31">
        <v>10</v>
      </c>
      <c r="AN269" s="31">
        <v>10</v>
      </c>
      <c r="AO269" s="31">
        <v>20</v>
      </c>
      <c r="AP269" s="31">
        <f>133.65/1000</f>
        <v>0.13365000000000002</v>
      </c>
      <c r="AQ269" s="31">
        <f>21.109/1000</f>
        <v>2.1109000000000003E-2</v>
      </c>
      <c r="AR269" s="31"/>
      <c r="AS269" s="31">
        <v>50</v>
      </c>
      <c r="AT269" s="31">
        <v>50</v>
      </c>
      <c r="AU269" s="31"/>
      <c r="AV269" s="31"/>
      <c r="AW269" s="31">
        <f>20.182/1000</f>
        <v>2.0181999999999999E-2</v>
      </c>
      <c r="AX269" s="68">
        <f t="shared" ref="AX269:AX283" si="4">+L269/M269</f>
        <v>7.400000000000001E-2</v>
      </c>
    </row>
    <row r="270" spans="2:50" x14ac:dyDescent="0.2">
      <c r="B270" s="8"/>
      <c r="C270" s="22">
        <v>43704</v>
      </c>
      <c r="D270" s="77" t="s">
        <v>13</v>
      </c>
      <c r="E270" s="31"/>
      <c r="F270" s="31"/>
      <c r="G270" s="31"/>
      <c r="H270" s="31"/>
      <c r="I270" s="31"/>
      <c r="J270" s="31"/>
      <c r="K270" s="31"/>
      <c r="L270" s="31">
        <v>1.95</v>
      </c>
      <c r="M270" s="31">
        <v>25</v>
      </c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>
        <v>8.42</v>
      </c>
      <c r="AA270" s="31"/>
      <c r="AB270" s="31"/>
      <c r="AC270" s="31"/>
      <c r="AD270" s="31"/>
      <c r="AE270" s="31"/>
      <c r="AF270" s="31"/>
      <c r="AG270" s="31"/>
      <c r="AH270" s="31"/>
      <c r="AI270" s="58">
        <v>5400</v>
      </c>
      <c r="AJ270" s="58">
        <v>3500</v>
      </c>
      <c r="AK270" s="31"/>
      <c r="AL270" s="31"/>
      <c r="AM270" s="31">
        <v>10</v>
      </c>
      <c r="AN270" s="31">
        <v>10</v>
      </c>
      <c r="AO270" s="31">
        <v>20</v>
      </c>
      <c r="AP270" s="31">
        <f>184.8/1000</f>
        <v>0.18480000000000002</v>
      </c>
      <c r="AQ270" s="31">
        <f>16.28/1000</f>
        <v>1.6280000000000003E-2</v>
      </c>
      <c r="AR270" s="31"/>
      <c r="AS270" s="31">
        <v>50</v>
      </c>
      <c r="AT270" s="31">
        <v>50</v>
      </c>
      <c r="AU270" s="31"/>
      <c r="AV270" s="31"/>
      <c r="AW270" s="37">
        <f>20/1000</f>
        <v>0.02</v>
      </c>
      <c r="AX270" s="68">
        <f t="shared" si="4"/>
        <v>7.8E-2</v>
      </c>
    </row>
    <row r="271" spans="2:50" x14ac:dyDescent="0.2">
      <c r="B271" s="8"/>
      <c r="C271" s="22">
        <v>43704</v>
      </c>
      <c r="D271" s="78" t="s">
        <v>14</v>
      </c>
      <c r="E271" s="31"/>
      <c r="F271" s="31"/>
      <c r="G271" s="31"/>
      <c r="H271" s="31"/>
      <c r="I271" s="31"/>
      <c r="J271" s="31"/>
      <c r="K271" s="31"/>
      <c r="L271" s="31">
        <v>2.2000000000000002</v>
      </c>
      <c r="M271" s="31">
        <v>25</v>
      </c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>
        <v>7.41</v>
      </c>
      <c r="AA271" s="31"/>
      <c r="AB271" s="31"/>
      <c r="AC271" s="31"/>
      <c r="AD271" s="31"/>
      <c r="AE271" s="31"/>
      <c r="AF271" s="31"/>
      <c r="AG271" s="31"/>
      <c r="AH271" s="31"/>
      <c r="AI271" s="58">
        <v>23</v>
      </c>
      <c r="AJ271" s="58">
        <v>23</v>
      </c>
      <c r="AK271" s="31"/>
      <c r="AL271" s="31"/>
      <c r="AM271" s="31">
        <v>10</v>
      </c>
      <c r="AN271" s="31">
        <v>10</v>
      </c>
      <c r="AO271" s="31">
        <v>20</v>
      </c>
      <c r="AP271" s="31">
        <f>1618.1/1000</f>
        <v>1.6180999999999999</v>
      </c>
      <c r="AQ271" s="31">
        <f>47.201/1000</f>
        <v>4.7201E-2</v>
      </c>
      <c r="AR271" s="31"/>
      <c r="AS271" s="31">
        <v>50</v>
      </c>
      <c r="AT271" s="31">
        <v>50</v>
      </c>
      <c r="AU271" s="31"/>
      <c r="AV271" s="31"/>
      <c r="AW271" s="31">
        <f>21.406/1000</f>
        <v>2.1405999999999998E-2</v>
      </c>
      <c r="AX271" s="68">
        <f t="shared" si="4"/>
        <v>8.8000000000000009E-2</v>
      </c>
    </row>
    <row r="272" spans="2:50" x14ac:dyDescent="0.2">
      <c r="B272" s="10"/>
      <c r="C272" s="22">
        <v>43760</v>
      </c>
      <c r="D272" s="27" t="s">
        <v>9</v>
      </c>
      <c r="E272" s="31"/>
      <c r="F272" s="31"/>
      <c r="G272" s="31"/>
      <c r="H272" s="31"/>
      <c r="I272" s="31"/>
      <c r="J272" s="31">
        <v>1</v>
      </c>
      <c r="K272" s="31"/>
      <c r="L272" s="31">
        <v>2.8</v>
      </c>
      <c r="M272" s="31">
        <v>59</v>
      </c>
      <c r="N272" s="31"/>
      <c r="O272" s="31"/>
      <c r="P272" s="31"/>
      <c r="Q272" s="31"/>
      <c r="R272" s="31"/>
      <c r="S272" s="31">
        <v>0.1</v>
      </c>
      <c r="T272" s="31">
        <v>0.22</v>
      </c>
      <c r="U272" s="31">
        <v>257.5</v>
      </c>
      <c r="V272" s="31"/>
      <c r="W272" s="31"/>
      <c r="X272" s="31"/>
      <c r="Y272" s="31"/>
      <c r="Z272" s="31">
        <v>8.0440000000000005</v>
      </c>
      <c r="AA272" s="31"/>
      <c r="AB272" s="31">
        <v>12</v>
      </c>
      <c r="AC272" s="31">
        <v>306</v>
      </c>
      <c r="AD272" s="31"/>
      <c r="AE272" s="31">
        <v>8.5</v>
      </c>
      <c r="AF272" s="31"/>
      <c r="AG272" s="31"/>
      <c r="AH272" s="31"/>
      <c r="AI272" s="58">
        <v>27000</v>
      </c>
      <c r="AJ272" s="58">
        <v>17000</v>
      </c>
      <c r="AK272" s="31">
        <v>3008.5</v>
      </c>
      <c r="AL272" s="31"/>
      <c r="AM272" s="31">
        <v>10</v>
      </c>
      <c r="AN272" s="31">
        <v>10</v>
      </c>
      <c r="AO272" s="31">
        <v>20</v>
      </c>
      <c r="AP272" s="31">
        <f>2477.2/1000</f>
        <v>2.4771999999999998</v>
      </c>
      <c r="AQ272" s="31">
        <f>51.864/1000</f>
        <v>5.1864E-2</v>
      </c>
      <c r="AR272" s="31"/>
      <c r="AS272" s="31">
        <v>50</v>
      </c>
      <c r="AT272" s="31">
        <v>50</v>
      </c>
      <c r="AU272" s="31"/>
      <c r="AV272" s="31"/>
      <c r="AW272" s="31">
        <f>95.513/1000</f>
        <v>9.5513000000000001E-2</v>
      </c>
      <c r="AX272" s="68">
        <f t="shared" si="4"/>
        <v>4.7457627118644062E-2</v>
      </c>
    </row>
    <row r="273" spans="2:50" x14ac:dyDescent="0.2">
      <c r="B273" s="9"/>
      <c r="C273" s="22">
        <v>43760</v>
      </c>
      <c r="D273" s="74" t="s">
        <v>10</v>
      </c>
      <c r="E273" s="31"/>
      <c r="F273" s="31"/>
      <c r="G273" s="31"/>
      <c r="H273" s="31"/>
      <c r="I273" s="31"/>
      <c r="J273" s="31">
        <v>1</v>
      </c>
      <c r="K273" s="31"/>
      <c r="L273" s="31">
        <v>1.3</v>
      </c>
      <c r="M273" s="31">
        <v>40</v>
      </c>
      <c r="N273" s="31"/>
      <c r="O273" s="31"/>
      <c r="P273" s="31"/>
      <c r="Q273" s="31"/>
      <c r="R273" s="31"/>
      <c r="S273" s="31">
        <v>0.1</v>
      </c>
      <c r="T273" s="31">
        <v>0.1</v>
      </c>
      <c r="U273" s="31">
        <v>49.92</v>
      </c>
      <c r="V273" s="31"/>
      <c r="W273" s="31"/>
      <c r="X273" s="31"/>
      <c r="Y273" s="31"/>
      <c r="Z273" s="31">
        <v>8.1300000000000008</v>
      </c>
      <c r="AA273" s="31"/>
      <c r="AB273" s="31">
        <v>30</v>
      </c>
      <c r="AC273" s="31">
        <v>302</v>
      </c>
      <c r="AD273" s="31"/>
      <c r="AE273" s="31">
        <v>9.5</v>
      </c>
      <c r="AF273" s="31"/>
      <c r="AG273" s="31"/>
      <c r="AH273" s="31"/>
      <c r="AI273" s="58">
        <v>9100</v>
      </c>
      <c r="AJ273" s="58">
        <v>2000</v>
      </c>
      <c r="AK273" s="31">
        <v>3021.7</v>
      </c>
      <c r="AL273" s="31"/>
      <c r="AM273" s="31">
        <v>10</v>
      </c>
      <c r="AN273" s="31">
        <v>10</v>
      </c>
      <c r="AO273" s="31">
        <v>20</v>
      </c>
      <c r="AP273" s="31">
        <f>2568.5/1000</f>
        <v>2.5684999999999998</v>
      </c>
      <c r="AQ273" s="31">
        <f>73.436/1000</f>
        <v>7.3436000000000001E-2</v>
      </c>
      <c r="AR273" s="31"/>
      <c r="AS273" s="31">
        <v>50</v>
      </c>
      <c r="AT273" s="31">
        <v>50</v>
      </c>
      <c r="AU273" s="31"/>
      <c r="AV273" s="31"/>
      <c r="AW273" s="31">
        <f>44.594/1000</f>
        <v>4.4594000000000002E-2</v>
      </c>
      <c r="AX273" s="68">
        <f t="shared" si="4"/>
        <v>3.2500000000000001E-2</v>
      </c>
    </row>
    <row r="274" spans="2:50" x14ac:dyDescent="0.2">
      <c r="B274" s="8"/>
      <c r="C274" s="22">
        <v>43760</v>
      </c>
      <c r="D274" s="75" t="s">
        <v>11</v>
      </c>
      <c r="E274" s="31"/>
      <c r="F274" s="31"/>
      <c r="G274" s="31"/>
      <c r="H274" s="31"/>
      <c r="I274" s="31"/>
      <c r="J274" s="31">
        <v>1</v>
      </c>
      <c r="K274" s="31"/>
      <c r="L274" s="31">
        <v>1.4</v>
      </c>
      <c r="M274" s="31">
        <v>58</v>
      </c>
      <c r="N274" s="31"/>
      <c r="O274" s="31"/>
      <c r="P274" s="31"/>
      <c r="Q274" s="31"/>
      <c r="R274" s="31"/>
      <c r="S274" s="31">
        <v>0.1</v>
      </c>
      <c r="T274" s="31">
        <v>0.08</v>
      </c>
      <c r="U274" s="31">
        <v>61.58</v>
      </c>
      <c r="V274" s="31"/>
      <c r="W274" s="31"/>
      <c r="X274" s="31"/>
      <c r="Y274" s="31"/>
      <c r="Z274" s="31">
        <v>8.11</v>
      </c>
      <c r="AA274" s="31"/>
      <c r="AB274" s="31">
        <v>11</v>
      </c>
      <c r="AC274" s="31">
        <v>300</v>
      </c>
      <c r="AD274" s="31"/>
      <c r="AE274" s="31">
        <v>10</v>
      </c>
      <c r="AF274" s="31"/>
      <c r="AG274" s="31"/>
      <c r="AH274" s="31"/>
      <c r="AI274" s="58">
        <v>4500</v>
      </c>
      <c r="AJ274" s="58">
        <v>2000</v>
      </c>
      <c r="AK274" s="31">
        <v>3173.5</v>
      </c>
      <c r="AL274" s="31"/>
      <c r="AM274" s="31">
        <v>10</v>
      </c>
      <c r="AN274" s="31">
        <v>10</v>
      </c>
      <c r="AO274" s="31">
        <v>20</v>
      </c>
      <c r="AP274" s="31">
        <f>2662/1000</f>
        <v>2.6619999999999999</v>
      </c>
      <c r="AQ274" s="31">
        <f>71.401/1000</f>
        <v>7.1400999999999992E-2</v>
      </c>
      <c r="AR274" s="31"/>
      <c r="AS274" s="31">
        <v>50</v>
      </c>
      <c r="AT274" s="31">
        <v>50</v>
      </c>
      <c r="AU274" s="31"/>
      <c r="AV274" s="31"/>
      <c r="AW274" s="31">
        <f>46.629/1000</f>
        <v>4.6628999999999997E-2</v>
      </c>
      <c r="AX274" s="68">
        <f t="shared" si="4"/>
        <v>2.4137931034482758E-2</v>
      </c>
    </row>
    <row r="275" spans="2:50" x14ac:dyDescent="0.2">
      <c r="B275" s="8"/>
      <c r="C275" s="22">
        <v>43760</v>
      </c>
      <c r="D275" s="76" t="s">
        <v>12</v>
      </c>
      <c r="E275" s="31"/>
      <c r="F275" s="31"/>
      <c r="G275" s="31"/>
      <c r="H275" s="31"/>
      <c r="I275" s="31"/>
      <c r="J275" s="31">
        <v>1</v>
      </c>
      <c r="K275" s="31"/>
      <c r="L275" s="31">
        <v>1.25</v>
      </c>
      <c r="M275" s="31">
        <v>62</v>
      </c>
      <c r="N275" s="31"/>
      <c r="O275" s="31"/>
      <c r="P275" s="31"/>
      <c r="Q275" s="31"/>
      <c r="R275" s="31"/>
      <c r="S275" s="31">
        <v>0.1</v>
      </c>
      <c r="T275" s="31">
        <v>0.13</v>
      </c>
      <c r="U275" s="31">
        <v>42.42</v>
      </c>
      <c r="V275" s="31"/>
      <c r="W275" s="31"/>
      <c r="X275" s="31"/>
      <c r="Y275" s="31"/>
      <c r="Z275" s="31">
        <v>8.1199999999999992</v>
      </c>
      <c r="AA275" s="31"/>
      <c r="AB275" s="31">
        <v>40</v>
      </c>
      <c r="AC275" s="31">
        <v>383</v>
      </c>
      <c r="AD275" s="31"/>
      <c r="AE275" s="31">
        <v>11</v>
      </c>
      <c r="AF275" s="31"/>
      <c r="AG275" s="31"/>
      <c r="AH275" s="31"/>
      <c r="AI275" s="58">
        <v>33000</v>
      </c>
      <c r="AJ275" s="58">
        <v>23000</v>
      </c>
      <c r="AK275" s="31">
        <v>4551.8</v>
      </c>
      <c r="AL275" s="31"/>
      <c r="AM275" s="31">
        <v>10</v>
      </c>
      <c r="AN275" s="31">
        <v>10</v>
      </c>
      <c r="AO275" s="31">
        <v>20</v>
      </c>
      <c r="AP275" s="31">
        <f>4021.6/1000</f>
        <v>4.0216000000000003</v>
      </c>
      <c r="AQ275" s="31">
        <f>121.66/1000</f>
        <v>0.12165999999999999</v>
      </c>
      <c r="AR275" s="31"/>
      <c r="AS275" s="31">
        <v>50</v>
      </c>
      <c r="AT275" s="31">
        <v>50</v>
      </c>
      <c r="AU275" s="31"/>
      <c r="AV275" s="31"/>
      <c r="AW275" s="31">
        <f>103.147/1000</f>
        <v>0.103147</v>
      </c>
      <c r="AX275" s="68">
        <f t="shared" si="4"/>
        <v>2.0161290322580645E-2</v>
      </c>
    </row>
    <row r="276" spans="2:50" x14ac:dyDescent="0.2">
      <c r="B276" s="8"/>
      <c r="C276" s="25">
        <v>43760</v>
      </c>
      <c r="D276" s="77" t="s">
        <v>13</v>
      </c>
      <c r="E276" s="31"/>
      <c r="F276" s="31"/>
      <c r="G276" s="31"/>
      <c r="H276" s="31"/>
      <c r="I276" s="31"/>
      <c r="J276" s="31">
        <v>1</v>
      </c>
      <c r="K276" s="31"/>
      <c r="L276" s="31">
        <v>1.1000000000000001</v>
      </c>
      <c r="M276" s="31">
        <v>51</v>
      </c>
      <c r="N276" s="31"/>
      <c r="O276" s="31"/>
      <c r="P276" s="31"/>
      <c r="Q276" s="31"/>
      <c r="R276" s="31"/>
      <c r="S276" s="31">
        <v>0.1</v>
      </c>
      <c r="T276" s="31">
        <v>0.12</v>
      </c>
      <c r="U276" s="31">
        <v>49.92</v>
      </c>
      <c r="V276" s="31"/>
      <c r="W276" s="31"/>
      <c r="X276" s="31"/>
      <c r="Y276" s="31"/>
      <c r="Z276" s="31">
        <v>8.14</v>
      </c>
      <c r="AA276" s="31"/>
      <c r="AB276" s="31">
        <v>6</v>
      </c>
      <c r="AC276" s="31">
        <v>309</v>
      </c>
      <c r="AD276" s="31"/>
      <c r="AE276" s="31">
        <v>10.5</v>
      </c>
      <c r="AF276" s="31"/>
      <c r="AG276" s="31"/>
      <c r="AH276" s="31"/>
      <c r="AI276" s="58">
        <v>4900</v>
      </c>
      <c r="AJ276" s="58">
        <v>4900</v>
      </c>
      <c r="AK276" s="31">
        <v>3054.7</v>
      </c>
      <c r="AL276" s="31"/>
      <c r="AM276" s="31">
        <v>10</v>
      </c>
      <c r="AN276" s="31">
        <v>10</v>
      </c>
      <c r="AO276" s="31">
        <v>20</v>
      </c>
      <c r="AP276" s="31">
        <f>2587.2/1000</f>
        <v>2.5871999999999997</v>
      </c>
      <c r="AQ276" s="31">
        <f>72.974/1000</f>
        <v>7.2973999999999997E-2</v>
      </c>
      <c r="AR276" s="31"/>
      <c r="AS276" s="31">
        <v>50</v>
      </c>
      <c r="AT276" s="31">
        <v>50</v>
      </c>
      <c r="AU276" s="31"/>
      <c r="AV276" s="31"/>
      <c r="AW276" s="31">
        <f>52.8/1000</f>
        <v>5.28E-2</v>
      </c>
      <c r="AX276" s="68">
        <f t="shared" si="4"/>
        <v>2.1568627450980395E-2</v>
      </c>
    </row>
    <row r="277" spans="2:50" x14ac:dyDescent="0.2">
      <c r="B277" s="8"/>
      <c r="C277" s="25">
        <v>43760</v>
      </c>
      <c r="D277" s="78" t="s">
        <v>14</v>
      </c>
      <c r="E277" s="31"/>
      <c r="F277" s="31"/>
      <c r="G277" s="31"/>
      <c r="H277" s="31"/>
      <c r="I277" s="31"/>
      <c r="J277" s="31">
        <v>1</v>
      </c>
      <c r="K277" s="31"/>
      <c r="L277" s="31">
        <v>0.4</v>
      </c>
      <c r="M277" s="31">
        <v>25</v>
      </c>
      <c r="N277" s="31"/>
      <c r="O277" s="31"/>
      <c r="P277" s="31"/>
      <c r="Q277" s="31"/>
      <c r="R277" s="31"/>
      <c r="S277" s="31">
        <v>0.1</v>
      </c>
      <c r="T277" s="31">
        <v>0.08</v>
      </c>
      <c r="U277" s="31">
        <v>23.25</v>
      </c>
      <c r="V277" s="31"/>
      <c r="W277" s="31"/>
      <c r="X277" s="31"/>
      <c r="Y277" s="31"/>
      <c r="Z277" s="31">
        <v>7.93</v>
      </c>
      <c r="AA277" s="31"/>
      <c r="AB277" s="31">
        <v>6</v>
      </c>
      <c r="AC277" s="31">
        <v>420</v>
      </c>
      <c r="AD277" s="31"/>
      <c r="AE277" s="31">
        <v>16</v>
      </c>
      <c r="AF277" s="31"/>
      <c r="AG277" s="31"/>
      <c r="AH277" s="31"/>
      <c r="AI277" s="58">
        <v>2700</v>
      </c>
      <c r="AJ277" s="58">
        <v>1100</v>
      </c>
      <c r="AK277" s="31">
        <v>334.62</v>
      </c>
      <c r="AL277" s="31"/>
      <c r="AM277" s="31">
        <v>10</v>
      </c>
      <c r="AN277" s="31">
        <v>10</v>
      </c>
      <c r="AO277" s="31">
        <v>20</v>
      </c>
      <c r="AP277" s="31">
        <f>351.89/1000</f>
        <v>0.35188999999999998</v>
      </c>
      <c r="AQ277" s="31">
        <f>9.994/1000</f>
        <v>9.9939999999999994E-3</v>
      </c>
      <c r="AR277" s="31"/>
      <c r="AS277" s="31">
        <v>50</v>
      </c>
      <c r="AT277" s="31">
        <v>50</v>
      </c>
      <c r="AU277" s="31"/>
      <c r="AV277" s="31"/>
      <c r="AW277" s="31">
        <f>48.081/1000</f>
        <v>4.8081000000000006E-2</v>
      </c>
      <c r="AX277" s="68">
        <f t="shared" si="4"/>
        <v>1.6E-2</v>
      </c>
    </row>
    <row r="278" spans="2:50" x14ac:dyDescent="0.2">
      <c r="B278" s="10">
        <v>2020</v>
      </c>
      <c r="C278" s="25">
        <v>44021</v>
      </c>
      <c r="D278" s="27" t="s">
        <v>9</v>
      </c>
      <c r="E278" s="31"/>
      <c r="F278" s="31"/>
      <c r="G278" s="31"/>
      <c r="H278" s="31"/>
      <c r="I278" s="31"/>
      <c r="J278" s="31">
        <v>1</v>
      </c>
      <c r="K278" s="31"/>
      <c r="L278" s="31">
        <v>1.75</v>
      </c>
      <c r="M278" s="31">
        <v>25</v>
      </c>
      <c r="N278" s="31"/>
      <c r="O278" s="31"/>
      <c r="P278" s="34"/>
      <c r="Q278" s="34"/>
      <c r="R278" s="34"/>
      <c r="S278" s="31">
        <v>0.1</v>
      </c>
      <c r="T278" s="45">
        <v>0.152</v>
      </c>
      <c r="U278" s="48">
        <v>8.0000000000000002E-3</v>
      </c>
      <c r="V278" s="34"/>
      <c r="W278" s="34"/>
      <c r="X278" s="34"/>
      <c r="Y278" s="34"/>
      <c r="Z278" s="34">
        <v>8.39</v>
      </c>
      <c r="AA278" s="34"/>
      <c r="AB278" s="34">
        <v>6</v>
      </c>
      <c r="AC278" s="34">
        <v>359</v>
      </c>
      <c r="AD278" s="34"/>
      <c r="AE278" s="34">
        <v>4.8</v>
      </c>
      <c r="AF278" s="34"/>
      <c r="AG278" s="34"/>
      <c r="AH278" s="34"/>
      <c r="AI278" s="52">
        <v>4500</v>
      </c>
      <c r="AJ278" s="58" t="s">
        <v>73</v>
      </c>
      <c r="AK278" s="34">
        <v>807.84</v>
      </c>
      <c r="AL278" s="45"/>
      <c r="AM278" s="31">
        <v>10</v>
      </c>
      <c r="AN278" s="31">
        <v>10</v>
      </c>
      <c r="AO278" s="31">
        <v>20</v>
      </c>
      <c r="AP278" s="34">
        <f>914.65/1000</f>
        <v>0.91464999999999996</v>
      </c>
      <c r="AQ278" s="34">
        <f>50.798/1000</f>
        <v>5.0798000000000003E-2</v>
      </c>
      <c r="AR278" s="34"/>
      <c r="AS278" s="31">
        <v>50</v>
      </c>
      <c r="AT278" s="31">
        <v>50</v>
      </c>
      <c r="AU278" s="34"/>
      <c r="AV278" s="34"/>
      <c r="AW278" s="34">
        <f>195.25/1000</f>
        <v>0.19525000000000001</v>
      </c>
      <c r="AX278" s="68">
        <f t="shared" si="4"/>
        <v>7.0000000000000007E-2</v>
      </c>
    </row>
    <row r="279" spans="2:50" x14ac:dyDescent="0.2">
      <c r="B279" s="9"/>
      <c r="C279" s="25">
        <v>44021</v>
      </c>
      <c r="D279" s="74" t="s">
        <v>10</v>
      </c>
      <c r="E279" s="31"/>
      <c r="F279" s="31"/>
      <c r="G279" s="31"/>
      <c r="H279" s="31"/>
      <c r="I279" s="31"/>
      <c r="J279" s="31">
        <v>1.07</v>
      </c>
      <c r="K279" s="31"/>
      <c r="L279" s="31">
        <v>1.9</v>
      </c>
      <c r="M279" s="34">
        <v>25</v>
      </c>
      <c r="N279" s="31"/>
      <c r="O279" s="31"/>
      <c r="P279" s="34"/>
      <c r="Q279" s="34"/>
      <c r="R279" s="34"/>
      <c r="S279" s="31">
        <v>0.1</v>
      </c>
      <c r="T279" s="45">
        <v>6.8000000000000005E-2</v>
      </c>
      <c r="U279" s="48">
        <v>2E-3</v>
      </c>
      <c r="V279" s="34"/>
      <c r="W279" s="34"/>
      <c r="X279" s="34"/>
      <c r="Y279" s="34"/>
      <c r="Z279" s="34">
        <v>8.2899999999999991</v>
      </c>
      <c r="AA279" s="34"/>
      <c r="AB279" s="34">
        <v>6</v>
      </c>
      <c r="AC279" s="34">
        <v>371</v>
      </c>
      <c r="AD279" s="34"/>
      <c r="AE279" s="34">
        <v>10.8</v>
      </c>
      <c r="AF279" s="34"/>
      <c r="AG279" s="34"/>
      <c r="AH279" s="34"/>
      <c r="AI279" s="58">
        <v>2300</v>
      </c>
      <c r="AJ279" s="58">
        <v>2300</v>
      </c>
      <c r="AK279" s="34">
        <v>930.05</v>
      </c>
      <c r="AL279" s="45"/>
      <c r="AM279" s="31">
        <v>10</v>
      </c>
      <c r="AN279" s="31">
        <v>10</v>
      </c>
      <c r="AO279" s="31">
        <v>20</v>
      </c>
      <c r="AP279" s="34">
        <f>1012/1000</f>
        <v>1.012</v>
      </c>
      <c r="AQ279" s="34">
        <f>75.801/1000</f>
        <v>7.5801000000000007E-2</v>
      </c>
      <c r="AR279" s="34"/>
      <c r="AS279" s="31">
        <v>50</v>
      </c>
      <c r="AT279" s="31">
        <v>50</v>
      </c>
      <c r="AU279" s="34"/>
      <c r="AV279" s="34"/>
      <c r="AW279" s="34">
        <f>85.14/1000</f>
        <v>8.5140000000000007E-2</v>
      </c>
      <c r="AX279" s="68">
        <f t="shared" si="4"/>
        <v>7.5999999999999998E-2</v>
      </c>
    </row>
    <row r="280" spans="2:50" x14ac:dyDescent="0.2">
      <c r="B280" s="8"/>
      <c r="C280" s="25">
        <v>44021</v>
      </c>
      <c r="D280" s="75" t="s">
        <v>11</v>
      </c>
      <c r="E280" s="31"/>
      <c r="F280" s="31"/>
      <c r="G280" s="31"/>
      <c r="H280" s="31"/>
      <c r="I280" s="31"/>
      <c r="J280" s="31">
        <v>1.07</v>
      </c>
      <c r="K280" s="31"/>
      <c r="L280" s="31">
        <v>1.9</v>
      </c>
      <c r="M280" s="34">
        <v>28</v>
      </c>
      <c r="N280" s="31"/>
      <c r="O280" s="31"/>
      <c r="P280" s="34"/>
      <c r="Q280" s="34"/>
      <c r="R280" s="34"/>
      <c r="S280" s="31">
        <v>0.1</v>
      </c>
      <c r="T280" s="31">
        <v>0.01</v>
      </c>
      <c r="U280" s="43">
        <v>2E-3</v>
      </c>
      <c r="V280" s="34"/>
      <c r="W280" s="34"/>
      <c r="X280" s="34"/>
      <c r="Y280" s="34"/>
      <c r="Z280" s="34">
        <v>8.4700000000000006</v>
      </c>
      <c r="AA280" s="34"/>
      <c r="AB280" s="34">
        <v>7</v>
      </c>
      <c r="AC280" s="34">
        <v>384</v>
      </c>
      <c r="AD280" s="34"/>
      <c r="AE280" s="34">
        <v>0</v>
      </c>
      <c r="AF280" s="34"/>
      <c r="AG280" s="34"/>
      <c r="AH280" s="34"/>
      <c r="AI280" s="52">
        <v>14000</v>
      </c>
      <c r="AJ280" s="52">
        <v>11000</v>
      </c>
      <c r="AK280" s="34">
        <v>719.62</v>
      </c>
      <c r="AL280" s="45"/>
      <c r="AM280" s="31">
        <v>10</v>
      </c>
      <c r="AN280" s="31">
        <v>10</v>
      </c>
      <c r="AO280" s="31">
        <v>20</v>
      </c>
      <c r="AP280" s="34">
        <f>851.18/1000</f>
        <v>0.85117999999999994</v>
      </c>
      <c r="AQ280" s="34">
        <f>59.95/1000</f>
        <v>5.9950000000000003E-2</v>
      </c>
      <c r="AR280" s="34"/>
      <c r="AS280" s="31">
        <v>50</v>
      </c>
      <c r="AT280" s="31">
        <v>50</v>
      </c>
      <c r="AU280" s="34"/>
      <c r="AV280" s="34"/>
      <c r="AW280" s="34">
        <f>64.735/1000</f>
        <v>6.4735000000000001E-2</v>
      </c>
      <c r="AX280" s="68">
        <f t="shared" si="4"/>
        <v>6.7857142857142852E-2</v>
      </c>
    </row>
    <row r="281" spans="2:50" x14ac:dyDescent="0.2">
      <c r="B281" s="8"/>
      <c r="C281" s="25">
        <v>44021</v>
      </c>
      <c r="D281" s="76" t="s">
        <v>12</v>
      </c>
      <c r="E281" s="31"/>
      <c r="F281" s="31"/>
      <c r="G281" s="31"/>
      <c r="H281" s="31"/>
      <c r="I281" s="31"/>
      <c r="J281" s="31">
        <v>1.07</v>
      </c>
      <c r="K281" s="31"/>
      <c r="L281" s="31">
        <v>1.7</v>
      </c>
      <c r="M281" s="34">
        <v>23</v>
      </c>
      <c r="N281" s="31"/>
      <c r="O281" s="31"/>
      <c r="P281" s="34"/>
      <c r="Q281" s="34"/>
      <c r="R281" s="34"/>
      <c r="S281" s="31">
        <v>0.1</v>
      </c>
      <c r="T281" s="31">
        <v>0.01</v>
      </c>
      <c r="U281" s="43">
        <v>2E-3</v>
      </c>
      <c r="V281" s="34"/>
      <c r="W281" s="34"/>
      <c r="X281" s="34"/>
      <c r="Y281" s="34"/>
      <c r="Z281" s="34">
        <v>8.44</v>
      </c>
      <c r="AA281" s="34"/>
      <c r="AB281" s="34">
        <v>12</v>
      </c>
      <c r="AC281" s="34">
        <v>408</v>
      </c>
      <c r="AD281" s="34"/>
      <c r="AE281" s="34">
        <v>6.8</v>
      </c>
      <c r="AF281" s="34"/>
      <c r="AG281" s="34"/>
      <c r="AH281" s="34"/>
      <c r="AI281" s="52">
        <v>22000</v>
      </c>
      <c r="AJ281" s="52">
        <v>2000</v>
      </c>
      <c r="AK281" s="34">
        <v>1325.5</v>
      </c>
      <c r="AL281" s="45"/>
      <c r="AM281" s="31">
        <v>10</v>
      </c>
      <c r="AN281" s="31">
        <v>10</v>
      </c>
      <c r="AO281" s="31">
        <v>20</v>
      </c>
      <c r="AP281" s="34">
        <f>1421.2/1000</f>
        <v>1.4212</v>
      </c>
      <c r="AQ281" s="34">
        <f>70.543/1000</f>
        <v>7.0543000000000008E-2</v>
      </c>
      <c r="AR281" s="34"/>
      <c r="AS281" s="31">
        <v>50</v>
      </c>
      <c r="AT281" s="31">
        <v>50</v>
      </c>
      <c r="AU281" s="34"/>
      <c r="AV281" s="34"/>
      <c r="AW281" s="34">
        <f>46.365/1000</f>
        <v>4.6365000000000003E-2</v>
      </c>
      <c r="AX281" s="68">
        <f t="shared" si="4"/>
        <v>7.3913043478260873E-2</v>
      </c>
    </row>
    <row r="282" spans="2:50" x14ac:dyDescent="0.2">
      <c r="B282" s="8"/>
      <c r="C282" s="25">
        <v>44021</v>
      </c>
      <c r="D282" s="77" t="s">
        <v>13</v>
      </c>
      <c r="E282" s="31" t="s">
        <v>17</v>
      </c>
      <c r="F282" s="31"/>
      <c r="G282" s="31"/>
      <c r="H282" s="31"/>
      <c r="I282" s="31"/>
      <c r="J282" s="31">
        <v>1.07</v>
      </c>
      <c r="K282" s="31"/>
      <c r="L282" s="31">
        <v>1.75</v>
      </c>
      <c r="M282" s="34">
        <v>35</v>
      </c>
      <c r="N282" s="31"/>
      <c r="O282" s="31"/>
      <c r="P282" s="34"/>
      <c r="Q282" s="34"/>
      <c r="R282" s="34"/>
      <c r="S282" s="34">
        <v>0.11</v>
      </c>
      <c r="T282" s="31">
        <v>0.01</v>
      </c>
      <c r="U282" s="48">
        <v>0.03</v>
      </c>
      <c r="V282" s="34"/>
      <c r="W282" s="34"/>
      <c r="X282" s="34"/>
      <c r="Y282" s="34"/>
      <c r="Z282" s="34">
        <v>8.4</v>
      </c>
      <c r="AA282" s="34"/>
      <c r="AB282" s="34">
        <v>11</v>
      </c>
      <c r="AC282" s="34">
        <v>368</v>
      </c>
      <c r="AD282" s="34"/>
      <c r="AE282" s="34">
        <v>10.8</v>
      </c>
      <c r="AF282" s="34"/>
      <c r="AG282" s="34"/>
      <c r="AH282" s="34"/>
      <c r="AI282" s="52">
        <v>13000</v>
      </c>
      <c r="AJ282" s="52">
        <v>1700</v>
      </c>
      <c r="AK282" s="34">
        <v>841.61</v>
      </c>
      <c r="AL282" s="45"/>
      <c r="AM282" s="31">
        <v>10</v>
      </c>
      <c r="AN282" s="31">
        <v>10</v>
      </c>
      <c r="AO282" s="31">
        <v>20</v>
      </c>
      <c r="AP282" s="34">
        <f>922.57/1000</f>
        <v>0.92257</v>
      </c>
      <c r="AQ282" s="34">
        <f>71.544/1000</f>
        <v>7.1543999999999996E-2</v>
      </c>
      <c r="AR282" s="34"/>
      <c r="AS282" s="31">
        <v>50</v>
      </c>
      <c r="AT282" s="31">
        <v>50</v>
      </c>
      <c r="AU282" s="34"/>
      <c r="AV282" s="34"/>
      <c r="AW282" s="34">
        <f>34.958/1000</f>
        <v>3.4957999999999996E-2</v>
      </c>
      <c r="AX282" s="68">
        <f t="shared" si="4"/>
        <v>0.05</v>
      </c>
    </row>
    <row r="283" spans="2:50" x14ac:dyDescent="0.2">
      <c r="B283" s="8"/>
      <c r="C283" s="25">
        <v>44021</v>
      </c>
      <c r="D283" s="78" t="s">
        <v>14</v>
      </c>
      <c r="E283" s="31"/>
      <c r="F283" s="31"/>
      <c r="G283" s="31"/>
      <c r="H283" s="31"/>
      <c r="I283" s="31"/>
      <c r="J283" s="31">
        <v>1.07</v>
      </c>
      <c r="K283" s="31"/>
      <c r="L283" s="31">
        <v>1.1000000000000001</v>
      </c>
      <c r="M283" s="31">
        <v>25</v>
      </c>
      <c r="N283" s="31"/>
      <c r="O283" s="31"/>
      <c r="P283" s="34"/>
      <c r="Q283" s="34"/>
      <c r="R283" s="34"/>
      <c r="S283" s="31">
        <v>0.1</v>
      </c>
      <c r="T283" s="31">
        <v>0.01</v>
      </c>
      <c r="U283" s="43">
        <v>2E-3</v>
      </c>
      <c r="V283" s="34"/>
      <c r="W283" s="34"/>
      <c r="X283" s="34"/>
      <c r="Y283" s="34"/>
      <c r="Z283" s="34">
        <v>8.17</v>
      </c>
      <c r="AA283" s="34"/>
      <c r="AB283" s="31">
        <v>6</v>
      </c>
      <c r="AC283" s="34">
        <v>464</v>
      </c>
      <c r="AD283" s="34"/>
      <c r="AE283" s="34">
        <v>5.6</v>
      </c>
      <c r="AF283" s="34"/>
      <c r="AG283" s="34"/>
      <c r="AH283" s="34"/>
      <c r="AI283" s="52">
        <v>1400</v>
      </c>
      <c r="AJ283" s="52">
        <v>330</v>
      </c>
      <c r="AK283" s="34">
        <v>138.38</v>
      </c>
      <c r="AL283" s="45"/>
      <c r="AM283" s="31">
        <v>10</v>
      </c>
      <c r="AN283" s="31">
        <v>10</v>
      </c>
      <c r="AO283" s="31">
        <v>20</v>
      </c>
      <c r="AP283" s="34">
        <f>154.11/1000</f>
        <v>0.15411000000000002</v>
      </c>
      <c r="AQ283" s="34">
        <f>10.04/1000</f>
        <v>1.0039999999999999E-2</v>
      </c>
      <c r="AR283" s="34"/>
      <c r="AS283" s="31">
        <v>50</v>
      </c>
      <c r="AT283" s="31">
        <v>50</v>
      </c>
      <c r="AU283" s="34"/>
      <c r="AV283" s="34"/>
      <c r="AW283" s="34">
        <f>20/1000</f>
        <v>0.02</v>
      </c>
      <c r="AX283" s="68">
        <f t="shared" si="4"/>
        <v>4.4000000000000004E-2</v>
      </c>
    </row>
  </sheetData>
  <autoFilter ref="A11:AX283" xr:uid="{00000000-0009-0000-0000-00000A000000}">
    <sortState xmlns:xlrd2="http://schemas.microsoft.com/office/spreadsheetml/2017/richdata2" ref="A12:AX283">
      <sortCondition ref="C13:C283"/>
      <sortCondition ref="D13:D283" customList="Punto 1,Punto 2,Punto 3,Punto 4,100 mts abajo,Q. Capelo"/>
    </sortState>
  </autoFilter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Rio Quingeo Q. Capelo</vt:lpstr>
      <vt:lpstr>Rio Quingeo Q. Capelo GRUNTEC</vt:lpstr>
      <vt:lpstr>Rio Quingeo GRUNT (DIC)</vt:lpstr>
      <vt:lpstr>P. Químicos</vt:lpstr>
      <vt:lpstr>P. Químicos Gráficos paul</vt:lpstr>
      <vt:lpstr>P. Químicos Gráficos</vt:lpstr>
      <vt:lpstr>P. Físicos</vt:lpstr>
      <vt:lpstr>P. Físico Gráficos</vt:lpstr>
      <vt:lpstr>P. Biológicos</vt:lpstr>
      <vt:lpstr>P. Biológicos Gráficos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</dc:creator>
  <cp:lastModifiedBy>Miguel Villacís</cp:lastModifiedBy>
  <dcterms:created xsi:type="dcterms:W3CDTF">2020-09-20T00:20:44Z</dcterms:created>
  <dcterms:modified xsi:type="dcterms:W3CDTF">2026-01-28T03:44:50Z</dcterms:modified>
</cp:coreProperties>
</file>