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zquez\Relleno\RELLENO 2018\CONTROL OPERATIVO\LIXIVIADOS\"/>
    </mc:Choice>
  </mc:AlternateContent>
  <bookViews>
    <workbookView xWindow="120" yWindow="360" windowWidth="15600" windowHeight="903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L372" i="1" l="1"/>
  <c r="I328" i="1" l="1"/>
  <c r="I329" i="1"/>
  <c r="I330" i="1"/>
  <c r="I331" i="1"/>
  <c r="I332" i="1"/>
  <c r="I327" i="1"/>
  <c r="N371" i="1"/>
  <c r="J310" i="1" l="1"/>
  <c r="I310" i="1"/>
  <c r="I248" i="1" l="1"/>
  <c r="J248" i="1"/>
  <c r="J246" i="1"/>
  <c r="I246" i="1"/>
  <c r="J245" i="1"/>
  <c r="I245" i="1"/>
  <c r="J238" i="1"/>
  <c r="I238" i="1"/>
  <c r="J249" i="1"/>
  <c r="J227" i="1"/>
  <c r="J228" i="1"/>
  <c r="J229" i="1"/>
  <c r="J230" i="1"/>
  <c r="J231" i="1"/>
  <c r="J232" i="1"/>
  <c r="J233" i="1"/>
  <c r="J234" i="1"/>
  <c r="J235" i="1"/>
  <c r="J236" i="1"/>
  <c r="J237" i="1"/>
  <c r="J239" i="1"/>
  <c r="J240" i="1"/>
  <c r="J241" i="1"/>
  <c r="J242" i="1"/>
  <c r="J243" i="1"/>
  <c r="J244" i="1"/>
  <c r="J247" i="1"/>
  <c r="I227" i="1"/>
  <c r="I228" i="1"/>
  <c r="I229" i="1"/>
  <c r="I230" i="1"/>
  <c r="I231" i="1"/>
  <c r="I232" i="1"/>
  <c r="I233" i="1"/>
  <c r="I234" i="1"/>
  <c r="I235" i="1"/>
  <c r="I236" i="1"/>
  <c r="I237" i="1"/>
  <c r="I239" i="1"/>
  <c r="I240" i="1"/>
  <c r="I241" i="1"/>
  <c r="I242" i="1"/>
  <c r="I243" i="1"/>
  <c r="I244" i="1"/>
  <c r="I247" i="1"/>
  <c r="I249" i="1"/>
  <c r="J226" i="1"/>
  <c r="I226" i="1"/>
  <c r="I225" i="1"/>
  <c r="L225" i="1" s="1"/>
  <c r="J225" i="1"/>
  <c r="I218" i="1"/>
  <c r="L218" i="1" s="1"/>
  <c r="J220" i="1"/>
  <c r="J221" i="1"/>
  <c r="J222" i="1"/>
  <c r="J223" i="1"/>
  <c r="J224" i="1"/>
  <c r="J219" i="1"/>
  <c r="I220" i="1"/>
  <c r="I221" i="1"/>
  <c r="I222" i="1"/>
  <c r="I223" i="1"/>
  <c r="I224" i="1"/>
  <c r="I219" i="1"/>
  <c r="L219" i="1" s="1"/>
  <c r="J218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04" i="1"/>
  <c r="J201" i="1"/>
  <c r="J202" i="1"/>
  <c r="J203" i="1"/>
  <c r="J200" i="1"/>
  <c r="J199" i="1"/>
  <c r="J197" i="1"/>
  <c r="J196" i="1"/>
  <c r="I196" i="1"/>
  <c r="I204" i="1"/>
  <c r="I202" i="1"/>
  <c r="I20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01" i="1"/>
  <c r="I200" i="1"/>
  <c r="I198" i="1"/>
  <c r="I199" i="1"/>
  <c r="I7" i="1" l="1"/>
  <c r="L7" i="1" s="1"/>
  <c r="J7" i="1"/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8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L196" i="1"/>
  <c r="I197" i="1"/>
  <c r="L197" i="1" s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20" i="1"/>
  <c r="L221" i="1"/>
  <c r="L222" i="1"/>
  <c r="L223" i="1"/>
  <c r="L22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L310" i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L327" i="1"/>
  <c r="L328" i="1"/>
  <c r="L329" i="1"/>
  <c r="L330" i="1"/>
  <c r="L331" i="1"/>
  <c r="L332" i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N340" i="1" l="1"/>
  <c r="N279" i="1"/>
  <c r="N310" i="1"/>
  <c r="D372" i="1"/>
  <c r="E372" i="1"/>
  <c r="F372" i="1"/>
  <c r="I372" i="1"/>
  <c r="J372" i="1"/>
  <c r="K372" i="1"/>
  <c r="C372" i="1"/>
  <c r="N374" i="1" l="1"/>
  <c r="N218" i="1"/>
  <c r="N187" i="1"/>
  <c r="N157" i="1"/>
  <c r="N126" i="1"/>
  <c r="N96" i="1"/>
  <c r="N65" i="1"/>
  <c r="N37" i="1"/>
  <c r="N188" i="1" l="1"/>
  <c r="N249" i="1"/>
  <c r="N282" i="1" s="1"/>
  <c r="Q93" i="1"/>
  <c r="M93" i="1"/>
  <c r="I378" i="1"/>
  <c r="I381" i="1"/>
  <c r="P93" i="1" l="1"/>
  <c r="N93" i="1"/>
  <c r="I380" i="1"/>
  <c r="K380" i="1" s="1"/>
  <c r="I379" i="1"/>
</calcChain>
</file>

<file path=xl/comments1.xml><?xml version="1.0" encoding="utf-8"?>
<comments xmlns="http://schemas.openxmlformats.org/spreadsheetml/2006/main">
  <authors>
    <author>Juan Vega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Juan Vega:</t>
        </r>
        <r>
          <rPr>
            <sz val="9"/>
            <color indexed="81"/>
            <rFont val="Tahoma"/>
            <family val="2"/>
          </rPr>
          <t xml:space="preserve">
Piscina emergente. Piscina 1 de Norte 2 se encuentra en mantenimiento y no se utiliza.</t>
        </r>
      </text>
    </comment>
  </commentList>
</comments>
</file>

<file path=xl/sharedStrings.xml><?xml version="1.0" encoding="utf-8"?>
<sst xmlns="http://schemas.openxmlformats.org/spreadsheetml/2006/main" count="409" uniqueCount="46">
  <si>
    <t>RELLENO NORTE 2</t>
  </si>
  <si>
    <t>FECHA</t>
  </si>
  <si>
    <t>m3/día</t>
  </si>
  <si>
    <t>PRODUCTO COLOCADO</t>
  </si>
  <si>
    <t>kg/día</t>
  </si>
  <si>
    <t>TOTAL PRODUCTO COLOCADO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</si>
  <si>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</si>
  <si>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</si>
  <si>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</si>
  <si>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</si>
  <si>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</si>
  <si>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</si>
  <si>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</si>
  <si>
    <t>RANGO DQO</t>
  </si>
  <si>
    <t>OBSERVACIONES</t>
  </si>
  <si>
    <t>5000-15000</t>
  </si>
  <si>
    <t>Q PISCINA 1</t>
  </si>
  <si>
    <t>Q PISCINA 2</t>
  </si>
  <si>
    <t>Q TOTAL RELLENO NORTE 2</t>
  </si>
  <si>
    <t>Q TOTAL RELLENO NORTE 1</t>
  </si>
  <si>
    <t>Q TOTAL RELLENO SANITARIO</t>
  </si>
  <si>
    <t>Febrero</t>
  </si>
  <si>
    <t>Marzo</t>
  </si>
  <si>
    <t>Abril</t>
  </si>
  <si>
    <t xml:space="preserve">Mayo </t>
  </si>
  <si>
    <t xml:space="preserve">Junio </t>
  </si>
  <si>
    <t>Julio</t>
  </si>
  <si>
    <t>Enero</t>
  </si>
  <si>
    <t>agosto</t>
  </si>
  <si>
    <t>septiembre</t>
  </si>
  <si>
    <t>octubre</t>
  </si>
  <si>
    <t>NOVIEMBRE</t>
  </si>
  <si>
    <t>DICIEMBRE</t>
  </si>
  <si>
    <t>AFORO DE CAUDALES DE LIXIVIADOS DEL RELLENO SANITARIO DE PICHACAY - 2018</t>
  </si>
  <si>
    <t>35000-45000</t>
  </si>
  <si>
    <t>P3 5000-15000 / P2 35000-45000</t>
  </si>
  <si>
    <t>P3 5000-15000 / P2 15000-25000</t>
  </si>
  <si>
    <t>P3 35000-45000 / P2 35000-45000</t>
  </si>
  <si>
    <t>Q PISCINA 3</t>
  </si>
  <si>
    <t>P3 35000-45000 / P2 5000-15000</t>
  </si>
  <si>
    <t>P3 35001-45000 / P2 5000-15000</t>
  </si>
  <si>
    <t>35000-4500</t>
  </si>
  <si>
    <t>35001-45000</t>
  </si>
  <si>
    <t>P1 15000-25000 /   P2 15000-25000</t>
  </si>
  <si>
    <t>P1 35000-45000 /   P2 15000-25000</t>
  </si>
  <si>
    <t>P1 15000-25000 /   P2 5000-15000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</si>
</sst>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Fill="1" applyBorder="1"/>
    <xf numFmtId="0" fontId="0" fillId="2" borderId="11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3" borderId="0" xfId="0" applyFill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4" borderId="1" xfId="0" applyFill="1" applyBorder="1"/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4" borderId="5" xfId="0" applyFill="1" applyBorder="1"/>
    <xf numFmtId="0" fontId="0" fillId="5" borderId="1" xfId="0" applyFill="1" applyBorder="1"/>
    <xf numFmtId="2" fontId="0" fillId="4" borderId="1" xfId="0" applyNumberFormat="1" applyFill="1" applyBorder="1"/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/>
    <xf numFmtId="0" fontId="0" fillId="0" borderId="6" xfId="0" applyFill="1" applyBorder="1"/>
    <xf numFmtId="14" fontId="0" fillId="4" borderId="1" xfId="0" applyNumberFormat="1" applyFill="1" applyBorder="1"/>
    <xf numFmtId="2" fontId="0" fillId="4" borderId="0" xfId="0" applyNumberFormat="1" applyFill="1"/>
    <xf numFmtId="14" fontId="0" fillId="0" borderId="1" xfId="0" applyNumberForma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2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Hoja1!$C$4:$C$6</c:f>
              <c:strCache>
                <c:ptCount val="3"/>
                <c:pt idx="0">
                  <c:v>RELLENO NORTE 2</c:v>
                </c:pt>
                <c:pt idx="1">
                  <c:v>Q PISCINA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Hoja1!$C$7:$C$185</c:f>
              <c:numCache>
                <c:formatCode>General</c:formatCode>
                <c:ptCount val="17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BB1-4F3A-836E-3671411849EC}"/>
            </c:ext>
          </c:extLst>
        </c:ser>
        <c:ser>
          <c:idx val="1"/>
          <c:order val="1"/>
          <c:tx>
            <c:strRef>
              <c:f>Hoja1!$D$4:$D$6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Hoja1!$D$7:$D$185</c:f>
              <c:numCache>
                <c:formatCode>General</c:formatCode>
                <c:ptCount val="17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BB1-4F3A-836E-3671411849EC}"/>
            </c:ext>
          </c:extLst>
        </c:ser>
        <c:ser>
          <c:idx val="2"/>
          <c:order val="2"/>
          <c:tx>
            <c:strRef>
              <c:f>Hoja1!$E$4:$E$6</c:f>
              <c:strCache>
                <c:ptCount val="3"/>
                <c:pt idx="0">
                  <c:v>RELLENO NORTE 2</c:v>
                </c:pt>
                <c:pt idx="1">
                  <c:v>Q PISCINA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Hoja1!$E$7:$E$157</c:f>
              <c:numCache>
                <c:formatCode>General</c:formatCode>
                <c:ptCount val="151"/>
                <c:pt idx="0">
                  <c:v>61.71</c:v>
                </c:pt>
                <c:pt idx="1">
                  <c:v>61.71</c:v>
                </c:pt>
                <c:pt idx="2">
                  <c:v>86.4</c:v>
                </c:pt>
                <c:pt idx="3">
                  <c:v>61.71</c:v>
                </c:pt>
                <c:pt idx="4">
                  <c:v>61.71</c:v>
                </c:pt>
                <c:pt idx="5">
                  <c:v>61.71</c:v>
                </c:pt>
                <c:pt idx="6">
                  <c:v>43.2</c:v>
                </c:pt>
                <c:pt idx="7">
                  <c:v>43.2</c:v>
                </c:pt>
                <c:pt idx="8">
                  <c:v>43.2</c:v>
                </c:pt>
                <c:pt idx="9">
                  <c:v>43.2</c:v>
                </c:pt>
                <c:pt idx="10">
                  <c:v>43.2</c:v>
                </c:pt>
                <c:pt idx="11">
                  <c:v>43.2</c:v>
                </c:pt>
                <c:pt idx="12">
                  <c:v>43.2</c:v>
                </c:pt>
                <c:pt idx="13">
                  <c:v>43.2</c:v>
                </c:pt>
                <c:pt idx="14">
                  <c:v>108</c:v>
                </c:pt>
                <c:pt idx="15">
                  <c:v>86.4</c:v>
                </c:pt>
                <c:pt idx="16">
                  <c:v>72</c:v>
                </c:pt>
                <c:pt idx="17">
                  <c:v>54</c:v>
                </c:pt>
                <c:pt idx="18">
                  <c:v>54</c:v>
                </c:pt>
                <c:pt idx="19">
                  <c:v>54</c:v>
                </c:pt>
                <c:pt idx="20">
                  <c:v>54</c:v>
                </c:pt>
                <c:pt idx="21">
                  <c:v>43.2</c:v>
                </c:pt>
                <c:pt idx="22">
                  <c:v>43.2</c:v>
                </c:pt>
                <c:pt idx="23">
                  <c:v>43.2</c:v>
                </c:pt>
                <c:pt idx="24">
                  <c:v>39.270000000000003</c:v>
                </c:pt>
                <c:pt idx="25">
                  <c:v>39.270000000000003</c:v>
                </c:pt>
                <c:pt idx="26">
                  <c:v>39.270000000000003</c:v>
                </c:pt>
                <c:pt idx="27">
                  <c:v>30.86</c:v>
                </c:pt>
                <c:pt idx="28">
                  <c:v>30.86</c:v>
                </c:pt>
                <c:pt idx="29">
                  <c:v>30.86</c:v>
                </c:pt>
                <c:pt idx="30">
                  <c:v>33.229999999999997</c:v>
                </c:pt>
                <c:pt idx="31">
                  <c:v>33.229999999999997</c:v>
                </c:pt>
                <c:pt idx="32">
                  <c:v>39.270000000000003</c:v>
                </c:pt>
                <c:pt idx="33">
                  <c:v>39.270000000000003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28.8</c:v>
                </c:pt>
                <c:pt idx="45">
                  <c:v>28.8</c:v>
                </c:pt>
                <c:pt idx="46">
                  <c:v>33.229999999999997</c:v>
                </c:pt>
                <c:pt idx="47">
                  <c:v>33.229999999999997</c:v>
                </c:pt>
                <c:pt idx="48">
                  <c:v>33.229999999999997</c:v>
                </c:pt>
                <c:pt idx="49">
                  <c:v>54</c:v>
                </c:pt>
                <c:pt idx="50">
                  <c:v>54</c:v>
                </c:pt>
                <c:pt idx="51">
                  <c:v>108</c:v>
                </c:pt>
                <c:pt idx="52">
                  <c:v>108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</c:v>
                </c:pt>
                <c:pt idx="59">
                  <c:v>54</c:v>
                </c:pt>
                <c:pt idx="60">
                  <c:v>54</c:v>
                </c:pt>
                <c:pt idx="61">
                  <c:v>54</c:v>
                </c:pt>
                <c:pt idx="62">
                  <c:v>54</c:v>
                </c:pt>
                <c:pt idx="63">
                  <c:v>54</c:v>
                </c:pt>
                <c:pt idx="64">
                  <c:v>54</c:v>
                </c:pt>
                <c:pt idx="65">
                  <c:v>54</c:v>
                </c:pt>
                <c:pt idx="66">
                  <c:v>54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54</c:v>
                </c:pt>
                <c:pt idx="77">
                  <c:v>43.2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86.4</c:v>
                </c:pt>
                <c:pt idx="82">
                  <c:v>54</c:v>
                </c:pt>
                <c:pt idx="83">
                  <c:v>54</c:v>
                </c:pt>
                <c:pt idx="84">
                  <c:v>72</c:v>
                </c:pt>
                <c:pt idx="85">
                  <c:v>54</c:v>
                </c:pt>
                <c:pt idx="86">
                  <c:v>54</c:v>
                </c:pt>
                <c:pt idx="87">
                  <c:v>54</c:v>
                </c:pt>
                <c:pt idx="88">
                  <c:v>54</c:v>
                </c:pt>
                <c:pt idx="89">
                  <c:v>54</c:v>
                </c:pt>
                <c:pt idx="90">
                  <c:v>216</c:v>
                </c:pt>
                <c:pt idx="91">
                  <c:v>216</c:v>
                </c:pt>
                <c:pt idx="92">
                  <c:v>216</c:v>
                </c:pt>
                <c:pt idx="93">
                  <c:v>216</c:v>
                </c:pt>
                <c:pt idx="94">
                  <c:v>216</c:v>
                </c:pt>
                <c:pt idx="95">
                  <c:v>61.71</c:v>
                </c:pt>
                <c:pt idx="96">
                  <c:v>54</c:v>
                </c:pt>
                <c:pt idx="97">
                  <c:v>54</c:v>
                </c:pt>
                <c:pt idx="98">
                  <c:v>54</c:v>
                </c:pt>
                <c:pt idx="99">
                  <c:v>432</c:v>
                </c:pt>
                <c:pt idx="100">
                  <c:v>13.94</c:v>
                </c:pt>
                <c:pt idx="101">
                  <c:v>33.229999999999997</c:v>
                </c:pt>
                <c:pt idx="102">
                  <c:v>19.64</c:v>
                </c:pt>
                <c:pt idx="103">
                  <c:v>19.64</c:v>
                </c:pt>
                <c:pt idx="104">
                  <c:v>39.270000000000003</c:v>
                </c:pt>
                <c:pt idx="105">
                  <c:v>39.270000000000003</c:v>
                </c:pt>
                <c:pt idx="106">
                  <c:v>39.270000000000003</c:v>
                </c:pt>
                <c:pt idx="107">
                  <c:v>39.270000000000003</c:v>
                </c:pt>
                <c:pt idx="108">
                  <c:v>36</c:v>
                </c:pt>
                <c:pt idx="109">
                  <c:v>21.6</c:v>
                </c:pt>
                <c:pt idx="110">
                  <c:v>21.6</c:v>
                </c:pt>
                <c:pt idx="111">
                  <c:v>21.6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33.229999999999997</c:v>
                </c:pt>
                <c:pt idx="116">
                  <c:v>33.229999999999997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33.229999999999997</c:v>
                </c:pt>
                <c:pt idx="122">
                  <c:v>33.229999999999997</c:v>
                </c:pt>
                <c:pt idx="123">
                  <c:v>33.229999999999997</c:v>
                </c:pt>
                <c:pt idx="124">
                  <c:v>28.8</c:v>
                </c:pt>
                <c:pt idx="125">
                  <c:v>30.86</c:v>
                </c:pt>
                <c:pt idx="126">
                  <c:v>30.86</c:v>
                </c:pt>
                <c:pt idx="127">
                  <c:v>30.86</c:v>
                </c:pt>
                <c:pt idx="128">
                  <c:v>86.4</c:v>
                </c:pt>
                <c:pt idx="129">
                  <c:v>86.4</c:v>
                </c:pt>
                <c:pt idx="130">
                  <c:v>86.4</c:v>
                </c:pt>
                <c:pt idx="131">
                  <c:v>86.4</c:v>
                </c:pt>
                <c:pt idx="132">
                  <c:v>86.4</c:v>
                </c:pt>
                <c:pt idx="133">
                  <c:v>86.4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72</c:v>
                </c:pt>
                <c:pt idx="138">
                  <c:v>39.270000000000003</c:v>
                </c:pt>
                <c:pt idx="139">
                  <c:v>72</c:v>
                </c:pt>
                <c:pt idx="140">
                  <c:v>72</c:v>
                </c:pt>
                <c:pt idx="141">
                  <c:v>39.270000000000003</c:v>
                </c:pt>
                <c:pt idx="142">
                  <c:v>39.270000000000003</c:v>
                </c:pt>
                <c:pt idx="143">
                  <c:v>54</c:v>
                </c:pt>
                <c:pt idx="144">
                  <c:v>39.270000000000003</c:v>
                </c:pt>
                <c:pt idx="145">
                  <c:v>39.270000000000003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BB1-4F3A-836E-3671411849EC}"/>
            </c:ext>
          </c:extLst>
        </c:ser>
        <c:ser>
          <c:idx val="3"/>
          <c:order val="3"/>
          <c:tx>
            <c:strRef>
              <c:f>Hoja1!$F$4:$F$6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Hoja1!$F$7:$F$157</c:f>
              <c:numCache>
                <c:formatCode>General</c:formatCode>
                <c:ptCount val="151"/>
                <c:pt idx="0">
                  <c:v>1.234</c:v>
                </c:pt>
                <c:pt idx="1">
                  <c:v>1.234</c:v>
                </c:pt>
                <c:pt idx="2">
                  <c:v>1.728</c:v>
                </c:pt>
                <c:pt idx="3">
                  <c:v>1.234</c:v>
                </c:pt>
                <c:pt idx="4">
                  <c:v>1.234</c:v>
                </c:pt>
                <c:pt idx="5">
                  <c:v>1.234</c:v>
                </c:pt>
                <c:pt idx="6">
                  <c:v>0.86399999999999999</c:v>
                </c:pt>
                <c:pt idx="7">
                  <c:v>0.86399999999999999</c:v>
                </c:pt>
                <c:pt idx="8">
                  <c:v>0.86399999999999999</c:v>
                </c:pt>
                <c:pt idx="9">
                  <c:v>0.86399999999999999</c:v>
                </c:pt>
                <c:pt idx="10">
                  <c:v>0.86399999999999999</c:v>
                </c:pt>
                <c:pt idx="11">
                  <c:v>0.86399999999999999</c:v>
                </c:pt>
                <c:pt idx="12">
                  <c:v>0.86399999999999999</c:v>
                </c:pt>
                <c:pt idx="13">
                  <c:v>0.86399999999999999</c:v>
                </c:pt>
                <c:pt idx="14">
                  <c:v>2.16</c:v>
                </c:pt>
                <c:pt idx="15">
                  <c:v>1.728</c:v>
                </c:pt>
                <c:pt idx="16">
                  <c:v>1.44</c:v>
                </c:pt>
                <c:pt idx="17">
                  <c:v>1.08</c:v>
                </c:pt>
                <c:pt idx="18">
                  <c:v>1.08</c:v>
                </c:pt>
                <c:pt idx="19">
                  <c:v>1.08</c:v>
                </c:pt>
                <c:pt idx="20">
                  <c:v>1.08</c:v>
                </c:pt>
                <c:pt idx="21">
                  <c:v>1.512</c:v>
                </c:pt>
                <c:pt idx="22">
                  <c:v>1.512</c:v>
                </c:pt>
                <c:pt idx="23">
                  <c:v>1.512</c:v>
                </c:pt>
                <c:pt idx="24">
                  <c:v>1.375</c:v>
                </c:pt>
                <c:pt idx="25">
                  <c:v>1.375</c:v>
                </c:pt>
                <c:pt idx="26">
                  <c:v>1.375</c:v>
                </c:pt>
                <c:pt idx="27">
                  <c:v>1.08</c:v>
                </c:pt>
                <c:pt idx="28">
                  <c:v>1.08</c:v>
                </c:pt>
                <c:pt idx="29">
                  <c:v>1.08</c:v>
                </c:pt>
                <c:pt idx="30">
                  <c:v>1.163</c:v>
                </c:pt>
                <c:pt idx="31">
                  <c:v>1.163</c:v>
                </c:pt>
                <c:pt idx="32">
                  <c:v>1.375</c:v>
                </c:pt>
                <c:pt idx="33">
                  <c:v>1.375</c:v>
                </c:pt>
                <c:pt idx="34">
                  <c:v>1.89</c:v>
                </c:pt>
                <c:pt idx="35">
                  <c:v>1.89</c:v>
                </c:pt>
                <c:pt idx="36">
                  <c:v>1.89</c:v>
                </c:pt>
                <c:pt idx="37">
                  <c:v>1.89</c:v>
                </c:pt>
                <c:pt idx="38">
                  <c:v>0.94499999999999995</c:v>
                </c:pt>
                <c:pt idx="39">
                  <c:v>0.94499999999999995</c:v>
                </c:pt>
                <c:pt idx="40">
                  <c:v>0.94499999999999995</c:v>
                </c:pt>
                <c:pt idx="41">
                  <c:v>0.94499999999999995</c:v>
                </c:pt>
                <c:pt idx="42">
                  <c:v>0.94499999999999995</c:v>
                </c:pt>
                <c:pt idx="43">
                  <c:v>0.94499999999999995</c:v>
                </c:pt>
                <c:pt idx="44">
                  <c:v>1.008</c:v>
                </c:pt>
                <c:pt idx="45">
                  <c:v>1.008</c:v>
                </c:pt>
                <c:pt idx="46">
                  <c:v>0.83099999999999996</c:v>
                </c:pt>
                <c:pt idx="47">
                  <c:v>0.83099999999999996</c:v>
                </c:pt>
                <c:pt idx="48">
                  <c:v>0.83099999999999996</c:v>
                </c:pt>
                <c:pt idx="49">
                  <c:v>1.35</c:v>
                </c:pt>
                <c:pt idx="50">
                  <c:v>1.35</c:v>
                </c:pt>
                <c:pt idx="51">
                  <c:v>2.7</c:v>
                </c:pt>
                <c:pt idx="52">
                  <c:v>2.7</c:v>
                </c:pt>
                <c:pt idx="53">
                  <c:v>1.35</c:v>
                </c:pt>
                <c:pt idx="54">
                  <c:v>1.35</c:v>
                </c:pt>
                <c:pt idx="55">
                  <c:v>1.35</c:v>
                </c:pt>
                <c:pt idx="56">
                  <c:v>1.35</c:v>
                </c:pt>
                <c:pt idx="57">
                  <c:v>1.35</c:v>
                </c:pt>
                <c:pt idx="58">
                  <c:v>1.35</c:v>
                </c:pt>
                <c:pt idx="59">
                  <c:v>1.35</c:v>
                </c:pt>
                <c:pt idx="60">
                  <c:v>1.35</c:v>
                </c:pt>
                <c:pt idx="61">
                  <c:v>1.35</c:v>
                </c:pt>
                <c:pt idx="62">
                  <c:v>1.35</c:v>
                </c:pt>
                <c:pt idx="63">
                  <c:v>1.35</c:v>
                </c:pt>
                <c:pt idx="64">
                  <c:v>1.35</c:v>
                </c:pt>
                <c:pt idx="65">
                  <c:v>1.35</c:v>
                </c:pt>
                <c:pt idx="66">
                  <c:v>1.35</c:v>
                </c:pt>
                <c:pt idx="67">
                  <c:v>1.35</c:v>
                </c:pt>
                <c:pt idx="68">
                  <c:v>1.35</c:v>
                </c:pt>
                <c:pt idx="69">
                  <c:v>1.35</c:v>
                </c:pt>
                <c:pt idx="70">
                  <c:v>1.35</c:v>
                </c:pt>
                <c:pt idx="71">
                  <c:v>1.08</c:v>
                </c:pt>
                <c:pt idx="72">
                  <c:v>1.08</c:v>
                </c:pt>
                <c:pt idx="73">
                  <c:v>1.08</c:v>
                </c:pt>
                <c:pt idx="74">
                  <c:v>1.08</c:v>
                </c:pt>
                <c:pt idx="75">
                  <c:v>1.08</c:v>
                </c:pt>
                <c:pt idx="76">
                  <c:v>1.35</c:v>
                </c:pt>
                <c:pt idx="77">
                  <c:v>1.08</c:v>
                </c:pt>
                <c:pt idx="78">
                  <c:v>1.35</c:v>
                </c:pt>
                <c:pt idx="79">
                  <c:v>1.35</c:v>
                </c:pt>
                <c:pt idx="80">
                  <c:v>1.35</c:v>
                </c:pt>
                <c:pt idx="81">
                  <c:v>1.728</c:v>
                </c:pt>
                <c:pt idx="82">
                  <c:v>1.35</c:v>
                </c:pt>
                <c:pt idx="83">
                  <c:v>1.35</c:v>
                </c:pt>
                <c:pt idx="84">
                  <c:v>1.8</c:v>
                </c:pt>
                <c:pt idx="85">
                  <c:v>1.35</c:v>
                </c:pt>
                <c:pt idx="86">
                  <c:v>1.35</c:v>
                </c:pt>
                <c:pt idx="87">
                  <c:v>1.35</c:v>
                </c:pt>
                <c:pt idx="88">
                  <c:v>1.35</c:v>
                </c:pt>
                <c:pt idx="89">
                  <c:v>1.35</c:v>
                </c:pt>
                <c:pt idx="90">
                  <c:v>5.4</c:v>
                </c:pt>
                <c:pt idx="91">
                  <c:v>5.4</c:v>
                </c:pt>
                <c:pt idx="92">
                  <c:v>5.4</c:v>
                </c:pt>
                <c:pt idx="93">
                  <c:v>5.4</c:v>
                </c:pt>
                <c:pt idx="94">
                  <c:v>5.4</c:v>
                </c:pt>
                <c:pt idx="95">
                  <c:v>1.5429999999999999</c:v>
                </c:pt>
                <c:pt idx="96">
                  <c:v>1.35</c:v>
                </c:pt>
                <c:pt idx="97">
                  <c:v>1.35</c:v>
                </c:pt>
                <c:pt idx="98">
                  <c:v>1.35</c:v>
                </c:pt>
                <c:pt idx="99">
                  <c:v>10.8</c:v>
                </c:pt>
                <c:pt idx="100">
                  <c:v>0.34799999999999998</c:v>
                </c:pt>
                <c:pt idx="101">
                  <c:v>0.83099999999999996</c:v>
                </c:pt>
                <c:pt idx="102">
                  <c:v>0.49099999999999999</c:v>
                </c:pt>
                <c:pt idx="103">
                  <c:v>0.49099999999999999</c:v>
                </c:pt>
                <c:pt idx="104">
                  <c:v>0.98199999999999998</c:v>
                </c:pt>
                <c:pt idx="105">
                  <c:v>0.98199999999999998</c:v>
                </c:pt>
                <c:pt idx="106">
                  <c:v>0.98199999999999998</c:v>
                </c:pt>
                <c:pt idx="107">
                  <c:v>0.98199999999999998</c:v>
                </c:pt>
                <c:pt idx="108">
                  <c:v>0.9</c:v>
                </c:pt>
                <c:pt idx="109">
                  <c:v>0.54</c:v>
                </c:pt>
                <c:pt idx="110">
                  <c:v>0.54</c:v>
                </c:pt>
                <c:pt idx="111">
                  <c:v>0.54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0.83099999999999996</c:v>
                </c:pt>
                <c:pt idx="116">
                  <c:v>0.83099999999999996</c:v>
                </c:pt>
                <c:pt idx="117">
                  <c:v>1.08</c:v>
                </c:pt>
                <c:pt idx="118">
                  <c:v>1.08</c:v>
                </c:pt>
                <c:pt idx="119">
                  <c:v>1.08</c:v>
                </c:pt>
                <c:pt idx="120">
                  <c:v>0.86399999999999999</c:v>
                </c:pt>
                <c:pt idx="121">
                  <c:v>0.83099999999999996</c:v>
                </c:pt>
                <c:pt idx="122">
                  <c:v>0.83099999999999996</c:v>
                </c:pt>
                <c:pt idx="123">
                  <c:v>0.83099999999999996</c:v>
                </c:pt>
                <c:pt idx="124">
                  <c:v>0.72</c:v>
                </c:pt>
                <c:pt idx="125">
                  <c:v>0.77100000000000002</c:v>
                </c:pt>
                <c:pt idx="126">
                  <c:v>0.77100000000000002</c:v>
                </c:pt>
                <c:pt idx="127">
                  <c:v>0.77100000000000002</c:v>
                </c:pt>
                <c:pt idx="128">
                  <c:v>2.2160000000000002</c:v>
                </c:pt>
                <c:pt idx="129">
                  <c:v>2.2160000000000002</c:v>
                </c:pt>
                <c:pt idx="130">
                  <c:v>2.2160000000000002</c:v>
                </c:pt>
                <c:pt idx="131">
                  <c:v>2.2160000000000002</c:v>
                </c:pt>
                <c:pt idx="132">
                  <c:v>2.2160000000000002</c:v>
                </c:pt>
                <c:pt idx="133">
                  <c:v>2.2160000000000002</c:v>
                </c:pt>
                <c:pt idx="134">
                  <c:v>1.08</c:v>
                </c:pt>
                <c:pt idx="135">
                  <c:v>1.08</c:v>
                </c:pt>
                <c:pt idx="136">
                  <c:v>1.08</c:v>
                </c:pt>
                <c:pt idx="137">
                  <c:v>1.8</c:v>
                </c:pt>
                <c:pt idx="138">
                  <c:v>0.98199999999999998</c:v>
                </c:pt>
                <c:pt idx="139">
                  <c:v>1.8</c:v>
                </c:pt>
                <c:pt idx="140">
                  <c:v>1.8</c:v>
                </c:pt>
                <c:pt idx="141">
                  <c:v>0.98199999999999998</c:v>
                </c:pt>
                <c:pt idx="142">
                  <c:v>0.98199999999999998</c:v>
                </c:pt>
                <c:pt idx="143">
                  <c:v>1.35</c:v>
                </c:pt>
                <c:pt idx="144">
                  <c:v>0.98199999999999998</c:v>
                </c:pt>
                <c:pt idx="145">
                  <c:v>0.98199999999999998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BB1-4F3A-836E-3671411849EC}"/>
            </c:ext>
          </c:extLst>
        </c:ser>
        <c:ser>
          <c:idx val="4"/>
          <c:order val="4"/>
          <c:tx>
            <c:strRef>
              <c:f>Hoja1!$I$4:$I$6</c:f>
              <c:strCache>
                <c:ptCount val="3"/>
                <c:pt idx="0">
                  <c:v>RELLENO NORTE 2</c:v>
                </c:pt>
                <c:pt idx="1">
                  <c:v>Q TOTAL RELLENO NORTE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Hoja1!$I$7:$I$185</c:f>
              <c:numCache>
                <c:formatCode>General</c:formatCode>
                <c:ptCount val="179"/>
                <c:pt idx="0">
                  <c:v>123.42</c:v>
                </c:pt>
                <c:pt idx="1">
                  <c:v>123.42</c:v>
                </c:pt>
                <c:pt idx="2">
                  <c:v>148.11000000000001</c:v>
                </c:pt>
                <c:pt idx="3">
                  <c:v>104.91</c:v>
                </c:pt>
                <c:pt idx="4">
                  <c:v>104.91</c:v>
                </c:pt>
                <c:pt idx="5">
                  <c:v>104.91</c:v>
                </c:pt>
                <c:pt idx="6">
                  <c:v>82.47</c:v>
                </c:pt>
                <c:pt idx="7">
                  <c:v>82.47</c:v>
                </c:pt>
                <c:pt idx="8">
                  <c:v>82.47</c:v>
                </c:pt>
                <c:pt idx="9">
                  <c:v>97.2</c:v>
                </c:pt>
                <c:pt idx="10">
                  <c:v>97.2</c:v>
                </c:pt>
                <c:pt idx="11">
                  <c:v>97.2</c:v>
                </c:pt>
                <c:pt idx="12">
                  <c:v>97.2</c:v>
                </c:pt>
                <c:pt idx="13">
                  <c:v>97.2</c:v>
                </c:pt>
                <c:pt idx="14">
                  <c:v>216</c:v>
                </c:pt>
                <c:pt idx="15">
                  <c:v>172.8</c:v>
                </c:pt>
                <c:pt idx="16">
                  <c:v>133.71</c:v>
                </c:pt>
                <c:pt idx="17">
                  <c:v>126</c:v>
                </c:pt>
                <c:pt idx="18">
                  <c:v>108</c:v>
                </c:pt>
                <c:pt idx="19">
                  <c:v>108</c:v>
                </c:pt>
                <c:pt idx="20">
                  <c:v>108</c:v>
                </c:pt>
                <c:pt idx="21">
                  <c:v>91.2</c:v>
                </c:pt>
                <c:pt idx="22">
                  <c:v>86.4</c:v>
                </c:pt>
                <c:pt idx="23">
                  <c:v>86.4</c:v>
                </c:pt>
                <c:pt idx="24">
                  <c:v>93.27000000000001</c:v>
                </c:pt>
                <c:pt idx="25">
                  <c:v>93.27000000000001</c:v>
                </c:pt>
                <c:pt idx="26">
                  <c:v>93.27000000000001</c:v>
                </c:pt>
                <c:pt idx="27">
                  <c:v>78.86</c:v>
                </c:pt>
                <c:pt idx="28">
                  <c:v>78.86</c:v>
                </c:pt>
                <c:pt idx="29">
                  <c:v>78.86</c:v>
                </c:pt>
                <c:pt idx="30">
                  <c:v>76.430000000000007</c:v>
                </c:pt>
                <c:pt idx="31">
                  <c:v>76.430000000000007</c:v>
                </c:pt>
                <c:pt idx="32">
                  <c:v>93.27000000000001</c:v>
                </c:pt>
                <c:pt idx="33">
                  <c:v>93.27000000000001</c:v>
                </c:pt>
                <c:pt idx="34">
                  <c:v>115.71000000000001</c:v>
                </c:pt>
                <c:pt idx="35">
                  <c:v>115.71000000000001</c:v>
                </c:pt>
                <c:pt idx="36">
                  <c:v>115.71000000000001</c:v>
                </c:pt>
                <c:pt idx="37">
                  <c:v>115.71000000000001</c:v>
                </c:pt>
                <c:pt idx="38">
                  <c:v>99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76.8</c:v>
                </c:pt>
                <c:pt idx="45">
                  <c:v>76.8</c:v>
                </c:pt>
                <c:pt idx="46">
                  <c:v>76.430000000000007</c:v>
                </c:pt>
                <c:pt idx="47">
                  <c:v>76.430000000000007</c:v>
                </c:pt>
                <c:pt idx="48">
                  <c:v>76.430000000000007</c:v>
                </c:pt>
                <c:pt idx="49">
                  <c:v>115.71000000000001</c:v>
                </c:pt>
                <c:pt idx="50">
                  <c:v>108</c:v>
                </c:pt>
                <c:pt idx="51">
                  <c:v>162</c:v>
                </c:pt>
                <c:pt idx="52">
                  <c:v>162</c:v>
                </c:pt>
                <c:pt idx="53">
                  <c:v>102</c:v>
                </c:pt>
                <c:pt idx="54">
                  <c:v>93.27000000000001</c:v>
                </c:pt>
                <c:pt idx="55">
                  <c:v>93.27000000000001</c:v>
                </c:pt>
                <c:pt idx="56">
                  <c:v>93.27000000000001</c:v>
                </c:pt>
                <c:pt idx="57">
                  <c:v>93.27000000000001</c:v>
                </c:pt>
                <c:pt idx="58">
                  <c:v>102.6</c:v>
                </c:pt>
                <c:pt idx="59">
                  <c:v>102.6</c:v>
                </c:pt>
                <c:pt idx="60">
                  <c:v>102</c:v>
                </c:pt>
                <c:pt idx="61">
                  <c:v>102</c:v>
                </c:pt>
                <c:pt idx="62">
                  <c:v>97.2</c:v>
                </c:pt>
                <c:pt idx="63">
                  <c:v>97.2</c:v>
                </c:pt>
                <c:pt idx="64">
                  <c:v>97.2</c:v>
                </c:pt>
                <c:pt idx="65">
                  <c:v>97.2</c:v>
                </c:pt>
                <c:pt idx="66">
                  <c:v>97.2</c:v>
                </c:pt>
                <c:pt idx="67">
                  <c:v>97.2</c:v>
                </c:pt>
                <c:pt idx="68">
                  <c:v>97.2</c:v>
                </c:pt>
                <c:pt idx="69">
                  <c:v>90</c:v>
                </c:pt>
                <c:pt idx="70">
                  <c:v>90</c:v>
                </c:pt>
                <c:pt idx="71">
                  <c:v>79.2</c:v>
                </c:pt>
                <c:pt idx="72">
                  <c:v>79.2</c:v>
                </c:pt>
                <c:pt idx="73">
                  <c:v>79.2</c:v>
                </c:pt>
                <c:pt idx="74">
                  <c:v>79.2</c:v>
                </c:pt>
                <c:pt idx="75">
                  <c:v>86.4</c:v>
                </c:pt>
                <c:pt idx="76">
                  <c:v>140.4</c:v>
                </c:pt>
                <c:pt idx="77">
                  <c:v>86.4</c:v>
                </c:pt>
                <c:pt idx="78">
                  <c:v>97.2</c:v>
                </c:pt>
                <c:pt idx="79">
                  <c:v>198</c:v>
                </c:pt>
                <c:pt idx="80">
                  <c:v>93.27000000000001</c:v>
                </c:pt>
                <c:pt idx="81">
                  <c:v>115.2</c:v>
                </c:pt>
                <c:pt idx="82">
                  <c:v>97.2</c:v>
                </c:pt>
                <c:pt idx="83">
                  <c:v>97.2</c:v>
                </c:pt>
                <c:pt idx="84">
                  <c:v>111.27000000000001</c:v>
                </c:pt>
                <c:pt idx="85">
                  <c:v>93.27000000000001</c:v>
                </c:pt>
                <c:pt idx="86">
                  <c:v>93.27000000000001</c:v>
                </c:pt>
                <c:pt idx="87">
                  <c:v>93.27000000000001</c:v>
                </c:pt>
                <c:pt idx="88">
                  <c:v>93.27000000000001</c:v>
                </c:pt>
                <c:pt idx="89">
                  <c:v>93.27000000000001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432</c:v>
                </c:pt>
                <c:pt idx="95">
                  <c:v>109.71000000000001</c:v>
                </c:pt>
                <c:pt idx="96">
                  <c:v>102</c:v>
                </c:pt>
                <c:pt idx="97">
                  <c:v>108</c:v>
                </c:pt>
                <c:pt idx="98">
                  <c:v>108</c:v>
                </c:pt>
                <c:pt idx="99">
                  <c:v>864</c:v>
                </c:pt>
                <c:pt idx="100">
                  <c:v>61.94</c:v>
                </c:pt>
                <c:pt idx="101">
                  <c:v>81.22999999999999</c:v>
                </c:pt>
                <c:pt idx="102">
                  <c:v>67.64</c:v>
                </c:pt>
                <c:pt idx="103">
                  <c:v>67.64</c:v>
                </c:pt>
                <c:pt idx="104">
                  <c:v>93.27000000000001</c:v>
                </c:pt>
                <c:pt idx="105">
                  <c:v>93.27000000000001</c:v>
                </c:pt>
                <c:pt idx="106">
                  <c:v>93.27000000000001</c:v>
                </c:pt>
                <c:pt idx="107">
                  <c:v>93.27000000000001</c:v>
                </c:pt>
                <c:pt idx="108">
                  <c:v>90</c:v>
                </c:pt>
                <c:pt idx="109">
                  <c:v>75.599999999999994</c:v>
                </c:pt>
                <c:pt idx="110">
                  <c:v>75.599999999999994</c:v>
                </c:pt>
                <c:pt idx="111">
                  <c:v>75.599999999999994</c:v>
                </c:pt>
                <c:pt idx="112">
                  <c:v>72</c:v>
                </c:pt>
                <c:pt idx="113">
                  <c:v>72</c:v>
                </c:pt>
                <c:pt idx="114">
                  <c:v>72</c:v>
                </c:pt>
                <c:pt idx="115">
                  <c:v>87.22999999999999</c:v>
                </c:pt>
                <c:pt idx="116">
                  <c:v>87.22999999999999</c:v>
                </c:pt>
                <c:pt idx="117">
                  <c:v>104.91</c:v>
                </c:pt>
                <c:pt idx="118">
                  <c:v>86.4</c:v>
                </c:pt>
                <c:pt idx="119">
                  <c:v>86.4</c:v>
                </c:pt>
                <c:pt idx="120">
                  <c:v>86.4</c:v>
                </c:pt>
                <c:pt idx="121">
                  <c:v>76.430000000000007</c:v>
                </c:pt>
                <c:pt idx="122">
                  <c:v>66.459999999999994</c:v>
                </c:pt>
                <c:pt idx="123">
                  <c:v>66.459999999999994</c:v>
                </c:pt>
                <c:pt idx="124">
                  <c:v>62.03</c:v>
                </c:pt>
                <c:pt idx="125">
                  <c:v>92.57</c:v>
                </c:pt>
                <c:pt idx="126">
                  <c:v>92.57</c:v>
                </c:pt>
                <c:pt idx="127">
                  <c:v>92.57</c:v>
                </c:pt>
                <c:pt idx="128">
                  <c:v>194.4</c:v>
                </c:pt>
                <c:pt idx="129">
                  <c:v>194.4</c:v>
                </c:pt>
                <c:pt idx="130">
                  <c:v>194.4</c:v>
                </c:pt>
                <c:pt idx="131">
                  <c:v>194.4</c:v>
                </c:pt>
                <c:pt idx="132">
                  <c:v>194.4</c:v>
                </c:pt>
                <c:pt idx="133">
                  <c:v>194.4</c:v>
                </c:pt>
                <c:pt idx="134">
                  <c:v>115.2</c:v>
                </c:pt>
                <c:pt idx="135">
                  <c:v>115.2</c:v>
                </c:pt>
                <c:pt idx="136">
                  <c:v>115.2</c:v>
                </c:pt>
                <c:pt idx="137">
                  <c:v>180</c:v>
                </c:pt>
                <c:pt idx="138">
                  <c:v>111.27000000000001</c:v>
                </c:pt>
                <c:pt idx="139">
                  <c:v>126</c:v>
                </c:pt>
                <c:pt idx="140">
                  <c:v>126</c:v>
                </c:pt>
                <c:pt idx="141">
                  <c:v>111.27000000000001</c:v>
                </c:pt>
                <c:pt idx="142">
                  <c:v>183.27</c:v>
                </c:pt>
                <c:pt idx="143">
                  <c:v>198</c:v>
                </c:pt>
                <c:pt idx="144">
                  <c:v>147.27000000000001</c:v>
                </c:pt>
                <c:pt idx="145">
                  <c:v>147.27000000000001</c:v>
                </c:pt>
                <c:pt idx="146">
                  <c:v>97.710000000000008</c:v>
                </c:pt>
                <c:pt idx="147">
                  <c:v>97.710000000000008</c:v>
                </c:pt>
                <c:pt idx="148">
                  <c:v>97.710000000000008</c:v>
                </c:pt>
                <c:pt idx="149">
                  <c:v>97.710000000000008</c:v>
                </c:pt>
                <c:pt idx="150">
                  <c:v>97.710000000000008</c:v>
                </c:pt>
                <c:pt idx="151">
                  <c:v>76.8</c:v>
                </c:pt>
                <c:pt idx="152">
                  <c:v>76.8</c:v>
                </c:pt>
                <c:pt idx="153">
                  <c:v>76.8</c:v>
                </c:pt>
                <c:pt idx="154">
                  <c:v>76.8</c:v>
                </c:pt>
                <c:pt idx="155">
                  <c:v>115.2</c:v>
                </c:pt>
                <c:pt idx="156">
                  <c:v>111.81</c:v>
                </c:pt>
                <c:pt idx="157">
                  <c:v>111.81</c:v>
                </c:pt>
                <c:pt idx="158">
                  <c:v>111.81</c:v>
                </c:pt>
                <c:pt idx="159">
                  <c:v>111.81</c:v>
                </c:pt>
                <c:pt idx="160">
                  <c:v>97.41</c:v>
                </c:pt>
                <c:pt idx="161">
                  <c:v>97.41</c:v>
                </c:pt>
                <c:pt idx="162">
                  <c:v>97.41</c:v>
                </c:pt>
                <c:pt idx="163">
                  <c:v>97.41</c:v>
                </c:pt>
                <c:pt idx="164">
                  <c:v>97.41</c:v>
                </c:pt>
                <c:pt idx="165">
                  <c:v>97.41</c:v>
                </c:pt>
                <c:pt idx="166">
                  <c:v>97.41</c:v>
                </c:pt>
                <c:pt idx="167">
                  <c:v>97.41</c:v>
                </c:pt>
                <c:pt idx="168">
                  <c:v>97.41</c:v>
                </c:pt>
                <c:pt idx="169">
                  <c:v>97.41</c:v>
                </c:pt>
                <c:pt idx="170">
                  <c:v>96</c:v>
                </c:pt>
                <c:pt idx="171">
                  <c:v>96</c:v>
                </c:pt>
                <c:pt idx="172">
                  <c:v>96</c:v>
                </c:pt>
                <c:pt idx="173">
                  <c:v>96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96</c:v>
                </c:pt>
                <c:pt idx="178">
                  <c:v>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0BB1-4F3A-836E-3671411849EC}"/>
            </c:ext>
          </c:extLst>
        </c:ser>
        <c:ser>
          <c:idx val="5"/>
          <c:order val="5"/>
          <c:tx>
            <c:strRef>
              <c:f>Hoja1!$J$4:$J$6</c:f>
              <c:strCache>
                <c:ptCount val="3"/>
                <c:pt idx="0">
                  <c:v>TOTAL 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Hoja1!$J$7:$J$185</c:f>
              <c:numCache>
                <c:formatCode>General</c:formatCode>
                <c:ptCount val="179"/>
                <c:pt idx="0">
                  <c:v>2.468</c:v>
                </c:pt>
                <c:pt idx="1">
                  <c:v>2.468</c:v>
                </c:pt>
                <c:pt idx="2">
                  <c:v>2.9619999999999997</c:v>
                </c:pt>
                <c:pt idx="3">
                  <c:v>2.0979999999999999</c:v>
                </c:pt>
                <c:pt idx="4">
                  <c:v>2.0979999999999999</c:v>
                </c:pt>
                <c:pt idx="5">
                  <c:v>2.0979999999999999</c:v>
                </c:pt>
                <c:pt idx="6">
                  <c:v>1.649</c:v>
                </c:pt>
                <c:pt idx="7">
                  <c:v>1.649</c:v>
                </c:pt>
                <c:pt idx="8">
                  <c:v>1.649</c:v>
                </c:pt>
                <c:pt idx="9">
                  <c:v>1.944</c:v>
                </c:pt>
                <c:pt idx="10">
                  <c:v>1.944</c:v>
                </c:pt>
                <c:pt idx="11">
                  <c:v>1.944</c:v>
                </c:pt>
                <c:pt idx="12">
                  <c:v>1.944</c:v>
                </c:pt>
                <c:pt idx="13">
                  <c:v>1.944</c:v>
                </c:pt>
                <c:pt idx="14">
                  <c:v>4.32</c:v>
                </c:pt>
                <c:pt idx="15">
                  <c:v>3.456</c:v>
                </c:pt>
                <c:pt idx="16">
                  <c:v>2.6739999999999999</c:v>
                </c:pt>
                <c:pt idx="17">
                  <c:v>2.52</c:v>
                </c:pt>
                <c:pt idx="18">
                  <c:v>2.16</c:v>
                </c:pt>
                <c:pt idx="19">
                  <c:v>2.16</c:v>
                </c:pt>
                <c:pt idx="20">
                  <c:v>2.16</c:v>
                </c:pt>
                <c:pt idx="21">
                  <c:v>3.1920000000000002</c:v>
                </c:pt>
                <c:pt idx="22">
                  <c:v>3.024</c:v>
                </c:pt>
                <c:pt idx="23">
                  <c:v>3.024</c:v>
                </c:pt>
                <c:pt idx="24">
                  <c:v>3.2649999999999997</c:v>
                </c:pt>
                <c:pt idx="25">
                  <c:v>3.2649999999999997</c:v>
                </c:pt>
                <c:pt idx="26">
                  <c:v>3.2649999999999997</c:v>
                </c:pt>
                <c:pt idx="27">
                  <c:v>2.76</c:v>
                </c:pt>
                <c:pt idx="28">
                  <c:v>2.76</c:v>
                </c:pt>
                <c:pt idx="29">
                  <c:v>2.76</c:v>
                </c:pt>
                <c:pt idx="30">
                  <c:v>2.6749999999999998</c:v>
                </c:pt>
                <c:pt idx="31">
                  <c:v>2.6749999999999998</c:v>
                </c:pt>
                <c:pt idx="32">
                  <c:v>2.4550000000000001</c:v>
                </c:pt>
                <c:pt idx="33">
                  <c:v>2.4550000000000001</c:v>
                </c:pt>
                <c:pt idx="34">
                  <c:v>3.1239999999999997</c:v>
                </c:pt>
                <c:pt idx="35">
                  <c:v>3.1239999999999997</c:v>
                </c:pt>
                <c:pt idx="36">
                  <c:v>3.1239999999999997</c:v>
                </c:pt>
                <c:pt idx="37">
                  <c:v>3.1239999999999997</c:v>
                </c:pt>
                <c:pt idx="38">
                  <c:v>2.3849999999999998</c:v>
                </c:pt>
                <c:pt idx="39">
                  <c:v>1.9049999999999998</c:v>
                </c:pt>
                <c:pt idx="40">
                  <c:v>1.9049999999999998</c:v>
                </c:pt>
                <c:pt idx="41">
                  <c:v>1.9049999999999998</c:v>
                </c:pt>
                <c:pt idx="42">
                  <c:v>1.9049999999999998</c:v>
                </c:pt>
                <c:pt idx="43">
                  <c:v>1.9049999999999998</c:v>
                </c:pt>
                <c:pt idx="44">
                  <c:v>1.968</c:v>
                </c:pt>
                <c:pt idx="45">
                  <c:v>1.968</c:v>
                </c:pt>
                <c:pt idx="46">
                  <c:v>1.6949999999999998</c:v>
                </c:pt>
                <c:pt idx="47">
                  <c:v>1.6949999999999998</c:v>
                </c:pt>
                <c:pt idx="48">
                  <c:v>1.6949999999999998</c:v>
                </c:pt>
                <c:pt idx="49">
                  <c:v>2.79</c:v>
                </c:pt>
                <c:pt idx="50">
                  <c:v>2.4300000000000002</c:v>
                </c:pt>
                <c:pt idx="51">
                  <c:v>3.7800000000000002</c:v>
                </c:pt>
                <c:pt idx="52">
                  <c:v>3.7800000000000002</c:v>
                </c:pt>
                <c:pt idx="53">
                  <c:v>2.31</c:v>
                </c:pt>
                <c:pt idx="54">
                  <c:v>2.1350000000000002</c:v>
                </c:pt>
                <c:pt idx="55">
                  <c:v>2.1350000000000002</c:v>
                </c:pt>
                <c:pt idx="56">
                  <c:v>2.1350000000000002</c:v>
                </c:pt>
                <c:pt idx="57">
                  <c:v>2.1350000000000002</c:v>
                </c:pt>
                <c:pt idx="58">
                  <c:v>2.31</c:v>
                </c:pt>
                <c:pt idx="59">
                  <c:v>2.31</c:v>
                </c:pt>
                <c:pt idx="60">
                  <c:v>2.31</c:v>
                </c:pt>
                <c:pt idx="61">
                  <c:v>2.31</c:v>
                </c:pt>
                <c:pt idx="62">
                  <c:v>2.214</c:v>
                </c:pt>
                <c:pt idx="63">
                  <c:v>2.214</c:v>
                </c:pt>
                <c:pt idx="64">
                  <c:v>2.214</c:v>
                </c:pt>
                <c:pt idx="65">
                  <c:v>2.214</c:v>
                </c:pt>
                <c:pt idx="66">
                  <c:v>2.214</c:v>
                </c:pt>
                <c:pt idx="67">
                  <c:v>2.214</c:v>
                </c:pt>
                <c:pt idx="68">
                  <c:v>2.214</c:v>
                </c:pt>
                <c:pt idx="69">
                  <c:v>2.0700000000000003</c:v>
                </c:pt>
                <c:pt idx="70">
                  <c:v>2.0700000000000003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1.8</c:v>
                </c:pt>
                <c:pt idx="75">
                  <c:v>1.944</c:v>
                </c:pt>
                <c:pt idx="76">
                  <c:v>3.0780000000000003</c:v>
                </c:pt>
                <c:pt idx="77">
                  <c:v>1.944</c:v>
                </c:pt>
                <c:pt idx="78">
                  <c:v>2.214</c:v>
                </c:pt>
                <c:pt idx="79">
                  <c:v>4.2300000000000004</c:v>
                </c:pt>
                <c:pt idx="80">
                  <c:v>2.1350000000000002</c:v>
                </c:pt>
                <c:pt idx="81">
                  <c:v>2.3029999999999999</c:v>
                </c:pt>
                <c:pt idx="82">
                  <c:v>2.214</c:v>
                </c:pt>
                <c:pt idx="83">
                  <c:v>2.214</c:v>
                </c:pt>
                <c:pt idx="84">
                  <c:v>2.585</c:v>
                </c:pt>
                <c:pt idx="85">
                  <c:v>2.1350000000000002</c:v>
                </c:pt>
                <c:pt idx="86">
                  <c:v>2.1350000000000002</c:v>
                </c:pt>
                <c:pt idx="87">
                  <c:v>2.1350000000000002</c:v>
                </c:pt>
                <c:pt idx="88">
                  <c:v>2.1350000000000002</c:v>
                </c:pt>
                <c:pt idx="89">
                  <c:v>2.1350000000000002</c:v>
                </c:pt>
                <c:pt idx="90">
                  <c:v>8.2800000000000011</c:v>
                </c:pt>
                <c:pt idx="91">
                  <c:v>8.2800000000000011</c:v>
                </c:pt>
                <c:pt idx="92">
                  <c:v>8.2800000000000011</c:v>
                </c:pt>
                <c:pt idx="93">
                  <c:v>8.2800000000000011</c:v>
                </c:pt>
                <c:pt idx="94">
                  <c:v>10.8</c:v>
                </c:pt>
                <c:pt idx="95">
                  <c:v>2.5030000000000001</c:v>
                </c:pt>
                <c:pt idx="96">
                  <c:v>2.31</c:v>
                </c:pt>
                <c:pt idx="97">
                  <c:v>2.7</c:v>
                </c:pt>
                <c:pt idx="98">
                  <c:v>2.7</c:v>
                </c:pt>
                <c:pt idx="99">
                  <c:v>21.6</c:v>
                </c:pt>
                <c:pt idx="100">
                  <c:v>1.548</c:v>
                </c:pt>
                <c:pt idx="101">
                  <c:v>1.7909999999999999</c:v>
                </c:pt>
                <c:pt idx="102">
                  <c:v>1.4510000000000001</c:v>
                </c:pt>
                <c:pt idx="103">
                  <c:v>1.4510000000000001</c:v>
                </c:pt>
                <c:pt idx="104">
                  <c:v>2.0620000000000003</c:v>
                </c:pt>
                <c:pt idx="105">
                  <c:v>2.0620000000000003</c:v>
                </c:pt>
                <c:pt idx="106">
                  <c:v>2.0620000000000003</c:v>
                </c:pt>
                <c:pt idx="107">
                  <c:v>2.0620000000000003</c:v>
                </c:pt>
                <c:pt idx="108">
                  <c:v>1.98</c:v>
                </c:pt>
                <c:pt idx="109">
                  <c:v>1.62</c:v>
                </c:pt>
                <c:pt idx="110">
                  <c:v>1.62</c:v>
                </c:pt>
                <c:pt idx="111">
                  <c:v>1.62</c:v>
                </c:pt>
                <c:pt idx="112">
                  <c:v>1.62</c:v>
                </c:pt>
                <c:pt idx="113">
                  <c:v>1.62</c:v>
                </c:pt>
                <c:pt idx="114">
                  <c:v>1.62</c:v>
                </c:pt>
                <c:pt idx="115">
                  <c:v>1.911</c:v>
                </c:pt>
                <c:pt idx="116">
                  <c:v>1.911</c:v>
                </c:pt>
                <c:pt idx="117">
                  <c:v>2.3140000000000001</c:v>
                </c:pt>
                <c:pt idx="118">
                  <c:v>1.944</c:v>
                </c:pt>
                <c:pt idx="119">
                  <c:v>1.944</c:v>
                </c:pt>
                <c:pt idx="120">
                  <c:v>1.944</c:v>
                </c:pt>
                <c:pt idx="121">
                  <c:v>1.6949999999999998</c:v>
                </c:pt>
                <c:pt idx="122">
                  <c:v>1.496</c:v>
                </c:pt>
                <c:pt idx="123">
                  <c:v>1.496</c:v>
                </c:pt>
                <c:pt idx="124">
                  <c:v>1.385</c:v>
                </c:pt>
                <c:pt idx="125">
                  <c:v>2.0049999999999999</c:v>
                </c:pt>
                <c:pt idx="126">
                  <c:v>2.0049999999999999</c:v>
                </c:pt>
                <c:pt idx="127">
                  <c:v>2.0049999999999999</c:v>
                </c:pt>
                <c:pt idx="128">
                  <c:v>4.3760000000000003</c:v>
                </c:pt>
                <c:pt idx="129">
                  <c:v>4.3760000000000003</c:v>
                </c:pt>
                <c:pt idx="130">
                  <c:v>4.3760000000000003</c:v>
                </c:pt>
                <c:pt idx="131">
                  <c:v>4.3760000000000003</c:v>
                </c:pt>
                <c:pt idx="132">
                  <c:v>4.3760000000000003</c:v>
                </c:pt>
                <c:pt idx="133">
                  <c:v>4.3760000000000003</c:v>
                </c:pt>
                <c:pt idx="134">
                  <c:v>2.52</c:v>
                </c:pt>
                <c:pt idx="135">
                  <c:v>2.52</c:v>
                </c:pt>
                <c:pt idx="136">
                  <c:v>2.52</c:v>
                </c:pt>
                <c:pt idx="137">
                  <c:v>3.96</c:v>
                </c:pt>
                <c:pt idx="138">
                  <c:v>2.4219999999999997</c:v>
                </c:pt>
                <c:pt idx="139">
                  <c:v>2.88</c:v>
                </c:pt>
                <c:pt idx="140">
                  <c:v>2.88</c:v>
                </c:pt>
                <c:pt idx="141">
                  <c:v>2.4219999999999997</c:v>
                </c:pt>
                <c:pt idx="142">
                  <c:v>3.8620000000000001</c:v>
                </c:pt>
                <c:pt idx="143">
                  <c:v>4.2300000000000004</c:v>
                </c:pt>
                <c:pt idx="144">
                  <c:v>3.1420000000000003</c:v>
                </c:pt>
                <c:pt idx="145">
                  <c:v>3.1420000000000003</c:v>
                </c:pt>
                <c:pt idx="146">
                  <c:v>2.1339999999999999</c:v>
                </c:pt>
                <c:pt idx="147">
                  <c:v>2.1339999999999999</c:v>
                </c:pt>
                <c:pt idx="148">
                  <c:v>2.1339999999999999</c:v>
                </c:pt>
                <c:pt idx="149">
                  <c:v>2.1339999999999999</c:v>
                </c:pt>
                <c:pt idx="150">
                  <c:v>2.1339999999999999</c:v>
                </c:pt>
                <c:pt idx="151">
                  <c:v>1.68</c:v>
                </c:pt>
                <c:pt idx="152">
                  <c:v>1.68</c:v>
                </c:pt>
                <c:pt idx="153">
                  <c:v>1.68</c:v>
                </c:pt>
                <c:pt idx="154">
                  <c:v>1.68</c:v>
                </c:pt>
                <c:pt idx="155">
                  <c:v>2.448</c:v>
                </c:pt>
                <c:pt idx="156">
                  <c:v>2.363</c:v>
                </c:pt>
                <c:pt idx="157">
                  <c:v>2.363</c:v>
                </c:pt>
                <c:pt idx="158">
                  <c:v>2.363</c:v>
                </c:pt>
                <c:pt idx="159">
                  <c:v>2.363</c:v>
                </c:pt>
                <c:pt idx="160">
                  <c:v>2.0750000000000002</c:v>
                </c:pt>
                <c:pt idx="161">
                  <c:v>2.0750000000000002</c:v>
                </c:pt>
                <c:pt idx="162">
                  <c:v>2.0750000000000002</c:v>
                </c:pt>
                <c:pt idx="163">
                  <c:v>2.0750000000000002</c:v>
                </c:pt>
                <c:pt idx="164">
                  <c:v>2.0750000000000002</c:v>
                </c:pt>
                <c:pt idx="165">
                  <c:v>2.0750000000000002</c:v>
                </c:pt>
                <c:pt idx="166">
                  <c:v>2.0750000000000002</c:v>
                </c:pt>
                <c:pt idx="167">
                  <c:v>2.0750000000000002</c:v>
                </c:pt>
                <c:pt idx="168">
                  <c:v>2.0750000000000002</c:v>
                </c:pt>
                <c:pt idx="169">
                  <c:v>2.0750000000000002</c:v>
                </c:pt>
                <c:pt idx="170">
                  <c:v>2.04</c:v>
                </c:pt>
                <c:pt idx="171">
                  <c:v>2.04</c:v>
                </c:pt>
                <c:pt idx="172">
                  <c:v>3.36</c:v>
                </c:pt>
                <c:pt idx="173">
                  <c:v>3.36</c:v>
                </c:pt>
                <c:pt idx="174">
                  <c:v>3.36</c:v>
                </c:pt>
                <c:pt idx="175">
                  <c:v>3.36</c:v>
                </c:pt>
                <c:pt idx="176">
                  <c:v>3.36</c:v>
                </c:pt>
                <c:pt idx="177">
                  <c:v>3.36</c:v>
                </c:pt>
                <c:pt idx="178">
                  <c:v>3.36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0BB1-4F3A-836E-3671411849EC}"/>
            </c:ext>
          </c:extLst>
        </c:ser>
        <c:ser>
          <c:idx val="6"/>
          <c:order val="6"/>
          <c:tx>
            <c:strRef>
              <c:f>Hoja1!$K$4:$K$6</c:f>
              <c:strCache>
                <c:ptCount val="3"/>
                <c:pt idx="0">
                  <c:v>Q TOTAL RELLENO NORTE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  <c:pt idx="60">
                  <c:v>43161</c:v>
                </c:pt>
                <c:pt idx="61">
                  <c:v>43162</c:v>
                </c:pt>
                <c:pt idx="62">
                  <c:v>43163</c:v>
                </c:pt>
                <c:pt idx="63">
                  <c:v>43164</c:v>
                </c:pt>
                <c:pt idx="64">
                  <c:v>43165</c:v>
                </c:pt>
                <c:pt idx="65">
                  <c:v>43166</c:v>
                </c:pt>
                <c:pt idx="66">
                  <c:v>43167</c:v>
                </c:pt>
                <c:pt idx="67">
                  <c:v>43168</c:v>
                </c:pt>
                <c:pt idx="68">
                  <c:v>43169</c:v>
                </c:pt>
                <c:pt idx="69">
                  <c:v>43170</c:v>
                </c:pt>
                <c:pt idx="70">
                  <c:v>43171</c:v>
                </c:pt>
                <c:pt idx="71">
                  <c:v>43172</c:v>
                </c:pt>
                <c:pt idx="72">
                  <c:v>43173</c:v>
                </c:pt>
                <c:pt idx="73">
                  <c:v>43174</c:v>
                </c:pt>
                <c:pt idx="74">
                  <c:v>43175</c:v>
                </c:pt>
                <c:pt idx="75">
                  <c:v>43176</c:v>
                </c:pt>
                <c:pt idx="76">
                  <c:v>43177</c:v>
                </c:pt>
                <c:pt idx="77">
                  <c:v>43178</c:v>
                </c:pt>
                <c:pt idx="78">
                  <c:v>43179</c:v>
                </c:pt>
                <c:pt idx="79">
                  <c:v>43180</c:v>
                </c:pt>
                <c:pt idx="80">
                  <c:v>43181</c:v>
                </c:pt>
                <c:pt idx="81">
                  <c:v>43182</c:v>
                </c:pt>
                <c:pt idx="82">
                  <c:v>43183</c:v>
                </c:pt>
                <c:pt idx="83">
                  <c:v>43184</c:v>
                </c:pt>
                <c:pt idx="84">
                  <c:v>43185</c:v>
                </c:pt>
                <c:pt idx="85">
                  <c:v>43186</c:v>
                </c:pt>
                <c:pt idx="86">
                  <c:v>43187</c:v>
                </c:pt>
                <c:pt idx="87">
                  <c:v>43188</c:v>
                </c:pt>
                <c:pt idx="88">
                  <c:v>43189</c:v>
                </c:pt>
                <c:pt idx="89">
                  <c:v>43190</c:v>
                </c:pt>
                <c:pt idx="90">
                  <c:v>43191</c:v>
                </c:pt>
                <c:pt idx="91">
                  <c:v>43192</c:v>
                </c:pt>
                <c:pt idx="92">
                  <c:v>43193</c:v>
                </c:pt>
                <c:pt idx="93">
                  <c:v>43194</c:v>
                </c:pt>
                <c:pt idx="94">
                  <c:v>43195</c:v>
                </c:pt>
                <c:pt idx="95">
                  <c:v>43196</c:v>
                </c:pt>
                <c:pt idx="96">
                  <c:v>43197</c:v>
                </c:pt>
                <c:pt idx="97">
                  <c:v>43198</c:v>
                </c:pt>
                <c:pt idx="98">
                  <c:v>43199</c:v>
                </c:pt>
                <c:pt idx="99">
                  <c:v>43200</c:v>
                </c:pt>
                <c:pt idx="100">
                  <c:v>43201</c:v>
                </c:pt>
                <c:pt idx="101">
                  <c:v>43202</c:v>
                </c:pt>
                <c:pt idx="102">
                  <c:v>43203</c:v>
                </c:pt>
                <c:pt idx="103">
                  <c:v>43204</c:v>
                </c:pt>
                <c:pt idx="104">
                  <c:v>43205</c:v>
                </c:pt>
                <c:pt idx="105">
                  <c:v>43206</c:v>
                </c:pt>
                <c:pt idx="106">
                  <c:v>43207</c:v>
                </c:pt>
                <c:pt idx="107">
                  <c:v>43208</c:v>
                </c:pt>
                <c:pt idx="108">
                  <c:v>43209</c:v>
                </c:pt>
                <c:pt idx="109">
                  <c:v>43210</c:v>
                </c:pt>
                <c:pt idx="110">
                  <c:v>43211</c:v>
                </c:pt>
                <c:pt idx="111">
                  <c:v>43212</c:v>
                </c:pt>
                <c:pt idx="112">
                  <c:v>43213</c:v>
                </c:pt>
                <c:pt idx="113">
                  <c:v>43214</c:v>
                </c:pt>
                <c:pt idx="114">
                  <c:v>43215</c:v>
                </c:pt>
                <c:pt idx="115">
                  <c:v>43216</c:v>
                </c:pt>
                <c:pt idx="116">
                  <c:v>43217</c:v>
                </c:pt>
                <c:pt idx="117">
                  <c:v>43218</c:v>
                </c:pt>
                <c:pt idx="118">
                  <c:v>43219</c:v>
                </c:pt>
                <c:pt idx="119">
                  <c:v>43220</c:v>
                </c:pt>
                <c:pt idx="120">
                  <c:v>43221</c:v>
                </c:pt>
                <c:pt idx="121">
                  <c:v>43222</c:v>
                </c:pt>
                <c:pt idx="122">
                  <c:v>43223</c:v>
                </c:pt>
                <c:pt idx="123">
                  <c:v>43224</c:v>
                </c:pt>
                <c:pt idx="124">
                  <c:v>43225</c:v>
                </c:pt>
                <c:pt idx="125">
                  <c:v>43226</c:v>
                </c:pt>
                <c:pt idx="126">
                  <c:v>43227</c:v>
                </c:pt>
                <c:pt idx="127">
                  <c:v>43228</c:v>
                </c:pt>
                <c:pt idx="128">
                  <c:v>43229</c:v>
                </c:pt>
                <c:pt idx="129">
                  <c:v>43230</c:v>
                </c:pt>
                <c:pt idx="130">
                  <c:v>43231</c:v>
                </c:pt>
                <c:pt idx="131">
                  <c:v>43232</c:v>
                </c:pt>
                <c:pt idx="132">
                  <c:v>43233</c:v>
                </c:pt>
                <c:pt idx="133">
                  <c:v>43234</c:v>
                </c:pt>
                <c:pt idx="134">
                  <c:v>43235</c:v>
                </c:pt>
                <c:pt idx="135">
                  <c:v>43236</c:v>
                </c:pt>
                <c:pt idx="136">
                  <c:v>43237</c:v>
                </c:pt>
                <c:pt idx="137">
                  <c:v>43238</c:v>
                </c:pt>
                <c:pt idx="138">
                  <c:v>43239</c:v>
                </c:pt>
                <c:pt idx="139">
                  <c:v>43240</c:v>
                </c:pt>
                <c:pt idx="140">
                  <c:v>43241</c:v>
                </c:pt>
                <c:pt idx="141">
                  <c:v>43242</c:v>
                </c:pt>
                <c:pt idx="142">
                  <c:v>43243</c:v>
                </c:pt>
                <c:pt idx="143">
                  <c:v>43244</c:v>
                </c:pt>
                <c:pt idx="144">
                  <c:v>43245</c:v>
                </c:pt>
                <c:pt idx="145">
                  <c:v>43246</c:v>
                </c:pt>
                <c:pt idx="146">
                  <c:v>43247</c:v>
                </c:pt>
                <c:pt idx="147">
                  <c:v>43248</c:v>
                </c:pt>
                <c:pt idx="148">
                  <c:v>43249</c:v>
                </c:pt>
                <c:pt idx="149">
                  <c:v>43250</c:v>
                </c:pt>
                <c:pt idx="150">
                  <c:v>43251</c:v>
                </c:pt>
                <c:pt idx="151">
                  <c:v>43252</c:v>
                </c:pt>
                <c:pt idx="152">
                  <c:v>43253</c:v>
                </c:pt>
                <c:pt idx="153">
                  <c:v>43254</c:v>
                </c:pt>
                <c:pt idx="154">
                  <c:v>43255</c:v>
                </c:pt>
                <c:pt idx="155">
                  <c:v>43256</c:v>
                </c:pt>
                <c:pt idx="156">
                  <c:v>43257</c:v>
                </c:pt>
                <c:pt idx="157">
                  <c:v>43258</c:v>
                </c:pt>
                <c:pt idx="158">
                  <c:v>43259</c:v>
                </c:pt>
                <c:pt idx="159">
                  <c:v>43260</c:v>
                </c:pt>
                <c:pt idx="160">
                  <c:v>43261</c:v>
                </c:pt>
                <c:pt idx="161">
                  <c:v>43262</c:v>
                </c:pt>
                <c:pt idx="162">
                  <c:v>43263</c:v>
                </c:pt>
                <c:pt idx="163">
                  <c:v>43264</c:v>
                </c:pt>
                <c:pt idx="164">
                  <c:v>43265</c:v>
                </c:pt>
                <c:pt idx="165">
                  <c:v>43266</c:v>
                </c:pt>
                <c:pt idx="166">
                  <c:v>43267</c:v>
                </c:pt>
                <c:pt idx="167">
                  <c:v>43268</c:v>
                </c:pt>
                <c:pt idx="168">
                  <c:v>43269</c:v>
                </c:pt>
                <c:pt idx="169">
                  <c:v>43270</c:v>
                </c:pt>
                <c:pt idx="170">
                  <c:v>43271</c:v>
                </c:pt>
                <c:pt idx="171">
                  <c:v>43272</c:v>
                </c:pt>
                <c:pt idx="172">
                  <c:v>43273</c:v>
                </c:pt>
                <c:pt idx="173">
                  <c:v>43274</c:v>
                </c:pt>
                <c:pt idx="174">
                  <c:v>43275</c:v>
                </c:pt>
                <c:pt idx="175">
                  <c:v>43276</c:v>
                </c:pt>
                <c:pt idx="176">
                  <c:v>43277</c:v>
                </c:pt>
                <c:pt idx="177">
                  <c:v>43278</c:v>
                </c:pt>
                <c:pt idx="178">
                  <c:v>43279</c:v>
                </c:pt>
              </c:numCache>
            </c:numRef>
          </c:xVal>
          <c:yVal>
            <c:numRef>
              <c:f>Hoja1!$K$7:$K$185</c:f>
              <c:numCache>
                <c:formatCode>General</c:formatCode>
                <c:ptCount val="179"/>
                <c:pt idx="1">
                  <c:v>25.41</c:v>
                </c:pt>
                <c:pt idx="2">
                  <c:v>25.41</c:v>
                </c:pt>
                <c:pt idx="3">
                  <c:v>36</c:v>
                </c:pt>
                <c:pt idx="4">
                  <c:v>43.2</c:v>
                </c:pt>
                <c:pt idx="5">
                  <c:v>43.2</c:v>
                </c:pt>
                <c:pt idx="6">
                  <c:v>21.6</c:v>
                </c:pt>
                <c:pt idx="7">
                  <c:v>21.6</c:v>
                </c:pt>
                <c:pt idx="8">
                  <c:v>20.57</c:v>
                </c:pt>
                <c:pt idx="9">
                  <c:v>24</c:v>
                </c:pt>
                <c:pt idx="10">
                  <c:v>21.6</c:v>
                </c:pt>
                <c:pt idx="11">
                  <c:v>21.6</c:v>
                </c:pt>
                <c:pt idx="14">
                  <c:v>86.4</c:v>
                </c:pt>
                <c:pt idx="15">
                  <c:v>48</c:v>
                </c:pt>
                <c:pt idx="16">
                  <c:v>61.71</c:v>
                </c:pt>
                <c:pt idx="17">
                  <c:v>54</c:v>
                </c:pt>
                <c:pt idx="18">
                  <c:v>54</c:v>
                </c:pt>
                <c:pt idx="19">
                  <c:v>43</c:v>
                </c:pt>
                <c:pt idx="20">
                  <c:v>43</c:v>
                </c:pt>
                <c:pt idx="21">
                  <c:v>27</c:v>
                </c:pt>
                <c:pt idx="22">
                  <c:v>27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21.6</c:v>
                </c:pt>
                <c:pt idx="29">
                  <c:v>21.6</c:v>
                </c:pt>
                <c:pt idx="30">
                  <c:v>21.6</c:v>
                </c:pt>
                <c:pt idx="31">
                  <c:v>19.64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21.6</c:v>
                </c:pt>
                <c:pt idx="37">
                  <c:v>21.6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22.74</c:v>
                </c:pt>
                <c:pt idx="43">
                  <c:v>22.74</c:v>
                </c:pt>
                <c:pt idx="44">
                  <c:v>20.5</c:v>
                </c:pt>
                <c:pt idx="45">
                  <c:v>20.5</c:v>
                </c:pt>
                <c:pt idx="46">
                  <c:v>20.5</c:v>
                </c:pt>
                <c:pt idx="47">
                  <c:v>19.64</c:v>
                </c:pt>
                <c:pt idx="48">
                  <c:v>19.64</c:v>
                </c:pt>
                <c:pt idx="49">
                  <c:v>28.8</c:v>
                </c:pt>
                <c:pt idx="50">
                  <c:v>28.8</c:v>
                </c:pt>
                <c:pt idx="51">
                  <c:v>28.8</c:v>
                </c:pt>
                <c:pt idx="52">
                  <c:v>28.8</c:v>
                </c:pt>
                <c:pt idx="53">
                  <c:v>25.41</c:v>
                </c:pt>
                <c:pt idx="54">
                  <c:v>25.41</c:v>
                </c:pt>
                <c:pt idx="55">
                  <c:v>25.41</c:v>
                </c:pt>
                <c:pt idx="56">
                  <c:v>21.6</c:v>
                </c:pt>
                <c:pt idx="57">
                  <c:v>21.6</c:v>
                </c:pt>
                <c:pt idx="58">
                  <c:v>20.57</c:v>
                </c:pt>
                <c:pt idx="59">
                  <c:v>20.57</c:v>
                </c:pt>
                <c:pt idx="60">
                  <c:v>21.6</c:v>
                </c:pt>
                <c:pt idx="61">
                  <c:v>21.6</c:v>
                </c:pt>
                <c:pt idx="62">
                  <c:v>21.6</c:v>
                </c:pt>
                <c:pt idx="63">
                  <c:v>19.64</c:v>
                </c:pt>
                <c:pt idx="64">
                  <c:v>19.64</c:v>
                </c:pt>
                <c:pt idx="65">
                  <c:v>19.64</c:v>
                </c:pt>
                <c:pt idx="66">
                  <c:v>19.64</c:v>
                </c:pt>
                <c:pt idx="67">
                  <c:v>19.64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17.28</c:v>
                </c:pt>
                <c:pt idx="80">
                  <c:v>17.28</c:v>
                </c:pt>
                <c:pt idx="81">
                  <c:v>17.28</c:v>
                </c:pt>
                <c:pt idx="82">
                  <c:v>17.28</c:v>
                </c:pt>
                <c:pt idx="83">
                  <c:v>17.28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25.41</c:v>
                </c:pt>
                <c:pt idx="91">
                  <c:v>25.41</c:v>
                </c:pt>
                <c:pt idx="92">
                  <c:v>43.2</c:v>
                </c:pt>
                <c:pt idx="93">
                  <c:v>43.2</c:v>
                </c:pt>
                <c:pt idx="94">
                  <c:v>43.2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86.4</c:v>
                </c:pt>
                <c:pt idx="100">
                  <c:v>33.229999999999997</c:v>
                </c:pt>
                <c:pt idx="101">
                  <c:v>17.28</c:v>
                </c:pt>
                <c:pt idx="102">
                  <c:v>17.28</c:v>
                </c:pt>
                <c:pt idx="103">
                  <c:v>17.28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21.6</c:v>
                </c:pt>
                <c:pt idx="109">
                  <c:v>21.6</c:v>
                </c:pt>
                <c:pt idx="110">
                  <c:v>21.6</c:v>
                </c:pt>
                <c:pt idx="111">
                  <c:v>21.6</c:v>
                </c:pt>
                <c:pt idx="112">
                  <c:v>19.64</c:v>
                </c:pt>
                <c:pt idx="113">
                  <c:v>19.64</c:v>
                </c:pt>
                <c:pt idx="114">
                  <c:v>20.57</c:v>
                </c:pt>
                <c:pt idx="115">
                  <c:v>17.28</c:v>
                </c:pt>
                <c:pt idx="116">
                  <c:v>17.28</c:v>
                </c:pt>
                <c:pt idx="117">
                  <c:v>24</c:v>
                </c:pt>
                <c:pt idx="118">
                  <c:v>24</c:v>
                </c:pt>
                <c:pt idx="119">
                  <c:v>17.28</c:v>
                </c:pt>
                <c:pt idx="120">
                  <c:v>17.28</c:v>
                </c:pt>
                <c:pt idx="121">
                  <c:v>16.62</c:v>
                </c:pt>
                <c:pt idx="122">
                  <c:v>14.4</c:v>
                </c:pt>
                <c:pt idx="123">
                  <c:v>14.4</c:v>
                </c:pt>
                <c:pt idx="124">
                  <c:v>14.4</c:v>
                </c:pt>
                <c:pt idx="125">
                  <c:v>14.4</c:v>
                </c:pt>
                <c:pt idx="126">
                  <c:v>28.8</c:v>
                </c:pt>
                <c:pt idx="127">
                  <c:v>28.8</c:v>
                </c:pt>
                <c:pt idx="128">
                  <c:v>28.8</c:v>
                </c:pt>
                <c:pt idx="129">
                  <c:v>28.8</c:v>
                </c:pt>
                <c:pt idx="130">
                  <c:v>28.8</c:v>
                </c:pt>
                <c:pt idx="131">
                  <c:v>28.8</c:v>
                </c:pt>
                <c:pt idx="132">
                  <c:v>28.8</c:v>
                </c:pt>
                <c:pt idx="133">
                  <c:v>33.229999999999997</c:v>
                </c:pt>
                <c:pt idx="134">
                  <c:v>33.229999999999997</c:v>
                </c:pt>
                <c:pt idx="135">
                  <c:v>28.8</c:v>
                </c:pt>
                <c:pt idx="136">
                  <c:v>28.8</c:v>
                </c:pt>
                <c:pt idx="137">
                  <c:v>43.2</c:v>
                </c:pt>
                <c:pt idx="138">
                  <c:v>43.2</c:v>
                </c:pt>
                <c:pt idx="139">
                  <c:v>48</c:v>
                </c:pt>
                <c:pt idx="140">
                  <c:v>48</c:v>
                </c:pt>
                <c:pt idx="141">
                  <c:v>43.2</c:v>
                </c:pt>
                <c:pt idx="142">
                  <c:v>72</c:v>
                </c:pt>
                <c:pt idx="143">
                  <c:v>86.4</c:v>
                </c:pt>
                <c:pt idx="144">
                  <c:v>48</c:v>
                </c:pt>
                <c:pt idx="145">
                  <c:v>48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36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43.2</c:v>
                </c:pt>
                <c:pt idx="157">
                  <c:v>43.2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33.229999999999997</c:v>
                </c:pt>
                <c:pt idx="162">
                  <c:v>33.229999999999997</c:v>
                </c:pt>
                <c:pt idx="163">
                  <c:v>33.229999999999997</c:v>
                </c:pt>
                <c:pt idx="164">
                  <c:v>33.229999999999997</c:v>
                </c:pt>
                <c:pt idx="165">
                  <c:v>33.229999999999997</c:v>
                </c:pt>
                <c:pt idx="166">
                  <c:v>33.229999999999997</c:v>
                </c:pt>
                <c:pt idx="167">
                  <c:v>33.229999999999997</c:v>
                </c:pt>
                <c:pt idx="168">
                  <c:v>28.8</c:v>
                </c:pt>
                <c:pt idx="169">
                  <c:v>28.8</c:v>
                </c:pt>
                <c:pt idx="170">
                  <c:v>28.8</c:v>
                </c:pt>
                <c:pt idx="171">
                  <c:v>28.8</c:v>
                </c:pt>
                <c:pt idx="172">
                  <c:v>28.8</c:v>
                </c:pt>
                <c:pt idx="173">
                  <c:v>28.8</c:v>
                </c:pt>
                <c:pt idx="174">
                  <c:v>28.8</c:v>
                </c:pt>
                <c:pt idx="175">
                  <c:v>28.8</c:v>
                </c:pt>
                <c:pt idx="176">
                  <c:v>28.8</c:v>
                </c:pt>
                <c:pt idx="177">
                  <c:v>28.8</c:v>
                </c:pt>
                <c:pt idx="178">
                  <c:v>28.8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0BB1-4F3A-836E-36714118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15584"/>
        <c:axId val="224416144"/>
      </c:scatterChart>
      <c:valAx>
        <c:axId val="224415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4416144"/>
        <c:crosses val="autoZero"/>
        <c:crossBetween val="midCat"/>
        <c:majorUnit val="10"/>
      </c:valAx>
      <c:valAx>
        <c:axId val="22441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415584"/>
        <c:crosses val="autoZero"/>
        <c:crossBetween val="midCat"/>
        <c:maj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305917</xdr:colOff>
      <xdr:row>3</xdr:row>
      <xdr:rowOff>136070</xdr:rowOff>
    </xdr:from>
    <xdr:to>
      <xdr:col>29</xdr:col>
      <xdr:colOff>610719</xdr:colOff>
      <xdr:row>35</xdr:row>
      <xdr:rowOff>74439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81"/>
  <sheetViews>
    <sheetView tabSelected="1" topLeftCell="E1" zoomScale="80" zoomScaleNormal="80" workbookViewId="0">
      <pane ySplit="6" topLeftCell="A369" activePane="bottomLeft" state="frozen"/>
      <selection pane="bottomLeft" activeCell="K380" sqref="K380"/>
    </sheetView>
  </sheetViews>
  <sheetFormatPr baseColWidth="10" defaultRowHeight="15" x14ac:dyDescent="0.25"/>
  <cols>
    <col min="1" max="2" width="17.28515625" customWidth="1"/>
    <col min="3" max="3" width="11.7109375" style="7" customWidth="1"/>
    <col min="4" max="4" width="21.140625" customWidth="1"/>
    <col min="5" max="5" width="17.28515625" style="7" customWidth="1"/>
    <col min="6" max="8" width="22" customWidth="1"/>
    <col min="9" max="9" width="27.140625" style="31" customWidth="1"/>
    <col min="10" max="10" width="18.85546875" customWidth="1"/>
    <col min="11" max="11" width="18.140625" customWidth="1"/>
    <col min="12" max="12" width="21.42578125" customWidth="1"/>
    <col min="13" max="13" width="20.140625" customWidth="1"/>
  </cols>
  <sheetData>
    <row r="1" spans="1:13" ht="15.75" thickBot="1" x14ac:dyDescent="0.3"/>
    <row r="2" spans="1:13" ht="19.5" thickBot="1" x14ac:dyDescent="0.35">
      <c r="A2" s="53" t="s">
        <v>33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4" spans="1:13" ht="15" customHeight="1" x14ac:dyDescent="0.25">
      <c r="A4" s="61" t="s">
        <v>1</v>
      </c>
      <c r="B4" s="14"/>
      <c r="C4" s="63" t="s">
        <v>0</v>
      </c>
      <c r="D4" s="64"/>
      <c r="E4" s="64"/>
      <c r="F4" s="64"/>
      <c r="G4" s="64"/>
      <c r="H4" s="64"/>
      <c r="I4" s="65"/>
      <c r="J4" s="59" t="s">
        <v>5</v>
      </c>
      <c r="K4" s="59" t="s">
        <v>19</v>
      </c>
      <c r="L4" s="62" t="s">
        <v>20</v>
      </c>
      <c r="M4" s="15" t="s">
        <v>14</v>
      </c>
    </row>
    <row r="5" spans="1:13" x14ac:dyDescent="0.25">
      <c r="A5" s="61"/>
      <c r="B5" s="13" t="s">
        <v>13</v>
      </c>
      <c r="C5" s="8" t="s">
        <v>16</v>
      </c>
      <c r="D5" s="4" t="s">
        <v>3</v>
      </c>
      <c r="E5" s="8" t="s">
        <v>17</v>
      </c>
      <c r="F5" s="4" t="s">
        <v>3</v>
      </c>
      <c r="G5" s="43" t="s">
        <v>38</v>
      </c>
      <c r="H5" s="43" t="s">
        <v>3</v>
      </c>
      <c r="I5" s="45" t="s">
        <v>18</v>
      </c>
      <c r="J5" s="60"/>
      <c r="K5" s="60"/>
      <c r="L5" s="62"/>
    </row>
    <row r="6" spans="1:13" x14ac:dyDescent="0.25">
      <c r="A6" s="61"/>
      <c r="B6" s="13"/>
      <c r="C6" s="9" t="s">
        <v>2</v>
      </c>
      <c r="D6" s="3" t="s">
        <v>4</v>
      </c>
      <c r="E6" s="9" t="s">
        <v>2</v>
      </c>
      <c r="F6" s="3" t="s">
        <v>4</v>
      </c>
      <c r="G6" s="3"/>
      <c r="H6" s="3"/>
      <c r="I6" s="46" t="s">
        <v>2</v>
      </c>
      <c r="J6" s="5" t="s">
        <v>4</v>
      </c>
      <c r="K6" s="3" t="s">
        <v>2</v>
      </c>
      <c r="L6" s="3" t="s">
        <v>2</v>
      </c>
    </row>
    <row r="7" spans="1:13" x14ac:dyDescent="0.25">
      <c r="A7" s="2">
        <v>43101</v>
      </c>
      <c r="B7" s="16" t="s">
        <v>15</v>
      </c>
      <c r="C7" s="21"/>
      <c r="D7" s="20"/>
      <c r="E7" s="10">
        <v>61.71</v>
      </c>
      <c r="F7" s="1">
        <v>1.234</v>
      </c>
      <c r="G7" s="33">
        <v>61.71</v>
      </c>
      <c r="H7" s="1">
        <v>1.234</v>
      </c>
      <c r="I7" s="30">
        <f t="shared" ref="I7:I38" si="0">G7+E7</f>
        <v>123.42</v>
      </c>
      <c r="J7" s="1">
        <f t="shared" ref="J7:J38" si="1">H7+F7</f>
        <v>2.468</v>
      </c>
      <c r="K7" s="1"/>
      <c r="L7" s="18">
        <f>I7+K7</f>
        <v>123.42</v>
      </c>
    </row>
    <row r="8" spans="1:13" x14ac:dyDescent="0.25">
      <c r="A8" s="2">
        <v>43102</v>
      </c>
      <c r="B8" s="16" t="s">
        <v>15</v>
      </c>
      <c r="C8" s="21"/>
      <c r="D8" s="20"/>
      <c r="E8" s="10">
        <v>61.71</v>
      </c>
      <c r="F8" s="1">
        <v>1.234</v>
      </c>
      <c r="G8" s="33">
        <v>61.71</v>
      </c>
      <c r="H8" s="1">
        <v>1.234</v>
      </c>
      <c r="I8" s="30">
        <f t="shared" si="0"/>
        <v>123.42</v>
      </c>
      <c r="J8" s="20">
        <f t="shared" si="1"/>
        <v>2.468</v>
      </c>
      <c r="K8" s="1">
        <v>25.41</v>
      </c>
      <c r="L8" s="23">
        <f t="shared" ref="L8:L71" si="2">I8+K8</f>
        <v>148.83000000000001</v>
      </c>
    </row>
    <row r="9" spans="1:13" x14ac:dyDescent="0.25">
      <c r="A9" s="2">
        <v>43103</v>
      </c>
      <c r="B9" s="16" t="s">
        <v>15</v>
      </c>
      <c r="C9" s="21"/>
      <c r="D9" s="20"/>
      <c r="E9" s="10">
        <v>86.4</v>
      </c>
      <c r="F9" s="1">
        <v>1.728</v>
      </c>
      <c r="G9" s="33">
        <v>61.71</v>
      </c>
      <c r="H9" s="1">
        <v>1.234</v>
      </c>
      <c r="I9" s="30">
        <f t="shared" si="0"/>
        <v>148.11000000000001</v>
      </c>
      <c r="J9" s="20">
        <f t="shared" si="1"/>
        <v>2.9619999999999997</v>
      </c>
      <c r="K9" s="1">
        <v>25.41</v>
      </c>
      <c r="L9" s="23">
        <f t="shared" si="2"/>
        <v>173.52</v>
      </c>
    </row>
    <row r="10" spans="1:13" x14ac:dyDescent="0.25">
      <c r="A10" s="2">
        <v>43104</v>
      </c>
      <c r="B10" s="16" t="s">
        <v>15</v>
      </c>
      <c r="C10" s="21"/>
      <c r="D10" s="20"/>
      <c r="E10" s="10">
        <v>61.71</v>
      </c>
      <c r="F10" s="1">
        <v>1.234</v>
      </c>
      <c r="G10" s="33">
        <v>43.2</v>
      </c>
      <c r="H10" s="1">
        <v>0.86399999999999999</v>
      </c>
      <c r="I10" s="30">
        <f t="shared" si="0"/>
        <v>104.91</v>
      </c>
      <c r="J10" s="20">
        <f t="shared" si="1"/>
        <v>2.0979999999999999</v>
      </c>
      <c r="K10" s="1">
        <v>36</v>
      </c>
      <c r="L10" s="23">
        <f t="shared" si="2"/>
        <v>140.91</v>
      </c>
    </row>
    <row r="11" spans="1:13" x14ac:dyDescent="0.25">
      <c r="A11" s="2">
        <v>43105</v>
      </c>
      <c r="B11" s="16" t="s">
        <v>15</v>
      </c>
      <c r="C11" s="21"/>
      <c r="D11" s="20"/>
      <c r="E11" s="10">
        <v>61.71</v>
      </c>
      <c r="F11" s="1">
        <v>1.234</v>
      </c>
      <c r="G11" s="33">
        <v>43.2</v>
      </c>
      <c r="H11" s="1">
        <v>0.86399999999999999</v>
      </c>
      <c r="I11" s="30">
        <f t="shared" si="0"/>
        <v>104.91</v>
      </c>
      <c r="J11" s="20">
        <f t="shared" si="1"/>
        <v>2.0979999999999999</v>
      </c>
      <c r="K11" s="1">
        <v>43.2</v>
      </c>
      <c r="L11" s="23">
        <f t="shared" si="2"/>
        <v>148.11000000000001</v>
      </c>
    </row>
    <row r="12" spans="1:13" x14ac:dyDescent="0.25">
      <c r="A12" s="2">
        <v>43106</v>
      </c>
      <c r="B12" s="16" t="s">
        <v>15</v>
      </c>
      <c r="C12" s="21"/>
      <c r="D12" s="20"/>
      <c r="E12" s="10">
        <v>61.71</v>
      </c>
      <c r="F12" s="1">
        <v>1.234</v>
      </c>
      <c r="G12" s="33">
        <v>43.2</v>
      </c>
      <c r="H12" s="1">
        <v>0.86399999999999999</v>
      </c>
      <c r="I12" s="30">
        <f t="shared" si="0"/>
        <v>104.91</v>
      </c>
      <c r="J12" s="20">
        <f t="shared" si="1"/>
        <v>2.0979999999999999</v>
      </c>
      <c r="K12" s="1">
        <v>43.2</v>
      </c>
      <c r="L12" s="23">
        <f t="shared" si="2"/>
        <v>148.11000000000001</v>
      </c>
    </row>
    <row r="13" spans="1:13" x14ac:dyDescent="0.25">
      <c r="A13" s="2">
        <v>43107</v>
      </c>
      <c r="B13" s="16" t="s">
        <v>15</v>
      </c>
      <c r="C13" s="21"/>
      <c r="D13" s="20"/>
      <c r="E13" s="10">
        <v>43.2</v>
      </c>
      <c r="F13" s="1">
        <v>0.86399999999999999</v>
      </c>
      <c r="G13" s="33">
        <v>39.270000000000003</v>
      </c>
      <c r="H13" s="1">
        <v>0.78500000000000003</v>
      </c>
      <c r="I13" s="30">
        <f t="shared" si="0"/>
        <v>82.47</v>
      </c>
      <c r="J13" s="20">
        <f t="shared" si="1"/>
        <v>1.649</v>
      </c>
      <c r="K13" s="1">
        <v>21.6</v>
      </c>
      <c r="L13" s="23">
        <f t="shared" si="2"/>
        <v>104.07</v>
      </c>
    </row>
    <row r="14" spans="1:13" x14ac:dyDescent="0.25">
      <c r="A14" s="2">
        <v>43108</v>
      </c>
      <c r="B14" s="16" t="s">
        <v>15</v>
      </c>
      <c r="C14" s="21"/>
      <c r="D14" s="20"/>
      <c r="E14" s="21">
        <v>43.2</v>
      </c>
      <c r="F14" s="20">
        <v>0.86399999999999999</v>
      </c>
      <c r="G14" s="33">
        <v>39.270000000000003</v>
      </c>
      <c r="H14" s="1">
        <v>0.78500000000000003</v>
      </c>
      <c r="I14" s="30">
        <f t="shared" si="0"/>
        <v>82.47</v>
      </c>
      <c r="J14" s="20">
        <f t="shared" si="1"/>
        <v>1.649</v>
      </c>
      <c r="K14" s="1">
        <v>21.6</v>
      </c>
      <c r="L14" s="23">
        <f t="shared" si="2"/>
        <v>104.07</v>
      </c>
    </row>
    <row r="15" spans="1:13" x14ac:dyDescent="0.25">
      <c r="A15" s="2">
        <v>43109</v>
      </c>
      <c r="B15" s="16" t="s">
        <v>15</v>
      </c>
      <c r="C15" s="21"/>
      <c r="D15" s="20"/>
      <c r="E15" s="21">
        <v>43.2</v>
      </c>
      <c r="F15" s="20">
        <v>0.86399999999999999</v>
      </c>
      <c r="G15" s="33">
        <v>39.270000000000003</v>
      </c>
      <c r="H15" s="1">
        <v>0.78500000000000003</v>
      </c>
      <c r="I15" s="30">
        <f t="shared" si="0"/>
        <v>82.47</v>
      </c>
      <c r="J15" s="20">
        <f t="shared" si="1"/>
        <v>1.649</v>
      </c>
      <c r="K15" s="1">
        <v>20.57</v>
      </c>
      <c r="L15" s="23">
        <f t="shared" si="2"/>
        <v>103.03999999999999</v>
      </c>
    </row>
    <row r="16" spans="1:13" s="31" customFormat="1" x14ac:dyDescent="0.25">
      <c r="A16" s="2">
        <v>43110</v>
      </c>
      <c r="B16" s="29" t="s">
        <v>15</v>
      </c>
      <c r="C16" s="30"/>
      <c r="D16" s="30"/>
      <c r="E16" s="21">
        <v>43.2</v>
      </c>
      <c r="F16" s="20">
        <v>0.86399999999999999</v>
      </c>
      <c r="G16" s="33">
        <v>54</v>
      </c>
      <c r="H16" s="30">
        <v>1.08</v>
      </c>
      <c r="I16" s="30">
        <f t="shared" si="0"/>
        <v>97.2</v>
      </c>
      <c r="J16" s="20">
        <f t="shared" si="1"/>
        <v>1.944</v>
      </c>
      <c r="K16" s="30">
        <v>24</v>
      </c>
      <c r="L16" s="23">
        <f t="shared" si="2"/>
        <v>121.2</v>
      </c>
    </row>
    <row r="17" spans="1:12" x14ac:dyDescent="0.25">
      <c r="A17" s="2">
        <v>43111</v>
      </c>
      <c r="B17" s="16" t="s">
        <v>15</v>
      </c>
      <c r="C17" s="21"/>
      <c r="D17" s="20"/>
      <c r="E17" s="21">
        <v>43.2</v>
      </c>
      <c r="F17" s="20">
        <v>0.86399999999999999</v>
      </c>
      <c r="G17" s="33">
        <v>54</v>
      </c>
      <c r="H17" s="1">
        <v>1.08</v>
      </c>
      <c r="I17" s="30">
        <f t="shared" si="0"/>
        <v>97.2</v>
      </c>
      <c r="J17" s="20">
        <f t="shared" si="1"/>
        <v>1.944</v>
      </c>
      <c r="K17" s="1">
        <v>21.6</v>
      </c>
      <c r="L17" s="23">
        <f t="shared" si="2"/>
        <v>118.80000000000001</v>
      </c>
    </row>
    <row r="18" spans="1:12" x14ac:dyDescent="0.25">
      <c r="A18" s="2">
        <v>43112</v>
      </c>
      <c r="B18" s="16" t="s">
        <v>15</v>
      </c>
      <c r="C18" s="21"/>
      <c r="D18" s="20"/>
      <c r="E18" s="21">
        <v>43.2</v>
      </c>
      <c r="F18" s="20">
        <v>0.86399999999999999</v>
      </c>
      <c r="G18" s="33">
        <v>54</v>
      </c>
      <c r="H18" s="1">
        <v>1.08</v>
      </c>
      <c r="I18" s="30">
        <f t="shared" si="0"/>
        <v>97.2</v>
      </c>
      <c r="J18" s="20">
        <f t="shared" si="1"/>
        <v>1.944</v>
      </c>
      <c r="K18" s="1">
        <v>21.6</v>
      </c>
      <c r="L18" s="23">
        <f t="shared" si="2"/>
        <v>118.80000000000001</v>
      </c>
    </row>
    <row r="19" spans="1:12" x14ac:dyDescent="0.25">
      <c r="A19" s="2">
        <v>43113</v>
      </c>
      <c r="B19" s="16" t="s">
        <v>15</v>
      </c>
      <c r="C19" s="21"/>
      <c r="D19" s="20"/>
      <c r="E19" s="21">
        <v>43.2</v>
      </c>
      <c r="F19" s="20">
        <v>0.86399999999999999</v>
      </c>
      <c r="G19" s="33">
        <v>54</v>
      </c>
      <c r="H19" s="1">
        <v>1.08</v>
      </c>
      <c r="I19" s="30">
        <f t="shared" si="0"/>
        <v>97.2</v>
      </c>
      <c r="J19" s="20">
        <f t="shared" si="1"/>
        <v>1.944</v>
      </c>
      <c r="K19" s="1"/>
      <c r="L19" s="23">
        <f t="shared" si="2"/>
        <v>97.2</v>
      </c>
    </row>
    <row r="20" spans="1:12" x14ac:dyDescent="0.25">
      <c r="A20" s="2">
        <v>43114</v>
      </c>
      <c r="B20" s="16" t="s">
        <v>15</v>
      </c>
      <c r="C20" s="21"/>
      <c r="D20" s="20"/>
      <c r="E20" s="21">
        <v>43.2</v>
      </c>
      <c r="F20" s="20">
        <v>0.86399999999999999</v>
      </c>
      <c r="G20" s="33">
        <v>54</v>
      </c>
      <c r="H20" s="1">
        <v>1.08</v>
      </c>
      <c r="I20" s="30">
        <f t="shared" si="0"/>
        <v>97.2</v>
      </c>
      <c r="J20" s="20">
        <f t="shared" si="1"/>
        <v>1.944</v>
      </c>
      <c r="K20" s="1"/>
      <c r="L20" s="23">
        <f t="shared" si="2"/>
        <v>97.2</v>
      </c>
    </row>
    <row r="21" spans="1:12" x14ac:dyDescent="0.25">
      <c r="A21" s="2">
        <v>43115</v>
      </c>
      <c r="B21" s="16" t="s">
        <v>15</v>
      </c>
      <c r="C21" s="21"/>
      <c r="D21" s="20"/>
      <c r="E21" s="10">
        <v>108</v>
      </c>
      <c r="F21" s="1">
        <v>2.16</v>
      </c>
      <c r="G21" s="33">
        <v>108</v>
      </c>
      <c r="H21" s="1">
        <v>2.16</v>
      </c>
      <c r="I21" s="30">
        <f t="shared" si="0"/>
        <v>216</v>
      </c>
      <c r="J21" s="20">
        <f t="shared" si="1"/>
        <v>4.32</v>
      </c>
      <c r="K21" s="1">
        <v>86.4</v>
      </c>
      <c r="L21" s="23">
        <f t="shared" si="2"/>
        <v>302.39999999999998</v>
      </c>
    </row>
    <row r="22" spans="1:12" x14ac:dyDescent="0.25">
      <c r="A22" s="2">
        <v>43116</v>
      </c>
      <c r="B22" s="16" t="s">
        <v>15</v>
      </c>
      <c r="C22" s="21"/>
      <c r="D22" s="20"/>
      <c r="E22" s="10">
        <v>86.4</v>
      </c>
      <c r="F22" s="1">
        <v>1.728</v>
      </c>
      <c r="G22" s="33">
        <v>86.4</v>
      </c>
      <c r="H22" s="1">
        <v>1.728</v>
      </c>
      <c r="I22" s="30">
        <f t="shared" si="0"/>
        <v>172.8</v>
      </c>
      <c r="J22" s="20">
        <f t="shared" si="1"/>
        <v>3.456</v>
      </c>
      <c r="K22" s="1">
        <v>48</v>
      </c>
      <c r="L22" s="23">
        <f t="shared" si="2"/>
        <v>220.8</v>
      </c>
    </row>
    <row r="23" spans="1:12" x14ac:dyDescent="0.25">
      <c r="A23" s="2">
        <v>43117</v>
      </c>
      <c r="B23" s="16" t="s">
        <v>15</v>
      </c>
      <c r="C23" s="21"/>
      <c r="D23" s="20"/>
      <c r="E23" s="10">
        <v>72</v>
      </c>
      <c r="F23" s="1">
        <v>1.44</v>
      </c>
      <c r="G23" s="33">
        <v>61.71</v>
      </c>
      <c r="H23" s="1">
        <v>1.234</v>
      </c>
      <c r="I23" s="30">
        <f t="shared" si="0"/>
        <v>133.71</v>
      </c>
      <c r="J23" s="20">
        <f t="shared" si="1"/>
        <v>2.6739999999999999</v>
      </c>
      <c r="K23" s="1">
        <v>61.71</v>
      </c>
      <c r="L23" s="23">
        <f t="shared" si="2"/>
        <v>195.42000000000002</v>
      </c>
    </row>
    <row r="24" spans="1:12" x14ac:dyDescent="0.25">
      <c r="A24" s="2">
        <v>43118</v>
      </c>
      <c r="B24" s="16" t="s">
        <v>15</v>
      </c>
      <c r="C24" s="21"/>
      <c r="D24" s="20"/>
      <c r="E24" s="10">
        <v>54</v>
      </c>
      <c r="F24" s="1">
        <v>1.08</v>
      </c>
      <c r="G24" s="33">
        <v>72</v>
      </c>
      <c r="H24" s="1">
        <v>1.44</v>
      </c>
      <c r="I24" s="30">
        <f t="shared" si="0"/>
        <v>126</v>
      </c>
      <c r="J24" s="20">
        <f t="shared" si="1"/>
        <v>2.52</v>
      </c>
      <c r="K24" s="1">
        <v>54</v>
      </c>
      <c r="L24" s="23">
        <f t="shared" si="2"/>
        <v>180</v>
      </c>
    </row>
    <row r="25" spans="1:12" x14ac:dyDescent="0.25">
      <c r="A25" s="2">
        <v>43119</v>
      </c>
      <c r="B25" s="16" t="s">
        <v>15</v>
      </c>
      <c r="C25" s="21"/>
      <c r="D25" s="20"/>
      <c r="E25" s="10">
        <v>54</v>
      </c>
      <c r="F25" s="1">
        <v>1.08</v>
      </c>
      <c r="G25" s="33">
        <v>54</v>
      </c>
      <c r="H25" s="1">
        <v>1.08</v>
      </c>
      <c r="I25" s="30">
        <f t="shared" si="0"/>
        <v>108</v>
      </c>
      <c r="J25" s="20">
        <f t="shared" si="1"/>
        <v>2.16</v>
      </c>
      <c r="K25" s="1">
        <v>54</v>
      </c>
      <c r="L25" s="23">
        <f t="shared" si="2"/>
        <v>162</v>
      </c>
    </row>
    <row r="26" spans="1:12" x14ac:dyDescent="0.25">
      <c r="A26" s="2">
        <v>43120</v>
      </c>
      <c r="B26" s="22" t="s">
        <v>34</v>
      </c>
      <c r="C26" s="21"/>
      <c r="D26" s="20"/>
      <c r="E26" s="10">
        <v>54</v>
      </c>
      <c r="F26" s="1">
        <v>1.08</v>
      </c>
      <c r="G26" s="33">
        <v>54</v>
      </c>
      <c r="H26" s="1">
        <v>1.08</v>
      </c>
      <c r="I26" s="30">
        <f t="shared" si="0"/>
        <v>108</v>
      </c>
      <c r="J26" s="20">
        <f t="shared" si="1"/>
        <v>2.16</v>
      </c>
      <c r="K26" s="1">
        <v>43</v>
      </c>
      <c r="L26" s="23">
        <f t="shared" si="2"/>
        <v>151</v>
      </c>
    </row>
    <row r="27" spans="1:12" x14ac:dyDescent="0.25">
      <c r="A27" s="2">
        <v>43121</v>
      </c>
      <c r="B27" s="22" t="s">
        <v>41</v>
      </c>
      <c r="C27" s="21"/>
      <c r="D27" s="20"/>
      <c r="E27" s="10">
        <v>54</v>
      </c>
      <c r="F27" s="1">
        <v>1.08</v>
      </c>
      <c r="G27" s="33">
        <v>54</v>
      </c>
      <c r="H27" s="1">
        <v>1.08</v>
      </c>
      <c r="I27" s="30">
        <f t="shared" si="0"/>
        <v>108</v>
      </c>
      <c r="J27" s="20">
        <f t="shared" si="1"/>
        <v>2.16</v>
      </c>
      <c r="K27" s="1">
        <v>43</v>
      </c>
      <c r="L27" s="23">
        <f t="shared" si="2"/>
        <v>151</v>
      </c>
    </row>
    <row r="28" spans="1:12" x14ac:dyDescent="0.25">
      <c r="A28" s="2">
        <v>43122</v>
      </c>
      <c r="B28" s="16" t="s">
        <v>42</v>
      </c>
      <c r="C28" s="21"/>
      <c r="D28" s="20"/>
      <c r="E28" s="10">
        <v>43.2</v>
      </c>
      <c r="F28" s="1">
        <v>1.512</v>
      </c>
      <c r="G28" s="33">
        <v>48</v>
      </c>
      <c r="H28" s="1">
        <v>1.68</v>
      </c>
      <c r="I28" s="30">
        <f t="shared" si="0"/>
        <v>91.2</v>
      </c>
      <c r="J28" s="20">
        <f t="shared" si="1"/>
        <v>3.1920000000000002</v>
      </c>
      <c r="K28" s="1">
        <v>27</v>
      </c>
      <c r="L28" s="23">
        <f t="shared" si="2"/>
        <v>118.2</v>
      </c>
    </row>
    <row r="29" spans="1:12" x14ac:dyDescent="0.25">
      <c r="A29" s="2">
        <v>43123</v>
      </c>
      <c r="B29" s="22" t="s">
        <v>42</v>
      </c>
      <c r="C29" s="21"/>
      <c r="D29" s="20"/>
      <c r="E29" s="10">
        <v>43.2</v>
      </c>
      <c r="F29" s="1">
        <v>1.512</v>
      </c>
      <c r="G29" s="33">
        <v>43.2</v>
      </c>
      <c r="H29" s="1">
        <v>1.512</v>
      </c>
      <c r="I29" s="30">
        <f t="shared" si="0"/>
        <v>86.4</v>
      </c>
      <c r="J29" s="20">
        <f t="shared" si="1"/>
        <v>3.024</v>
      </c>
      <c r="K29" s="1">
        <v>27</v>
      </c>
      <c r="L29" s="23">
        <f t="shared" si="2"/>
        <v>113.4</v>
      </c>
    </row>
    <row r="30" spans="1:12" s="31" customFormat="1" x14ac:dyDescent="0.25">
      <c r="A30" s="2">
        <v>43124</v>
      </c>
      <c r="B30" s="22" t="s">
        <v>42</v>
      </c>
      <c r="C30" s="30"/>
      <c r="D30" s="30"/>
      <c r="E30" s="30">
        <v>43.2</v>
      </c>
      <c r="F30" s="30">
        <v>1.512</v>
      </c>
      <c r="G30" s="33">
        <v>43.2</v>
      </c>
      <c r="H30" s="30">
        <v>1.512</v>
      </c>
      <c r="I30" s="30">
        <f t="shared" si="0"/>
        <v>86.4</v>
      </c>
      <c r="J30" s="20">
        <f t="shared" si="1"/>
        <v>3.024</v>
      </c>
      <c r="K30" s="30">
        <v>24</v>
      </c>
      <c r="L30" s="23">
        <f t="shared" si="2"/>
        <v>110.4</v>
      </c>
    </row>
    <row r="31" spans="1:12" x14ac:dyDescent="0.25">
      <c r="A31" s="2">
        <v>43125</v>
      </c>
      <c r="B31" s="22" t="s">
        <v>42</v>
      </c>
      <c r="C31" s="21"/>
      <c r="D31" s="20"/>
      <c r="E31" s="10">
        <v>39.270000000000003</v>
      </c>
      <c r="F31" s="1">
        <v>1.375</v>
      </c>
      <c r="G31" s="33">
        <v>54</v>
      </c>
      <c r="H31" s="1">
        <v>1.89</v>
      </c>
      <c r="I31" s="30">
        <f t="shared" si="0"/>
        <v>93.27000000000001</v>
      </c>
      <c r="J31" s="20">
        <f t="shared" si="1"/>
        <v>3.2649999999999997</v>
      </c>
      <c r="K31" s="1">
        <v>24</v>
      </c>
      <c r="L31" s="23">
        <f t="shared" si="2"/>
        <v>117.27000000000001</v>
      </c>
    </row>
    <row r="32" spans="1:12" x14ac:dyDescent="0.25">
      <c r="A32" s="2">
        <v>43126</v>
      </c>
      <c r="B32" s="22" t="s">
        <v>42</v>
      </c>
      <c r="C32" s="21"/>
      <c r="D32" s="20"/>
      <c r="E32" s="10">
        <v>39.270000000000003</v>
      </c>
      <c r="F32" s="1">
        <v>1.375</v>
      </c>
      <c r="G32" s="33">
        <v>54</v>
      </c>
      <c r="H32" s="1">
        <v>1.89</v>
      </c>
      <c r="I32" s="30">
        <f t="shared" si="0"/>
        <v>93.27000000000001</v>
      </c>
      <c r="J32" s="20">
        <f t="shared" si="1"/>
        <v>3.2649999999999997</v>
      </c>
      <c r="K32" s="1">
        <v>24</v>
      </c>
      <c r="L32" s="23">
        <f t="shared" si="2"/>
        <v>117.27000000000001</v>
      </c>
    </row>
    <row r="33" spans="1:14" x14ac:dyDescent="0.25">
      <c r="A33" s="2">
        <v>43127</v>
      </c>
      <c r="B33" s="22" t="s">
        <v>42</v>
      </c>
      <c r="C33" s="21"/>
      <c r="D33" s="20"/>
      <c r="E33" s="10">
        <v>39.270000000000003</v>
      </c>
      <c r="F33" s="1">
        <v>1.375</v>
      </c>
      <c r="G33" s="33">
        <v>54</v>
      </c>
      <c r="H33" s="1">
        <v>1.89</v>
      </c>
      <c r="I33" s="30">
        <f t="shared" si="0"/>
        <v>93.27000000000001</v>
      </c>
      <c r="J33" s="20">
        <f t="shared" si="1"/>
        <v>3.2649999999999997</v>
      </c>
      <c r="K33" s="1">
        <v>24</v>
      </c>
      <c r="L33" s="23">
        <f t="shared" si="2"/>
        <v>117.27000000000001</v>
      </c>
    </row>
    <row r="34" spans="1:14" x14ac:dyDescent="0.25">
      <c r="A34" s="2">
        <v>43128</v>
      </c>
      <c r="B34" s="22" t="s">
        <v>42</v>
      </c>
      <c r="C34" s="21"/>
      <c r="D34" s="20"/>
      <c r="E34" s="10">
        <v>30.86</v>
      </c>
      <c r="F34" s="1">
        <v>1.08</v>
      </c>
      <c r="G34" s="33">
        <v>48</v>
      </c>
      <c r="H34" s="1">
        <v>1.68</v>
      </c>
      <c r="I34" s="30">
        <f t="shared" si="0"/>
        <v>78.86</v>
      </c>
      <c r="J34" s="20">
        <f t="shared" si="1"/>
        <v>2.76</v>
      </c>
      <c r="K34" s="1">
        <v>24</v>
      </c>
      <c r="L34" s="23">
        <f t="shared" si="2"/>
        <v>102.86</v>
      </c>
    </row>
    <row r="35" spans="1:14" x14ac:dyDescent="0.25">
      <c r="A35" s="2">
        <v>43129</v>
      </c>
      <c r="B35" s="22" t="s">
        <v>42</v>
      </c>
      <c r="C35" s="21"/>
      <c r="D35" s="20"/>
      <c r="E35" s="10">
        <v>30.86</v>
      </c>
      <c r="F35" s="1">
        <v>1.08</v>
      </c>
      <c r="G35" s="33">
        <v>48</v>
      </c>
      <c r="H35" s="1">
        <v>1.68</v>
      </c>
      <c r="I35" s="30">
        <f t="shared" si="0"/>
        <v>78.86</v>
      </c>
      <c r="J35" s="20">
        <f t="shared" si="1"/>
        <v>2.76</v>
      </c>
      <c r="K35" s="1">
        <v>21.6</v>
      </c>
      <c r="L35" s="23">
        <f t="shared" si="2"/>
        <v>100.46000000000001</v>
      </c>
    </row>
    <row r="36" spans="1:14" x14ac:dyDescent="0.25">
      <c r="A36" s="2">
        <v>43130</v>
      </c>
      <c r="B36" s="22" t="s">
        <v>42</v>
      </c>
      <c r="C36" s="21"/>
      <c r="D36" s="20"/>
      <c r="E36" s="10">
        <v>30.86</v>
      </c>
      <c r="F36" s="1">
        <v>1.08</v>
      </c>
      <c r="G36" s="33">
        <v>48</v>
      </c>
      <c r="H36" s="1">
        <v>1.68</v>
      </c>
      <c r="I36" s="30">
        <f t="shared" si="0"/>
        <v>78.86</v>
      </c>
      <c r="J36" s="20">
        <f t="shared" si="1"/>
        <v>2.76</v>
      </c>
      <c r="K36" s="1">
        <v>21.6</v>
      </c>
      <c r="L36" s="23">
        <f t="shared" si="2"/>
        <v>100.46000000000001</v>
      </c>
    </row>
    <row r="37" spans="1:14" s="27" customFormat="1" x14ac:dyDescent="0.25">
      <c r="A37" s="2">
        <v>43131</v>
      </c>
      <c r="B37" s="22" t="s">
        <v>42</v>
      </c>
      <c r="C37" s="24"/>
      <c r="D37" s="24"/>
      <c r="E37" s="24">
        <v>33.229999999999997</v>
      </c>
      <c r="F37" s="24">
        <v>1.163</v>
      </c>
      <c r="G37" s="33">
        <v>43.2</v>
      </c>
      <c r="H37" s="24">
        <v>1.512</v>
      </c>
      <c r="I37" s="30">
        <f t="shared" si="0"/>
        <v>76.430000000000007</v>
      </c>
      <c r="J37" s="24">
        <f t="shared" si="1"/>
        <v>2.6749999999999998</v>
      </c>
      <c r="K37" s="24">
        <v>21.6</v>
      </c>
      <c r="L37" s="34">
        <f t="shared" si="2"/>
        <v>98.03</v>
      </c>
      <c r="M37" s="25" t="s">
        <v>27</v>
      </c>
      <c r="N37" s="26">
        <f>SUM(L7:L37)</f>
        <v>4205.5199999999995</v>
      </c>
    </row>
    <row r="38" spans="1:14" ht="33" customHeight="1" x14ac:dyDescent="0.25">
      <c r="A38" s="35">
        <v>43132</v>
      </c>
      <c r="B38" s="36" t="s">
        <v>35</v>
      </c>
      <c r="C38" s="21"/>
      <c r="D38" s="20"/>
      <c r="E38" s="40">
        <v>33.229999999999997</v>
      </c>
      <c r="F38" s="39">
        <v>1.163</v>
      </c>
      <c r="G38" s="38">
        <v>43.2</v>
      </c>
      <c r="H38" s="39">
        <v>1.512</v>
      </c>
      <c r="I38" s="47">
        <f t="shared" si="0"/>
        <v>76.430000000000007</v>
      </c>
      <c r="J38" s="39">
        <f t="shared" si="1"/>
        <v>2.6749999999999998</v>
      </c>
      <c r="K38" s="39">
        <v>19.64</v>
      </c>
      <c r="L38" s="41">
        <f t="shared" si="2"/>
        <v>96.070000000000007</v>
      </c>
    </row>
    <row r="39" spans="1:14" ht="30" x14ac:dyDescent="0.25">
      <c r="A39" s="37">
        <v>43133</v>
      </c>
      <c r="B39" s="36" t="s">
        <v>35</v>
      </c>
      <c r="C39" s="21"/>
      <c r="D39" s="20"/>
      <c r="E39" s="40">
        <v>39.270000000000003</v>
      </c>
      <c r="F39" s="39">
        <v>1.375</v>
      </c>
      <c r="G39" s="38">
        <v>54</v>
      </c>
      <c r="H39" s="39">
        <v>1.08</v>
      </c>
      <c r="I39" s="47">
        <f t="shared" ref="I39:I70" si="3">G39+E39</f>
        <v>93.27000000000001</v>
      </c>
      <c r="J39" s="39">
        <f t="shared" ref="J39:J70" si="4">H39+F39</f>
        <v>2.4550000000000001</v>
      </c>
      <c r="K39" s="39">
        <v>18</v>
      </c>
      <c r="L39" s="41">
        <f t="shared" si="2"/>
        <v>111.27000000000001</v>
      </c>
    </row>
    <row r="40" spans="1:14" ht="30" x14ac:dyDescent="0.25">
      <c r="A40" s="37">
        <v>43134</v>
      </c>
      <c r="B40" s="36" t="s">
        <v>35</v>
      </c>
      <c r="C40" s="21"/>
      <c r="D40" s="20"/>
      <c r="E40" s="40">
        <v>39.270000000000003</v>
      </c>
      <c r="F40" s="39">
        <v>1.375</v>
      </c>
      <c r="G40" s="38">
        <v>54</v>
      </c>
      <c r="H40" s="39">
        <v>1.08</v>
      </c>
      <c r="I40" s="47">
        <f t="shared" si="3"/>
        <v>93.27000000000001</v>
      </c>
      <c r="J40" s="39">
        <f t="shared" si="4"/>
        <v>2.4550000000000001</v>
      </c>
      <c r="K40" s="39">
        <v>18</v>
      </c>
      <c r="L40" s="41">
        <f t="shared" si="2"/>
        <v>111.27000000000001</v>
      </c>
    </row>
    <row r="41" spans="1:14" ht="30" x14ac:dyDescent="0.25">
      <c r="A41" s="37">
        <v>43135</v>
      </c>
      <c r="B41" s="36" t="s">
        <v>35</v>
      </c>
      <c r="C41" s="21"/>
      <c r="D41" s="20"/>
      <c r="E41" s="40">
        <v>54</v>
      </c>
      <c r="F41" s="39">
        <v>1.89</v>
      </c>
      <c r="G41" s="38">
        <v>61.71</v>
      </c>
      <c r="H41" s="39">
        <v>1.234</v>
      </c>
      <c r="I41" s="47">
        <f t="shared" si="3"/>
        <v>115.71000000000001</v>
      </c>
      <c r="J41" s="39">
        <f t="shared" si="4"/>
        <v>3.1239999999999997</v>
      </c>
      <c r="K41" s="39">
        <v>18</v>
      </c>
      <c r="L41" s="41">
        <f t="shared" si="2"/>
        <v>133.71</v>
      </c>
    </row>
    <row r="42" spans="1:14" ht="30" x14ac:dyDescent="0.25">
      <c r="A42" s="37">
        <v>43136</v>
      </c>
      <c r="B42" s="36" t="s">
        <v>35</v>
      </c>
      <c r="C42" s="21"/>
      <c r="D42" s="20"/>
      <c r="E42" s="40">
        <v>54</v>
      </c>
      <c r="F42" s="39">
        <v>1.89</v>
      </c>
      <c r="G42" s="38">
        <v>61.71</v>
      </c>
      <c r="H42" s="39">
        <v>1.234</v>
      </c>
      <c r="I42" s="47">
        <f t="shared" si="3"/>
        <v>115.71000000000001</v>
      </c>
      <c r="J42" s="39">
        <f t="shared" si="4"/>
        <v>3.1239999999999997</v>
      </c>
      <c r="K42" s="39">
        <v>18</v>
      </c>
      <c r="L42" s="41">
        <f t="shared" si="2"/>
        <v>133.71</v>
      </c>
    </row>
    <row r="43" spans="1:14" ht="30" x14ac:dyDescent="0.25">
      <c r="A43" s="37">
        <v>43137</v>
      </c>
      <c r="B43" s="36" t="s">
        <v>35</v>
      </c>
      <c r="C43" s="21"/>
      <c r="D43" s="20"/>
      <c r="E43" s="40">
        <v>54</v>
      </c>
      <c r="F43" s="39">
        <v>1.89</v>
      </c>
      <c r="G43" s="38">
        <v>61.71</v>
      </c>
      <c r="H43" s="39">
        <v>1.234</v>
      </c>
      <c r="I43" s="47">
        <f t="shared" si="3"/>
        <v>115.71000000000001</v>
      </c>
      <c r="J43" s="39">
        <f t="shared" si="4"/>
        <v>3.1239999999999997</v>
      </c>
      <c r="K43" s="39">
        <v>21.6</v>
      </c>
      <c r="L43" s="41">
        <f t="shared" si="2"/>
        <v>137.31</v>
      </c>
    </row>
    <row r="44" spans="1:14" ht="30" x14ac:dyDescent="0.25">
      <c r="A44" s="37">
        <v>43138</v>
      </c>
      <c r="B44" s="36" t="s">
        <v>35</v>
      </c>
      <c r="C44" s="21"/>
      <c r="D44" s="20"/>
      <c r="E44" s="40">
        <v>54</v>
      </c>
      <c r="F44" s="39">
        <v>1.89</v>
      </c>
      <c r="G44" s="38">
        <v>61.71</v>
      </c>
      <c r="H44" s="39">
        <v>1.234</v>
      </c>
      <c r="I44" s="47">
        <f t="shared" si="3"/>
        <v>115.71000000000001</v>
      </c>
      <c r="J44" s="39">
        <f t="shared" si="4"/>
        <v>3.1239999999999997</v>
      </c>
      <c r="K44" s="39">
        <v>21.6</v>
      </c>
      <c r="L44" s="41">
        <f t="shared" si="2"/>
        <v>137.31</v>
      </c>
    </row>
    <row r="45" spans="1:14" ht="30" x14ac:dyDescent="0.25">
      <c r="A45" s="37">
        <v>43139</v>
      </c>
      <c r="B45" s="36" t="s">
        <v>35</v>
      </c>
      <c r="C45" s="21"/>
      <c r="D45" s="20"/>
      <c r="E45" s="40">
        <v>27</v>
      </c>
      <c r="F45" s="39">
        <v>0.94499999999999995</v>
      </c>
      <c r="G45" s="38">
        <v>72</v>
      </c>
      <c r="H45" s="39">
        <v>1.44</v>
      </c>
      <c r="I45" s="47">
        <f t="shared" si="3"/>
        <v>99</v>
      </c>
      <c r="J45" s="39">
        <f t="shared" si="4"/>
        <v>2.3849999999999998</v>
      </c>
      <c r="K45" s="39">
        <v>28.8</v>
      </c>
      <c r="L45" s="41">
        <f t="shared" si="2"/>
        <v>127.8</v>
      </c>
    </row>
    <row r="46" spans="1:14" ht="30" x14ac:dyDescent="0.25">
      <c r="A46" s="37">
        <v>43140</v>
      </c>
      <c r="B46" s="36" t="s">
        <v>35</v>
      </c>
      <c r="C46" s="21"/>
      <c r="D46" s="20"/>
      <c r="E46" s="40">
        <v>27</v>
      </c>
      <c r="F46" s="39">
        <v>0.94499999999999995</v>
      </c>
      <c r="G46" s="38">
        <v>48</v>
      </c>
      <c r="H46" s="39">
        <v>0.96</v>
      </c>
      <c r="I46" s="47">
        <f t="shared" si="3"/>
        <v>75</v>
      </c>
      <c r="J46" s="39">
        <f t="shared" si="4"/>
        <v>1.9049999999999998</v>
      </c>
      <c r="K46" s="39">
        <v>28.8</v>
      </c>
      <c r="L46" s="41">
        <f t="shared" si="2"/>
        <v>103.8</v>
      </c>
    </row>
    <row r="47" spans="1:14" ht="30" x14ac:dyDescent="0.25">
      <c r="A47" s="37">
        <v>43141</v>
      </c>
      <c r="B47" s="36" t="s">
        <v>35</v>
      </c>
      <c r="C47" s="21"/>
      <c r="D47" s="20"/>
      <c r="E47" s="40">
        <v>27</v>
      </c>
      <c r="F47" s="39">
        <v>0.94499999999999995</v>
      </c>
      <c r="G47" s="38">
        <v>48</v>
      </c>
      <c r="H47" s="39">
        <v>0.96</v>
      </c>
      <c r="I47" s="47">
        <f t="shared" si="3"/>
        <v>75</v>
      </c>
      <c r="J47" s="39">
        <f t="shared" si="4"/>
        <v>1.9049999999999998</v>
      </c>
      <c r="K47" s="39">
        <v>28.8</v>
      </c>
      <c r="L47" s="41">
        <f t="shared" si="2"/>
        <v>103.8</v>
      </c>
    </row>
    <row r="48" spans="1:14" ht="30" x14ac:dyDescent="0.25">
      <c r="A48" s="37">
        <v>43142</v>
      </c>
      <c r="B48" s="36" t="s">
        <v>35</v>
      </c>
      <c r="C48" s="21"/>
      <c r="D48" s="20"/>
      <c r="E48" s="40">
        <v>27</v>
      </c>
      <c r="F48" s="39">
        <v>0.94499999999999995</v>
      </c>
      <c r="G48" s="38">
        <v>48</v>
      </c>
      <c r="H48" s="39">
        <v>0.96</v>
      </c>
      <c r="I48" s="47">
        <f t="shared" si="3"/>
        <v>75</v>
      </c>
      <c r="J48" s="39">
        <f t="shared" si="4"/>
        <v>1.9049999999999998</v>
      </c>
      <c r="K48" s="39">
        <v>28.8</v>
      </c>
      <c r="L48" s="41">
        <f t="shared" si="2"/>
        <v>103.8</v>
      </c>
    </row>
    <row r="49" spans="1:12" ht="30" x14ac:dyDescent="0.25">
      <c r="A49" s="37">
        <v>43143</v>
      </c>
      <c r="B49" s="36" t="s">
        <v>35</v>
      </c>
      <c r="C49" s="21"/>
      <c r="D49" s="20"/>
      <c r="E49" s="40">
        <v>27</v>
      </c>
      <c r="F49" s="39">
        <v>0.94499999999999995</v>
      </c>
      <c r="G49" s="38">
        <v>48</v>
      </c>
      <c r="H49" s="39">
        <v>0.96</v>
      </c>
      <c r="I49" s="47">
        <f t="shared" si="3"/>
        <v>75</v>
      </c>
      <c r="J49" s="39">
        <f t="shared" si="4"/>
        <v>1.9049999999999998</v>
      </c>
      <c r="K49" s="39">
        <v>22.74</v>
      </c>
      <c r="L49" s="41">
        <f t="shared" si="2"/>
        <v>97.74</v>
      </c>
    </row>
    <row r="50" spans="1:12" ht="30" x14ac:dyDescent="0.25">
      <c r="A50" s="2">
        <v>43144</v>
      </c>
      <c r="B50" s="36" t="s">
        <v>35</v>
      </c>
      <c r="C50" s="21"/>
      <c r="D50" s="20"/>
      <c r="E50" s="10">
        <v>27</v>
      </c>
      <c r="F50" s="1">
        <v>0.94499999999999995</v>
      </c>
      <c r="G50" s="33">
        <v>48</v>
      </c>
      <c r="H50" s="1">
        <v>0.96</v>
      </c>
      <c r="I50" s="30">
        <f t="shared" si="3"/>
        <v>75</v>
      </c>
      <c r="J50" s="20">
        <f t="shared" si="4"/>
        <v>1.9049999999999998</v>
      </c>
      <c r="K50" s="1">
        <v>22.74</v>
      </c>
      <c r="L50" s="23">
        <f t="shared" si="2"/>
        <v>97.74</v>
      </c>
    </row>
    <row r="51" spans="1:12" ht="30" x14ac:dyDescent="0.25">
      <c r="A51" s="2">
        <v>43145</v>
      </c>
      <c r="B51" s="36" t="s">
        <v>35</v>
      </c>
      <c r="C51" s="21"/>
      <c r="D51" s="20"/>
      <c r="E51" s="10">
        <v>28.8</v>
      </c>
      <c r="F51" s="1">
        <v>1.008</v>
      </c>
      <c r="G51" s="33">
        <v>48</v>
      </c>
      <c r="H51" s="1">
        <v>0.96</v>
      </c>
      <c r="I51" s="30">
        <f t="shared" si="3"/>
        <v>76.8</v>
      </c>
      <c r="J51" s="20">
        <f t="shared" si="4"/>
        <v>1.968</v>
      </c>
      <c r="K51" s="1">
        <v>20.5</v>
      </c>
      <c r="L51" s="23">
        <f t="shared" si="2"/>
        <v>97.3</v>
      </c>
    </row>
    <row r="52" spans="1:12" ht="30" x14ac:dyDescent="0.25">
      <c r="A52" s="2">
        <v>43146</v>
      </c>
      <c r="B52" s="36" t="s">
        <v>35</v>
      </c>
      <c r="C52" s="21"/>
      <c r="D52" s="20"/>
      <c r="E52" s="30">
        <v>28.8</v>
      </c>
      <c r="F52" s="30">
        <v>1.008</v>
      </c>
      <c r="G52" s="33">
        <v>48</v>
      </c>
      <c r="H52" s="30">
        <v>0.96</v>
      </c>
      <c r="I52" s="30">
        <f t="shared" si="3"/>
        <v>76.8</v>
      </c>
      <c r="J52" s="20">
        <f t="shared" si="4"/>
        <v>1.968</v>
      </c>
      <c r="K52" s="1">
        <v>20.5</v>
      </c>
      <c r="L52" s="23">
        <f t="shared" si="2"/>
        <v>97.3</v>
      </c>
    </row>
    <row r="53" spans="1:12" ht="30" x14ac:dyDescent="0.25">
      <c r="A53" s="2">
        <v>43147</v>
      </c>
      <c r="B53" s="36" t="s">
        <v>36</v>
      </c>
      <c r="C53" s="21"/>
      <c r="D53" s="20"/>
      <c r="E53" s="10">
        <v>33.229999999999997</v>
      </c>
      <c r="F53" s="1">
        <v>0.83099999999999996</v>
      </c>
      <c r="G53" s="33">
        <v>43.2</v>
      </c>
      <c r="H53" s="1">
        <v>0.86399999999999999</v>
      </c>
      <c r="I53" s="30">
        <f t="shared" si="3"/>
        <v>76.430000000000007</v>
      </c>
      <c r="J53" s="20">
        <f t="shared" si="4"/>
        <v>1.6949999999999998</v>
      </c>
      <c r="K53" s="1">
        <v>20.5</v>
      </c>
      <c r="L53" s="23">
        <f t="shared" si="2"/>
        <v>96.93</v>
      </c>
    </row>
    <row r="54" spans="1:12" ht="30" x14ac:dyDescent="0.25">
      <c r="A54" s="2">
        <v>43148</v>
      </c>
      <c r="B54" s="36" t="s">
        <v>36</v>
      </c>
      <c r="C54" s="21"/>
      <c r="D54" s="20"/>
      <c r="E54" s="10">
        <v>33.229999999999997</v>
      </c>
      <c r="F54" s="1">
        <v>0.83099999999999996</v>
      </c>
      <c r="G54" s="33">
        <v>43.2</v>
      </c>
      <c r="H54" s="1">
        <v>0.86399999999999999</v>
      </c>
      <c r="I54" s="30">
        <f t="shared" si="3"/>
        <v>76.430000000000007</v>
      </c>
      <c r="J54" s="20">
        <f t="shared" si="4"/>
        <v>1.6949999999999998</v>
      </c>
      <c r="K54" s="1">
        <v>19.64</v>
      </c>
      <c r="L54" s="23">
        <f t="shared" si="2"/>
        <v>96.070000000000007</v>
      </c>
    </row>
    <row r="55" spans="1:12" ht="30" x14ac:dyDescent="0.25">
      <c r="A55" s="2">
        <v>43149</v>
      </c>
      <c r="B55" s="36" t="s">
        <v>36</v>
      </c>
      <c r="C55" s="21"/>
      <c r="D55" s="20"/>
      <c r="E55" s="10">
        <v>33.229999999999997</v>
      </c>
      <c r="F55" s="1">
        <v>0.83099999999999996</v>
      </c>
      <c r="G55" s="33">
        <v>43.2</v>
      </c>
      <c r="H55" s="1">
        <v>0.86399999999999999</v>
      </c>
      <c r="I55" s="30">
        <f t="shared" si="3"/>
        <v>76.430000000000007</v>
      </c>
      <c r="J55" s="20">
        <f t="shared" si="4"/>
        <v>1.6949999999999998</v>
      </c>
      <c r="K55" s="1">
        <v>19.64</v>
      </c>
      <c r="L55" s="23">
        <f t="shared" si="2"/>
        <v>96.070000000000007</v>
      </c>
    </row>
    <row r="56" spans="1:12" ht="30" x14ac:dyDescent="0.25">
      <c r="A56" s="2">
        <v>43150</v>
      </c>
      <c r="B56" s="36" t="s">
        <v>36</v>
      </c>
      <c r="C56" s="21"/>
      <c r="D56" s="20"/>
      <c r="E56" s="10">
        <v>54</v>
      </c>
      <c r="F56" s="1">
        <v>1.35</v>
      </c>
      <c r="G56" s="33">
        <v>61.71</v>
      </c>
      <c r="H56" s="1">
        <v>1.44</v>
      </c>
      <c r="I56" s="30">
        <f t="shared" si="3"/>
        <v>115.71000000000001</v>
      </c>
      <c r="J56" s="20">
        <f t="shared" si="4"/>
        <v>2.79</v>
      </c>
      <c r="K56" s="1">
        <v>28.8</v>
      </c>
      <c r="L56" s="23">
        <f t="shared" si="2"/>
        <v>144.51000000000002</v>
      </c>
    </row>
    <row r="57" spans="1:12" ht="30" x14ac:dyDescent="0.25">
      <c r="A57" s="2">
        <v>43151</v>
      </c>
      <c r="B57" s="36" t="s">
        <v>36</v>
      </c>
      <c r="C57" s="21"/>
      <c r="D57" s="20"/>
      <c r="E57" s="10">
        <v>54</v>
      </c>
      <c r="F57" s="1">
        <v>1.35</v>
      </c>
      <c r="G57" s="33">
        <v>54</v>
      </c>
      <c r="H57" s="1">
        <v>1.08</v>
      </c>
      <c r="I57" s="30">
        <f t="shared" si="3"/>
        <v>108</v>
      </c>
      <c r="J57" s="20">
        <f t="shared" si="4"/>
        <v>2.4300000000000002</v>
      </c>
      <c r="K57" s="1">
        <v>28.8</v>
      </c>
      <c r="L57" s="23">
        <f t="shared" si="2"/>
        <v>136.80000000000001</v>
      </c>
    </row>
    <row r="58" spans="1:12" ht="30" x14ac:dyDescent="0.25">
      <c r="A58" s="2">
        <v>43152</v>
      </c>
      <c r="B58" s="36" t="s">
        <v>36</v>
      </c>
      <c r="C58" s="21"/>
      <c r="D58" s="20"/>
      <c r="E58" s="10">
        <v>108</v>
      </c>
      <c r="F58" s="1">
        <v>2.7</v>
      </c>
      <c r="G58" s="33">
        <v>54</v>
      </c>
      <c r="H58" s="1">
        <v>1.08</v>
      </c>
      <c r="I58" s="30">
        <f t="shared" si="3"/>
        <v>162</v>
      </c>
      <c r="J58" s="20">
        <f t="shared" si="4"/>
        <v>3.7800000000000002</v>
      </c>
      <c r="K58" s="1">
        <v>28.8</v>
      </c>
      <c r="L58" s="23">
        <f t="shared" si="2"/>
        <v>190.8</v>
      </c>
    </row>
    <row r="59" spans="1:12" ht="30" x14ac:dyDescent="0.25">
      <c r="A59" s="2">
        <v>43153</v>
      </c>
      <c r="B59" s="36" t="s">
        <v>36</v>
      </c>
      <c r="C59" s="21"/>
      <c r="D59" s="20"/>
      <c r="E59" s="10">
        <v>108</v>
      </c>
      <c r="F59" s="1">
        <v>2.7</v>
      </c>
      <c r="G59" s="33">
        <v>54</v>
      </c>
      <c r="H59" s="1">
        <v>1.08</v>
      </c>
      <c r="I59" s="30">
        <f t="shared" si="3"/>
        <v>162</v>
      </c>
      <c r="J59" s="20">
        <f t="shared" si="4"/>
        <v>3.7800000000000002</v>
      </c>
      <c r="K59" s="1">
        <v>28.8</v>
      </c>
      <c r="L59" s="23">
        <f t="shared" si="2"/>
        <v>190.8</v>
      </c>
    </row>
    <row r="60" spans="1:12" ht="30" x14ac:dyDescent="0.25">
      <c r="A60" s="2">
        <v>43154</v>
      </c>
      <c r="B60" s="36" t="s">
        <v>36</v>
      </c>
      <c r="C60" s="21"/>
      <c r="D60" s="20"/>
      <c r="E60" s="10">
        <v>54</v>
      </c>
      <c r="F60" s="1">
        <v>1.35</v>
      </c>
      <c r="G60" s="33">
        <v>48</v>
      </c>
      <c r="H60" s="1">
        <v>0.96</v>
      </c>
      <c r="I60" s="30">
        <f t="shared" si="3"/>
        <v>102</v>
      </c>
      <c r="J60" s="20">
        <f t="shared" si="4"/>
        <v>2.31</v>
      </c>
      <c r="K60" s="1">
        <v>25.41</v>
      </c>
      <c r="L60" s="23">
        <f t="shared" si="2"/>
        <v>127.41</v>
      </c>
    </row>
    <row r="61" spans="1:12" ht="30" x14ac:dyDescent="0.25">
      <c r="A61" s="2">
        <v>43155</v>
      </c>
      <c r="B61" s="36" t="s">
        <v>36</v>
      </c>
      <c r="C61" s="21"/>
      <c r="D61" s="20"/>
      <c r="E61" s="21">
        <v>54</v>
      </c>
      <c r="F61" s="1">
        <v>1.35</v>
      </c>
      <c r="G61" s="33">
        <v>39.270000000000003</v>
      </c>
      <c r="H61" s="10">
        <v>0.78500000000000003</v>
      </c>
      <c r="I61" s="30">
        <f t="shared" si="3"/>
        <v>93.27000000000001</v>
      </c>
      <c r="J61" s="20">
        <f t="shared" si="4"/>
        <v>2.1350000000000002</v>
      </c>
      <c r="K61" s="1">
        <v>25.41</v>
      </c>
      <c r="L61" s="23">
        <f t="shared" si="2"/>
        <v>118.68</v>
      </c>
    </row>
    <row r="62" spans="1:12" ht="30" x14ac:dyDescent="0.25">
      <c r="A62" s="2">
        <v>43156</v>
      </c>
      <c r="B62" s="36" t="s">
        <v>36</v>
      </c>
      <c r="C62" s="21"/>
      <c r="D62" s="20"/>
      <c r="E62" s="21">
        <v>54</v>
      </c>
      <c r="F62" s="20">
        <v>1.35</v>
      </c>
      <c r="G62" s="33">
        <v>39.270000000000003</v>
      </c>
      <c r="H62" s="10">
        <v>0.78500000000000003</v>
      </c>
      <c r="I62" s="30">
        <f t="shared" si="3"/>
        <v>93.27000000000001</v>
      </c>
      <c r="J62" s="20">
        <f t="shared" si="4"/>
        <v>2.1350000000000002</v>
      </c>
      <c r="K62" s="1">
        <v>25.41</v>
      </c>
      <c r="L62" s="23">
        <f t="shared" si="2"/>
        <v>118.68</v>
      </c>
    </row>
    <row r="63" spans="1:12" ht="30" x14ac:dyDescent="0.25">
      <c r="A63" s="2">
        <v>43157</v>
      </c>
      <c r="B63" s="36" t="s">
        <v>36</v>
      </c>
      <c r="C63" s="21"/>
      <c r="D63" s="20"/>
      <c r="E63" s="21">
        <v>54</v>
      </c>
      <c r="F63" s="20">
        <v>1.35</v>
      </c>
      <c r="G63" s="33">
        <v>39.270000000000003</v>
      </c>
      <c r="H63" s="10">
        <v>0.78500000000000003</v>
      </c>
      <c r="I63" s="30">
        <f t="shared" si="3"/>
        <v>93.27000000000001</v>
      </c>
      <c r="J63" s="20">
        <f t="shared" si="4"/>
        <v>2.1350000000000002</v>
      </c>
      <c r="K63" s="1">
        <v>21.6</v>
      </c>
      <c r="L63" s="23">
        <f t="shared" si="2"/>
        <v>114.87</v>
      </c>
    </row>
    <row r="64" spans="1:12" ht="30" x14ac:dyDescent="0.25">
      <c r="A64" s="2">
        <v>43158</v>
      </c>
      <c r="B64" s="36" t="s">
        <v>36</v>
      </c>
      <c r="C64" s="21"/>
      <c r="D64" s="20"/>
      <c r="E64" s="21">
        <v>54</v>
      </c>
      <c r="F64" s="20">
        <v>1.35</v>
      </c>
      <c r="G64" s="33">
        <v>39.270000000000003</v>
      </c>
      <c r="H64" s="10">
        <v>0.78500000000000003</v>
      </c>
      <c r="I64" s="30">
        <f t="shared" si="3"/>
        <v>93.27000000000001</v>
      </c>
      <c r="J64" s="20">
        <f t="shared" si="4"/>
        <v>2.1350000000000002</v>
      </c>
      <c r="K64" s="1">
        <v>21.6</v>
      </c>
      <c r="L64" s="23">
        <f t="shared" si="2"/>
        <v>114.87</v>
      </c>
    </row>
    <row r="65" spans="1:19" s="27" customFormat="1" ht="30" x14ac:dyDescent="0.25">
      <c r="A65" s="2">
        <v>43159</v>
      </c>
      <c r="B65" s="42" t="s">
        <v>36</v>
      </c>
      <c r="C65" s="24"/>
      <c r="D65" s="24"/>
      <c r="E65" s="24">
        <v>54</v>
      </c>
      <c r="F65" s="24">
        <v>1.35</v>
      </c>
      <c r="G65" s="33">
        <v>48.6</v>
      </c>
      <c r="H65" s="24">
        <v>0.96</v>
      </c>
      <c r="I65" s="30">
        <f t="shared" si="3"/>
        <v>102.6</v>
      </c>
      <c r="J65" s="24">
        <f t="shared" si="4"/>
        <v>2.31</v>
      </c>
      <c r="K65" s="24">
        <v>20.57</v>
      </c>
      <c r="L65" s="34">
        <f t="shared" si="2"/>
        <v>123.16999999999999</v>
      </c>
      <c r="M65" s="25" t="s">
        <v>21</v>
      </c>
      <c r="N65" s="26">
        <f>SUM(L38:L65)</f>
        <v>3359.5899999999997</v>
      </c>
    </row>
    <row r="66" spans="1:19" s="17" customFormat="1" ht="30" x14ac:dyDescent="0.25">
      <c r="A66" s="2">
        <v>43160</v>
      </c>
      <c r="B66" s="36" t="s">
        <v>36</v>
      </c>
      <c r="C66" s="30"/>
      <c r="D66" s="30"/>
      <c r="E66" s="30">
        <v>54</v>
      </c>
      <c r="F66" s="30">
        <v>1.35</v>
      </c>
      <c r="G66" s="44">
        <v>48.6</v>
      </c>
      <c r="H66" s="44">
        <v>0.96</v>
      </c>
      <c r="I66" s="30">
        <f t="shared" si="3"/>
        <v>102.6</v>
      </c>
      <c r="J66" s="20">
        <f t="shared" si="4"/>
        <v>2.31</v>
      </c>
      <c r="K66" s="30">
        <v>20.57</v>
      </c>
      <c r="L66" s="23">
        <f t="shared" si="2"/>
        <v>123.16999999999999</v>
      </c>
      <c r="M66" s="31"/>
      <c r="N66" s="31"/>
      <c r="O66" s="31"/>
      <c r="P66" s="31"/>
      <c r="Q66" s="31"/>
      <c r="R66" s="31"/>
      <c r="S66" s="31"/>
    </row>
    <row r="67" spans="1:19" ht="30" x14ac:dyDescent="0.25">
      <c r="A67" s="2">
        <v>43161</v>
      </c>
      <c r="B67" s="36" t="s">
        <v>36</v>
      </c>
      <c r="C67" s="21"/>
      <c r="D67" s="20"/>
      <c r="E67" s="30">
        <v>54</v>
      </c>
      <c r="F67" s="30">
        <v>1.35</v>
      </c>
      <c r="G67" s="10">
        <v>48</v>
      </c>
      <c r="H67" s="1">
        <v>0.96</v>
      </c>
      <c r="I67" s="30">
        <f t="shared" si="3"/>
        <v>102</v>
      </c>
      <c r="J67" s="20">
        <f t="shared" si="4"/>
        <v>2.31</v>
      </c>
      <c r="K67" s="1">
        <v>21.6</v>
      </c>
      <c r="L67" s="23">
        <f t="shared" si="2"/>
        <v>123.6</v>
      </c>
    </row>
    <row r="68" spans="1:19" ht="30" x14ac:dyDescent="0.25">
      <c r="A68" s="2">
        <v>43162</v>
      </c>
      <c r="B68" s="36" t="s">
        <v>36</v>
      </c>
      <c r="C68" s="21"/>
      <c r="D68" s="20"/>
      <c r="E68" s="30">
        <v>54</v>
      </c>
      <c r="F68" s="30">
        <v>1.35</v>
      </c>
      <c r="G68" s="10">
        <v>48</v>
      </c>
      <c r="H68" s="1">
        <v>0.96</v>
      </c>
      <c r="I68" s="30">
        <f t="shared" si="3"/>
        <v>102</v>
      </c>
      <c r="J68" s="20">
        <f t="shared" si="4"/>
        <v>2.31</v>
      </c>
      <c r="K68" s="1">
        <v>21.6</v>
      </c>
      <c r="L68" s="23">
        <f t="shared" si="2"/>
        <v>123.6</v>
      </c>
    </row>
    <row r="69" spans="1:19" ht="30" x14ac:dyDescent="0.25">
      <c r="A69" s="2">
        <v>43163</v>
      </c>
      <c r="B69" s="36" t="s">
        <v>36</v>
      </c>
      <c r="C69" s="21"/>
      <c r="D69" s="20"/>
      <c r="E69" s="30">
        <v>54</v>
      </c>
      <c r="F69" s="30">
        <v>1.35</v>
      </c>
      <c r="G69" s="10">
        <v>43.2</v>
      </c>
      <c r="H69" s="1">
        <v>0.86399999999999999</v>
      </c>
      <c r="I69" s="30">
        <f t="shared" si="3"/>
        <v>97.2</v>
      </c>
      <c r="J69" s="20">
        <f t="shared" si="4"/>
        <v>2.214</v>
      </c>
      <c r="K69" s="1">
        <v>21.6</v>
      </c>
      <c r="L69" s="23">
        <f t="shared" si="2"/>
        <v>118.80000000000001</v>
      </c>
    </row>
    <row r="70" spans="1:19" ht="30" x14ac:dyDescent="0.25">
      <c r="A70" s="2">
        <v>43164</v>
      </c>
      <c r="B70" s="36" t="s">
        <v>36</v>
      </c>
      <c r="C70" s="21"/>
      <c r="D70" s="20"/>
      <c r="E70" s="30">
        <v>54</v>
      </c>
      <c r="F70" s="30">
        <v>1.35</v>
      </c>
      <c r="G70" s="21">
        <v>43.2</v>
      </c>
      <c r="H70" s="20">
        <v>0.86399999999999999</v>
      </c>
      <c r="I70" s="30">
        <f t="shared" si="3"/>
        <v>97.2</v>
      </c>
      <c r="J70" s="20">
        <f t="shared" si="4"/>
        <v>2.214</v>
      </c>
      <c r="K70" s="1">
        <v>19.64</v>
      </c>
      <c r="L70" s="23">
        <f t="shared" si="2"/>
        <v>116.84</v>
      </c>
    </row>
    <row r="71" spans="1:19" ht="30" x14ac:dyDescent="0.25">
      <c r="A71" s="2">
        <v>43165</v>
      </c>
      <c r="B71" s="36" t="s">
        <v>36</v>
      </c>
      <c r="C71" s="21"/>
      <c r="D71" s="20"/>
      <c r="E71" s="30">
        <v>54</v>
      </c>
      <c r="F71" s="30">
        <v>1.35</v>
      </c>
      <c r="G71" s="21">
        <v>43.2</v>
      </c>
      <c r="H71" s="20">
        <v>0.86399999999999999</v>
      </c>
      <c r="I71" s="30">
        <f t="shared" ref="I71:I96" si="5">G71+E71</f>
        <v>97.2</v>
      </c>
      <c r="J71" s="20">
        <f t="shared" ref="J71:J96" si="6">H71+F71</f>
        <v>2.214</v>
      </c>
      <c r="K71" s="20">
        <v>19.64</v>
      </c>
      <c r="L71" s="23">
        <f t="shared" si="2"/>
        <v>116.84</v>
      </c>
    </row>
    <row r="72" spans="1:19" ht="30" x14ac:dyDescent="0.25">
      <c r="A72" s="2">
        <v>43166</v>
      </c>
      <c r="B72" s="36" t="s">
        <v>36</v>
      </c>
      <c r="C72" s="21"/>
      <c r="D72" s="20"/>
      <c r="E72" s="30">
        <v>54</v>
      </c>
      <c r="F72" s="30">
        <v>1.35</v>
      </c>
      <c r="G72" s="21">
        <v>43.2</v>
      </c>
      <c r="H72" s="20">
        <v>0.86399999999999999</v>
      </c>
      <c r="I72" s="30">
        <f t="shared" si="5"/>
        <v>97.2</v>
      </c>
      <c r="J72" s="20">
        <f t="shared" si="6"/>
        <v>2.214</v>
      </c>
      <c r="K72" s="20">
        <v>19.64</v>
      </c>
      <c r="L72" s="23">
        <f t="shared" ref="L72:L135" si="7">I72+K72</f>
        <v>116.84</v>
      </c>
    </row>
    <row r="73" spans="1:19" ht="30" x14ac:dyDescent="0.25">
      <c r="A73" s="2">
        <v>43167</v>
      </c>
      <c r="B73" s="36" t="s">
        <v>36</v>
      </c>
      <c r="C73" s="21"/>
      <c r="D73" s="20"/>
      <c r="E73" s="30">
        <v>54</v>
      </c>
      <c r="F73" s="30">
        <v>1.35</v>
      </c>
      <c r="G73" s="21">
        <v>43.2</v>
      </c>
      <c r="H73" s="20">
        <v>0.86399999999999999</v>
      </c>
      <c r="I73" s="30">
        <f t="shared" si="5"/>
        <v>97.2</v>
      </c>
      <c r="J73" s="20">
        <f t="shared" si="6"/>
        <v>2.214</v>
      </c>
      <c r="K73" s="20">
        <v>19.64</v>
      </c>
      <c r="L73" s="23">
        <f t="shared" si="7"/>
        <v>116.84</v>
      </c>
    </row>
    <row r="74" spans="1:19" ht="30" x14ac:dyDescent="0.25">
      <c r="A74" s="2">
        <v>43168</v>
      </c>
      <c r="B74" s="36" t="s">
        <v>36</v>
      </c>
      <c r="C74" s="21"/>
      <c r="D74" s="20"/>
      <c r="E74" s="30">
        <v>54</v>
      </c>
      <c r="F74" s="30">
        <v>1.35</v>
      </c>
      <c r="G74" s="21">
        <v>43.2</v>
      </c>
      <c r="H74" s="20">
        <v>0.86399999999999999</v>
      </c>
      <c r="I74" s="30">
        <f t="shared" si="5"/>
        <v>97.2</v>
      </c>
      <c r="J74" s="20">
        <f t="shared" si="6"/>
        <v>2.214</v>
      </c>
      <c r="K74" s="20">
        <v>19.64</v>
      </c>
      <c r="L74" s="23">
        <f t="shared" si="7"/>
        <v>116.84</v>
      </c>
    </row>
    <row r="75" spans="1:19" ht="30" x14ac:dyDescent="0.25">
      <c r="A75" s="2">
        <v>43169</v>
      </c>
      <c r="B75" s="36" t="s">
        <v>36</v>
      </c>
      <c r="C75" s="21"/>
      <c r="D75" s="20"/>
      <c r="E75" s="30">
        <v>54</v>
      </c>
      <c r="F75" s="30">
        <v>1.35</v>
      </c>
      <c r="G75" s="21">
        <v>43.2</v>
      </c>
      <c r="H75" s="20">
        <v>0.86399999999999999</v>
      </c>
      <c r="I75" s="30">
        <f t="shared" si="5"/>
        <v>97.2</v>
      </c>
      <c r="J75" s="20">
        <f t="shared" si="6"/>
        <v>2.214</v>
      </c>
      <c r="K75" s="1">
        <v>18</v>
      </c>
      <c r="L75" s="23">
        <f t="shared" si="7"/>
        <v>115.2</v>
      </c>
    </row>
    <row r="76" spans="1:19" ht="30" x14ac:dyDescent="0.25">
      <c r="A76" s="2">
        <v>43170</v>
      </c>
      <c r="B76" s="36" t="s">
        <v>36</v>
      </c>
      <c r="C76" s="21"/>
      <c r="D76" s="20"/>
      <c r="E76" s="30">
        <v>54</v>
      </c>
      <c r="F76" s="30">
        <v>1.35</v>
      </c>
      <c r="G76" s="10">
        <v>36</v>
      </c>
      <c r="H76" s="1">
        <v>0.72</v>
      </c>
      <c r="I76" s="30">
        <f t="shared" si="5"/>
        <v>90</v>
      </c>
      <c r="J76" s="20">
        <f t="shared" si="6"/>
        <v>2.0700000000000003</v>
      </c>
      <c r="K76" s="20">
        <v>18</v>
      </c>
      <c r="L76" s="23">
        <f t="shared" si="7"/>
        <v>108</v>
      </c>
    </row>
    <row r="77" spans="1:19" ht="30" x14ac:dyDescent="0.25">
      <c r="A77" s="2">
        <v>43171</v>
      </c>
      <c r="B77" s="36" t="s">
        <v>36</v>
      </c>
      <c r="C77" s="21"/>
      <c r="D77" s="20"/>
      <c r="E77" s="30">
        <v>54</v>
      </c>
      <c r="F77" s="30">
        <v>1.35</v>
      </c>
      <c r="G77" s="21">
        <v>36</v>
      </c>
      <c r="H77" s="20">
        <v>0.72</v>
      </c>
      <c r="I77" s="30">
        <f t="shared" si="5"/>
        <v>90</v>
      </c>
      <c r="J77" s="20">
        <f t="shared" si="6"/>
        <v>2.0700000000000003</v>
      </c>
      <c r="K77" s="20">
        <v>18</v>
      </c>
      <c r="L77" s="23">
        <f t="shared" si="7"/>
        <v>108</v>
      </c>
    </row>
    <row r="78" spans="1:19" ht="30" x14ac:dyDescent="0.25">
      <c r="A78" s="2">
        <v>43172</v>
      </c>
      <c r="B78" s="36" t="s">
        <v>36</v>
      </c>
      <c r="C78" s="21"/>
      <c r="D78" s="20"/>
      <c r="E78" s="21">
        <v>43.2</v>
      </c>
      <c r="F78" s="20">
        <v>1.08</v>
      </c>
      <c r="G78" s="21">
        <v>36</v>
      </c>
      <c r="H78" s="20">
        <v>0.72</v>
      </c>
      <c r="I78" s="30">
        <f t="shared" si="5"/>
        <v>79.2</v>
      </c>
      <c r="J78" s="20">
        <f t="shared" si="6"/>
        <v>1.8</v>
      </c>
      <c r="K78" s="20">
        <v>18</v>
      </c>
      <c r="L78" s="23">
        <f t="shared" si="7"/>
        <v>97.2</v>
      </c>
    </row>
    <row r="79" spans="1:19" ht="30" x14ac:dyDescent="0.25">
      <c r="A79" s="2">
        <v>43173</v>
      </c>
      <c r="B79" s="36" t="s">
        <v>36</v>
      </c>
      <c r="C79" s="21"/>
      <c r="D79" s="20"/>
      <c r="E79" s="21">
        <v>43.2</v>
      </c>
      <c r="F79" s="20">
        <v>1.08</v>
      </c>
      <c r="G79" s="21">
        <v>36</v>
      </c>
      <c r="H79" s="20">
        <v>0.72</v>
      </c>
      <c r="I79" s="30">
        <f t="shared" si="5"/>
        <v>79.2</v>
      </c>
      <c r="J79" s="20">
        <f t="shared" si="6"/>
        <v>1.8</v>
      </c>
      <c r="K79" s="20">
        <v>18</v>
      </c>
      <c r="L79" s="23">
        <f t="shared" si="7"/>
        <v>97.2</v>
      </c>
    </row>
    <row r="80" spans="1:19" ht="30" x14ac:dyDescent="0.25">
      <c r="A80" s="2">
        <v>43174</v>
      </c>
      <c r="B80" s="36" t="s">
        <v>36</v>
      </c>
      <c r="C80" s="21"/>
      <c r="D80" s="20"/>
      <c r="E80" s="21">
        <v>43.2</v>
      </c>
      <c r="F80" s="20">
        <v>1.08</v>
      </c>
      <c r="G80" s="21">
        <v>36</v>
      </c>
      <c r="H80" s="20">
        <v>0.72</v>
      </c>
      <c r="I80" s="30">
        <f t="shared" si="5"/>
        <v>79.2</v>
      </c>
      <c r="J80" s="20">
        <f t="shared" si="6"/>
        <v>1.8</v>
      </c>
      <c r="K80" s="20">
        <v>18</v>
      </c>
      <c r="L80" s="23">
        <f t="shared" si="7"/>
        <v>97.2</v>
      </c>
    </row>
    <row r="81" spans="1:17" ht="30" x14ac:dyDescent="0.25">
      <c r="A81" s="2">
        <v>43175</v>
      </c>
      <c r="B81" s="36" t="s">
        <v>36</v>
      </c>
      <c r="C81" s="21"/>
      <c r="D81" s="20"/>
      <c r="E81" s="21">
        <v>43.2</v>
      </c>
      <c r="F81" s="20">
        <v>1.08</v>
      </c>
      <c r="G81" s="21">
        <v>36</v>
      </c>
      <c r="H81" s="20">
        <v>0.72</v>
      </c>
      <c r="I81" s="30">
        <f t="shared" si="5"/>
        <v>79.2</v>
      </c>
      <c r="J81" s="20">
        <f t="shared" si="6"/>
        <v>1.8</v>
      </c>
      <c r="K81" s="20">
        <v>18</v>
      </c>
      <c r="L81" s="23">
        <f t="shared" si="7"/>
        <v>97.2</v>
      </c>
    </row>
    <row r="82" spans="1:17" ht="30" x14ac:dyDescent="0.25">
      <c r="A82" s="2">
        <v>43176</v>
      </c>
      <c r="B82" s="36" t="s">
        <v>36</v>
      </c>
      <c r="C82" s="21"/>
      <c r="D82" s="20"/>
      <c r="E82" s="21">
        <v>43.2</v>
      </c>
      <c r="F82" s="20">
        <v>1.08</v>
      </c>
      <c r="G82" s="21">
        <v>43.2</v>
      </c>
      <c r="H82" s="20">
        <v>0.86399999999999999</v>
      </c>
      <c r="I82" s="30">
        <f t="shared" si="5"/>
        <v>86.4</v>
      </c>
      <c r="J82" s="20">
        <f t="shared" si="6"/>
        <v>1.944</v>
      </c>
      <c r="K82" s="20">
        <v>18</v>
      </c>
      <c r="L82" s="23">
        <f t="shared" si="7"/>
        <v>104.4</v>
      </c>
    </row>
    <row r="83" spans="1:17" ht="30" x14ac:dyDescent="0.25">
      <c r="A83" s="2">
        <v>43177</v>
      </c>
      <c r="B83" s="36" t="s">
        <v>36</v>
      </c>
      <c r="C83" s="21"/>
      <c r="D83" s="20"/>
      <c r="E83" s="21">
        <v>54</v>
      </c>
      <c r="F83" s="20">
        <v>1.35</v>
      </c>
      <c r="G83" s="21">
        <v>86.4</v>
      </c>
      <c r="H83" s="20">
        <v>1.728</v>
      </c>
      <c r="I83" s="30">
        <f t="shared" si="5"/>
        <v>140.4</v>
      </c>
      <c r="J83" s="20">
        <f t="shared" si="6"/>
        <v>3.0780000000000003</v>
      </c>
      <c r="K83" s="20">
        <v>18</v>
      </c>
      <c r="L83" s="23">
        <f t="shared" si="7"/>
        <v>158.4</v>
      </c>
    </row>
    <row r="84" spans="1:17" ht="30" x14ac:dyDescent="0.25">
      <c r="A84" s="2">
        <v>43178</v>
      </c>
      <c r="B84" s="36" t="s">
        <v>36</v>
      </c>
      <c r="C84" s="21"/>
      <c r="D84" s="20"/>
      <c r="E84" s="21">
        <v>43.2</v>
      </c>
      <c r="F84" s="20">
        <v>1.08</v>
      </c>
      <c r="G84" s="21">
        <v>43.2</v>
      </c>
      <c r="H84" s="20">
        <v>0.86399999999999999</v>
      </c>
      <c r="I84" s="30">
        <f t="shared" si="5"/>
        <v>86.4</v>
      </c>
      <c r="J84" s="20">
        <f t="shared" si="6"/>
        <v>1.944</v>
      </c>
      <c r="K84" s="20">
        <v>18</v>
      </c>
      <c r="L84" s="23">
        <f t="shared" si="7"/>
        <v>104.4</v>
      </c>
    </row>
    <row r="85" spans="1:17" ht="30" x14ac:dyDescent="0.25">
      <c r="A85" s="2">
        <v>43179</v>
      </c>
      <c r="B85" s="36" t="s">
        <v>36</v>
      </c>
      <c r="C85" s="21"/>
      <c r="D85" s="20"/>
      <c r="E85" s="21">
        <v>54</v>
      </c>
      <c r="F85" s="20">
        <v>1.35</v>
      </c>
      <c r="G85" s="21">
        <v>43.2</v>
      </c>
      <c r="H85" s="20">
        <v>0.86399999999999999</v>
      </c>
      <c r="I85" s="30">
        <f t="shared" si="5"/>
        <v>97.2</v>
      </c>
      <c r="J85" s="20">
        <f t="shared" si="6"/>
        <v>2.214</v>
      </c>
      <c r="K85" s="20">
        <v>18</v>
      </c>
      <c r="L85" s="23">
        <f t="shared" si="7"/>
        <v>115.2</v>
      </c>
    </row>
    <row r="86" spans="1:17" ht="30" x14ac:dyDescent="0.25">
      <c r="A86" s="2">
        <v>43180</v>
      </c>
      <c r="B86" s="36" t="s">
        <v>36</v>
      </c>
      <c r="C86" s="21"/>
      <c r="D86" s="20"/>
      <c r="E86" s="21">
        <v>54</v>
      </c>
      <c r="F86" s="20">
        <v>1.35</v>
      </c>
      <c r="G86" s="21">
        <v>144</v>
      </c>
      <c r="H86" s="20">
        <v>2.88</v>
      </c>
      <c r="I86" s="30">
        <f t="shared" si="5"/>
        <v>198</v>
      </c>
      <c r="J86" s="20">
        <f t="shared" si="6"/>
        <v>4.2300000000000004</v>
      </c>
      <c r="K86" s="20">
        <v>17.28</v>
      </c>
      <c r="L86" s="23">
        <f t="shared" si="7"/>
        <v>215.28</v>
      </c>
    </row>
    <row r="87" spans="1:17" ht="30" x14ac:dyDescent="0.25">
      <c r="A87" s="2">
        <v>43181</v>
      </c>
      <c r="B87" s="36" t="s">
        <v>36</v>
      </c>
      <c r="C87" s="21"/>
      <c r="D87" s="20"/>
      <c r="E87" s="21">
        <v>54</v>
      </c>
      <c r="F87" s="20">
        <v>1.35</v>
      </c>
      <c r="G87" s="21">
        <v>39.270000000000003</v>
      </c>
      <c r="H87" s="20">
        <v>0.78500000000000003</v>
      </c>
      <c r="I87" s="30">
        <f t="shared" si="5"/>
        <v>93.27000000000001</v>
      </c>
      <c r="J87" s="20">
        <f t="shared" si="6"/>
        <v>2.1350000000000002</v>
      </c>
      <c r="K87" s="20">
        <v>17.28</v>
      </c>
      <c r="L87" s="23">
        <f t="shared" si="7"/>
        <v>110.55000000000001</v>
      </c>
    </row>
    <row r="88" spans="1:17" ht="30" x14ac:dyDescent="0.25">
      <c r="A88" s="2">
        <v>43182</v>
      </c>
      <c r="B88" s="36" t="s">
        <v>36</v>
      </c>
      <c r="C88" s="21"/>
      <c r="D88" s="20"/>
      <c r="E88" s="21">
        <v>86.4</v>
      </c>
      <c r="F88" s="20">
        <v>1.728</v>
      </c>
      <c r="G88" s="21">
        <v>28.8</v>
      </c>
      <c r="H88" s="20">
        <v>0.57499999999999996</v>
      </c>
      <c r="I88" s="30">
        <f t="shared" si="5"/>
        <v>115.2</v>
      </c>
      <c r="J88" s="20">
        <f t="shared" si="6"/>
        <v>2.3029999999999999</v>
      </c>
      <c r="K88" s="20">
        <v>17.28</v>
      </c>
      <c r="L88" s="23">
        <f t="shared" si="7"/>
        <v>132.48000000000002</v>
      </c>
    </row>
    <row r="89" spans="1:17" ht="30" x14ac:dyDescent="0.25">
      <c r="A89" s="2">
        <v>43183</v>
      </c>
      <c r="B89" s="36" t="s">
        <v>36</v>
      </c>
      <c r="C89" s="21"/>
      <c r="D89" s="20"/>
      <c r="E89" s="21">
        <v>54</v>
      </c>
      <c r="F89" s="20">
        <v>1.35</v>
      </c>
      <c r="G89" s="21">
        <v>43.2</v>
      </c>
      <c r="H89" s="20">
        <v>0.86399999999999999</v>
      </c>
      <c r="I89" s="30">
        <f t="shared" si="5"/>
        <v>97.2</v>
      </c>
      <c r="J89" s="20">
        <f t="shared" si="6"/>
        <v>2.214</v>
      </c>
      <c r="K89" s="20">
        <v>17.28</v>
      </c>
      <c r="L89" s="23">
        <f t="shared" si="7"/>
        <v>114.48</v>
      </c>
    </row>
    <row r="90" spans="1:17" ht="30" x14ac:dyDescent="0.25">
      <c r="A90" s="2">
        <v>43184</v>
      </c>
      <c r="B90" s="36" t="s">
        <v>36</v>
      </c>
      <c r="C90" s="21"/>
      <c r="D90" s="20"/>
      <c r="E90" s="21">
        <v>54</v>
      </c>
      <c r="F90" s="20">
        <v>1.35</v>
      </c>
      <c r="G90" s="21">
        <v>43.2</v>
      </c>
      <c r="H90" s="20">
        <v>0.86399999999999999</v>
      </c>
      <c r="I90" s="30">
        <f t="shared" si="5"/>
        <v>97.2</v>
      </c>
      <c r="J90" s="20">
        <f t="shared" si="6"/>
        <v>2.214</v>
      </c>
      <c r="K90" s="20">
        <v>17.28</v>
      </c>
      <c r="L90" s="23">
        <f t="shared" si="7"/>
        <v>114.48</v>
      </c>
    </row>
    <row r="91" spans="1:17" ht="30" x14ac:dyDescent="0.25">
      <c r="A91" s="2">
        <v>43185</v>
      </c>
      <c r="B91" s="36" t="s">
        <v>36</v>
      </c>
      <c r="C91" s="21"/>
      <c r="D91" s="20"/>
      <c r="E91" s="21">
        <v>72</v>
      </c>
      <c r="F91" s="20">
        <v>1.8</v>
      </c>
      <c r="G91" s="21">
        <v>39.270000000000003</v>
      </c>
      <c r="H91" s="20">
        <v>0.78500000000000003</v>
      </c>
      <c r="I91" s="30">
        <f t="shared" si="5"/>
        <v>111.27000000000001</v>
      </c>
      <c r="J91" s="20">
        <f t="shared" si="6"/>
        <v>2.585</v>
      </c>
      <c r="K91" s="20">
        <v>16</v>
      </c>
      <c r="L91" s="23">
        <f t="shared" si="7"/>
        <v>127.27000000000001</v>
      </c>
    </row>
    <row r="92" spans="1:17" ht="30" x14ac:dyDescent="0.25">
      <c r="A92" s="2">
        <v>43186</v>
      </c>
      <c r="B92" s="36" t="s">
        <v>36</v>
      </c>
      <c r="C92" s="21"/>
      <c r="D92" s="20"/>
      <c r="E92" s="21">
        <v>54</v>
      </c>
      <c r="F92" s="20">
        <v>1.35</v>
      </c>
      <c r="G92" s="21">
        <v>39.270000000000003</v>
      </c>
      <c r="H92" s="20">
        <v>0.78500000000000003</v>
      </c>
      <c r="I92" s="30">
        <f t="shared" si="5"/>
        <v>93.27000000000001</v>
      </c>
      <c r="J92" s="20">
        <f t="shared" si="6"/>
        <v>2.1350000000000002</v>
      </c>
      <c r="K92" s="20">
        <v>16</v>
      </c>
      <c r="L92" s="23">
        <f t="shared" si="7"/>
        <v>109.27000000000001</v>
      </c>
    </row>
    <row r="93" spans="1:17" ht="30" x14ac:dyDescent="0.25">
      <c r="A93" s="2">
        <v>43187</v>
      </c>
      <c r="B93" s="36" t="s">
        <v>36</v>
      </c>
      <c r="C93" s="21"/>
      <c r="D93" s="20"/>
      <c r="E93" s="21">
        <v>54</v>
      </c>
      <c r="F93" s="20">
        <v>1.35</v>
      </c>
      <c r="G93" s="21">
        <v>39.270000000000003</v>
      </c>
      <c r="H93" s="20">
        <v>0.78500000000000003</v>
      </c>
      <c r="I93" s="30">
        <f t="shared" si="5"/>
        <v>93.27000000000001</v>
      </c>
      <c r="J93" s="20">
        <f t="shared" si="6"/>
        <v>2.1350000000000002</v>
      </c>
      <c r="K93" s="20">
        <v>16</v>
      </c>
      <c r="L93" s="23">
        <f t="shared" si="7"/>
        <v>109.27000000000001</v>
      </c>
      <c r="M93" s="19">
        <f>SUM(L66:L92)</f>
        <v>3199.5800000000008</v>
      </c>
      <c r="N93">
        <f>+M93/28</f>
        <v>114.27071428571432</v>
      </c>
      <c r="O93">
        <v>5505.73</v>
      </c>
      <c r="P93" s="19">
        <f>+M93-O93</f>
        <v>-2306.1499999999987</v>
      </c>
      <c r="Q93" s="19">
        <f>AVERAGE(L66:L93)</f>
        <v>118.17321428571431</v>
      </c>
    </row>
    <row r="94" spans="1:17" ht="30" x14ac:dyDescent="0.25">
      <c r="A94" s="2">
        <v>43188</v>
      </c>
      <c r="B94" s="36" t="s">
        <v>36</v>
      </c>
      <c r="C94" s="21"/>
      <c r="D94" s="20"/>
      <c r="E94" s="21">
        <v>54</v>
      </c>
      <c r="F94" s="20">
        <v>1.35</v>
      </c>
      <c r="G94" s="21">
        <v>39.270000000000003</v>
      </c>
      <c r="H94" s="20">
        <v>0.78500000000000003</v>
      </c>
      <c r="I94" s="30">
        <f t="shared" si="5"/>
        <v>93.27000000000001</v>
      </c>
      <c r="J94" s="20">
        <f t="shared" si="6"/>
        <v>2.1350000000000002</v>
      </c>
      <c r="K94" s="20">
        <v>16</v>
      </c>
      <c r="L94" s="23">
        <f t="shared" si="7"/>
        <v>109.27000000000001</v>
      </c>
    </row>
    <row r="95" spans="1:17" ht="30" x14ac:dyDescent="0.25">
      <c r="A95" s="2">
        <v>43189</v>
      </c>
      <c r="B95" s="36" t="s">
        <v>36</v>
      </c>
      <c r="C95" s="21"/>
      <c r="D95" s="20"/>
      <c r="E95" s="21">
        <v>54</v>
      </c>
      <c r="F95" s="20">
        <v>1.35</v>
      </c>
      <c r="G95" s="21">
        <v>39.270000000000003</v>
      </c>
      <c r="H95" s="20">
        <v>0.78500000000000003</v>
      </c>
      <c r="I95" s="30">
        <f t="shared" si="5"/>
        <v>93.27000000000001</v>
      </c>
      <c r="J95" s="20">
        <f t="shared" si="6"/>
        <v>2.1350000000000002</v>
      </c>
      <c r="K95" s="20">
        <v>16</v>
      </c>
      <c r="L95" s="23">
        <f t="shared" si="7"/>
        <v>109.27000000000001</v>
      </c>
    </row>
    <row r="96" spans="1:17" s="27" customFormat="1" ht="30" x14ac:dyDescent="0.25">
      <c r="A96" s="2">
        <v>43190</v>
      </c>
      <c r="B96" s="42" t="s">
        <v>36</v>
      </c>
      <c r="C96" s="24"/>
      <c r="D96" s="24"/>
      <c r="E96" s="24">
        <v>54</v>
      </c>
      <c r="F96" s="24">
        <v>1.35</v>
      </c>
      <c r="G96" s="24">
        <v>39.270000000000003</v>
      </c>
      <c r="H96" s="24">
        <v>0.78500000000000003</v>
      </c>
      <c r="I96" s="30">
        <f t="shared" si="5"/>
        <v>93.27000000000001</v>
      </c>
      <c r="J96" s="24">
        <f t="shared" si="6"/>
        <v>2.1350000000000002</v>
      </c>
      <c r="K96" s="24">
        <v>16</v>
      </c>
      <c r="L96" s="34">
        <f t="shared" si="7"/>
        <v>109.27000000000001</v>
      </c>
      <c r="M96" s="25" t="s">
        <v>22</v>
      </c>
      <c r="N96" s="26">
        <f>SUM(L66:L96)</f>
        <v>3636.6600000000008</v>
      </c>
    </row>
    <row r="97" spans="1:12" ht="30" x14ac:dyDescent="0.25">
      <c r="A97" s="2">
        <v>43191</v>
      </c>
      <c r="B97" s="36" t="s">
        <v>36</v>
      </c>
      <c r="C97" s="21"/>
      <c r="D97" s="20"/>
      <c r="E97" s="21">
        <v>216</v>
      </c>
      <c r="F97" s="20">
        <v>5.4</v>
      </c>
      <c r="G97" s="21">
        <v>144</v>
      </c>
      <c r="H97" s="20">
        <v>2.88</v>
      </c>
      <c r="I97" s="30">
        <f t="shared" ref="I97:I128" si="8">E97+G97</f>
        <v>360</v>
      </c>
      <c r="J97" s="20">
        <f t="shared" ref="J97:J128" si="9">F97+H97</f>
        <v>8.2800000000000011</v>
      </c>
      <c r="K97" s="20">
        <v>25.41</v>
      </c>
      <c r="L97" s="23">
        <f t="shared" si="7"/>
        <v>385.41</v>
      </c>
    </row>
    <row r="98" spans="1:12" ht="30" x14ac:dyDescent="0.25">
      <c r="A98" s="2">
        <v>43192</v>
      </c>
      <c r="B98" s="36" t="s">
        <v>36</v>
      </c>
      <c r="C98" s="21"/>
      <c r="D98" s="20"/>
      <c r="E98" s="21">
        <v>216</v>
      </c>
      <c r="F98" s="20">
        <v>5.4</v>
      </c>
      <c r="G98" s="21">
        <v>144</v>
      </c>
      <c r="H98" s="20">
        <v>2.88</v>
      </c>
      <c r="I98" s="30">
        <f t="shared" si="8"/>
        <v>360</v>
      </c>
      <c r="J98" s="20">
        <f t="shared" si="9"/>
        <v>8.2800000000000011</v>
      </c>
      <c r="K98" s="20">
        <v>25.41</v>
      </c>
      <c r="L98" s="23">
        <f t="shared" si="7"/>
        <v>385.41</v>
      </c>
    </row>
    <row r="99" spans="1:12" ht="30" x14ac:dyDescent="0.25">
      <c r="A99" s="2">
        <v>43193</v>
      </c>
      <c r="B99" s="36" t="s">
        <v>36</v>
      </c>
      <c r="C99" s="21"/>
      <c r="D99" s="20"/>
      <c r="E99" s="21">
        <v>216</v>
      </c>
      <c r="F99" s="20">
        <v>5.4</v>
      </c>
      <c r="G99" s="21">
        <v>144</v>
      </c>
      <c r="H99" s="20">
        <v>2.88</v>
      </c>
      <c r="I99" s="30">
        <f t="shared" si="8"/>
        <v>360</v>
      </c>
      <c r="J99" s="20">
        <f t="shared" si="9"/>
        <v>8.2800000000000011</v>
      </c>
      <c r="K99" s="20">
        <v>43.2</v>
      </c>
      <c r="L99" s="23">
        <f t="shared" si="7"/>
        <v>403.2</v>
      </c>
    </row>
    <row r="100" spans="1:12" ht="30" x14ac:dyDescent="0.25">
      <c r="A100" s="2">
        <v>43194</v>
      </c>
      <c r="B100" s="36" t="s">
        <v>36</v>
      </c>
      <c r="C100" s="21"/>
      <c r="D100" s="20"/>
      <c r="E100" s="21">
        <v>216</v>
      </c>
      <c r="F100" s="20">
        <v>5.4</v>
      </c>
      <c r="G100" s="21">
        <v>144</v>
      </c>
      <c r="H100" s="20">
        <v>2.88</v>
      </c>
      <c r="I100" s="30">
        <f t="shared" si="8"/>
        <v>360</v>
      </c>
      <c r="J100" s="20">
        <f t="shared" si="9"/>
        <v>8.2800000000000011</v>
      </c>
      <c r="K100" s="20">
        <v>43.2</v>
      </c>
      <c r="L100" s="23">
        <f t="shared" si="7"/>
        <v>403.2</v>
      </c>
    </row>
    <row r="101" spans="1:12" ht="30" x14ac:dyDescent="0.25">
      <c r="A101" s="2">
        <v>43195</v>
      </c>
      <c r="B101" s="36" t="s">
        <v>36</v>
      </c>
      <c r="C101" s="21"/>
      <c r="D101" s="20"/>
      <c r="E101" s="21">
        <v>216</v>
      </c>
      <c r="F101" s="20">
        <v>5.4</v>
      </c>
      <c r="G101" s="21">
        <v>216</v>
      </c>
      <c r="H101" s="20">
        <v>5.4</v>
      </c>
      <c r="I101" s="30">
        <f t="shared" si="8"/>
        <v>432</v>
      </c>
      <c r="J101" s="20">
        <f t="shared" si="9"/>
        <v>10.8</v>
      </c>
      <c r="K101" s="20">
        <v>43.2</v>
      </c>
      <c r="L101" s="23">
        <f t="shared" si="7"/>
        <v>475.2</v>
      </c>
    </row>
    <row r="102" spans="1:12" ht="30" x14ac:dyDescent="0.25">
      <c r="A102" s="2">
        <v>43196</v>
      </c>
      <c r="B102" s="36" t="s">
        <v>36</v>
      </c>
      <c r="C102" s="21"/>
      <c r="D102" s="20"/>
      <c r="E102" s="21">
        <v>61.71</v>
      </c>
      <c r="F102" s="20">
        <v>1.5429999999999999</v>
      </c>
      <c r="G102" s="21">
        <v>48</v>
      </c>
      <c r="H102" s="20">
        <v>0.96</v>
      </c>
      <c r="I102" s="30">
        <f t="shared" si="8"/>
        <v>109.71000000000001</v>
      </c>
      <c r="J102" s="20">
        <f t="shared" si="9"/>
        <v>2.5030000000000001</v>
      </c>
      <c r="K102" s="20">
        <v>36</v>
      </c>
      <c r="L102" s="23">
        <f t="shared" si="7"/>
        <v>145.71</v>
      </c>
    </row>
    <row r="103" spans="1:12" ht="30" x14ac:dyDescent="0.25">
      <c r="A103" s="2">
        <v>43197</v>
      </c>
      <c r="B103" s="36" t="s">
        <v>36</v>
      </c>
      <c r="C103" s="21"/>
      <c r="D103" s="20"/>
      <c r="E103" s="21">
        <v>54</v>
      </c>
      <c r="F103" s="20">
        <v>1.35</v>
      </c>
      <c r="G103" s="21">
        <v>48</v>
      </c>
      <c r="H103" s="20">
        <v>0.96</v>
      </c>
      <c r="I103" s="30">
        <f t="shared" si="8"/>
        <v>102</v>
      </c>
      <c r="J103" s="20">
        <f t="shared" si="9"/>
        <v>2.31</v>
      </c>
      <c r="K103" s="20">
        <v>36</v>
      </c>
      <c r="L103" s="23">
        <f t="shared" si="7"/>
        <v>138</v>
      </c>
    </row>
    <row r="104" spans="1:12" ht="30" x14ac:dyDescent="0.25">
      <c r="A104" s="2">
        <v>43198</v>
      </c>
      <c r="B104" s="36" t="s">
        <v>36</v>
      </c>
      <c r="C104" s="21"/>
      <c r="D104" s="20"/>
      <c r="E104" s="21">
        <v>54</v>
      </c>
      <c r="F104" s="20">
        <v>1.35</v>
      </c>
      <c r="G104" s="21">
        <v>54</v>
      </c>
      <c r="H104" s="20">
        <v>1.35</v>
      </c>
      <c r="I104" s="30">
        <f t="shared" si="8"/>
        <v>108</v>
      </c>
      <c r="J104" s="20">
        <f t="shared" si="9"/>
        <v>2.7</v>
      </c>
      <c r="K104" s="20">
        <v>36</v>
      </c>
      <c r="L104" s="23">
        <f t="shared" si="7"/>
        <v>144</v>
      </c>
    </row>
    <row r="105" spans="1:12" ht="30" x14ac:dyDescent="0.25">
      <c r="A105" s="2">
        <v>43199</v>
      </c>
      <c r="B105" s="36" t="s">
        <v>36</v>
      </c>
      <c r="C105" s="21"/>
      <c r="D105" s="20"/>
      <c r="E105" s="21">
        <v>54</v>
      </c>
      <c r="F105" s="20">
        <v>1.35</v>
      </c>
      <c r="G105" s="21">
        <v>54</v>
      </c>
      <c r="H105" s="20">
        <v>1.35</v>
      </c>
      <c r="I105" s="30">
        <f t="shared" si="8"/>
        <v>108</v>
      </c>
      <c r="J105" s="20">
        <f t="shared" si="9"/>
        <v>2.7</v>
      </c>
      <c r="K105" s="20">
        <v>36</v>
      </c>
      <c r="L105" s="23">
        <f t="shared" si="7"/>
        <v>144</v>
      </c>
    </row>
    <row r="106" spans="1:12" ht="30" x14ac:dyDescent="0.25">
      <c r="A106" s="2">
        <v>43200</v>
      </c>
      <c r="B106" s="36" t="s">
        <v>36</v>
      </c>
      <c r="C106" s="21"/>
      <c r="D106" s="20"/>
      <c r="E106" s="21">
        <v>432</v>
      </c>
      <c r="F106" s="20">
        <v>10.8</v>
      </c>
      <c r="G106" s="21">
        <v>432</v>
      </c>
      <c r="H106" s="20">
        <v>10.8</v>
      </c>
      <c r="I106" s="30">
        <f t="shared" si="8"/>
        <v>864</v>
      </c>
      <c r="J106" s="20">
        <f t="shared" si="9"/>
        <v>21.6</v>
      </c>
      <c r="K106" s="20">
        <v>86.4</v>
      </c>
      <c r="L106" s="23">
        <f t="shared" si="7"/>
        <v>950.4</v>
      </c>
    </row>
    <row r="107" spans="1:12" ht="30" x14ac:dyDescent="0.25">
      <c r="A107" s="2">
        <v>43201</v>
      </c>
      <c r="B107" s="36" t="s">
        <v>36</v>
      </c>
      <c r="C107" s="21"/>
      <c r="D107" s="20"/>
      <c r="E107" s="21">
        <v>13.94</v>
      </c>
      <c r="F107" s="20">
        <v>0.34799999999999998</v>
      </c>
      <c r="G107" s="21">
        <v>48</v>
      </c>
      <c r="H107" s="20">
        <v>1.2</v>
      </c>
      <c r="I107" s="30">
        <f t="shared" si="8"/>
        <v>61.94</v>
      </c>
      <c r="J107" s="20">
        <f t="shared" si="9"/>
        <v>1.548</v>
      </c>
      <c r="K107" s="20">
        <v>33.229999999999997</v>
      </c>
      <c r="L107" s="23">
        <f t="shared" si="7"/>
        <v>95.169999999999987</v>
      </c>
    </row>
    <row r="108" spans="1:12" ht="30" x14ac:dyDescent="0.25">
      <c r="A108" s="2">
        <v>43202</v>
      </c>
      <c r="B108" s="36" t="s">
        <v>36</v>
      </c>
      <c r="C108" s="21"/>
      <c r="D108" s="20"/>
      <c r="E108" s="21">
        <v>33.229999999999997</v>
      </c>
      <c r="F108" s="20">
        <v>0.83099999999999996</v>
      </c>
      <c r="G108" s="21">
        <v>48</v>
      </c>
      <c r="H108" s="20">
        <v>0.96</v>
      </c>
      <c r="I108" s="30">
        <f t="shared" si="8"/>
        <v>81.22999999999999</v>
      </c>
      <c r="J108" s="20">
        <f t="shared" si="9"/>
        <v>1.7909999999999999</v>
      </c>
      <c r="K108" s="20">
        <v>17.28</v>
      </c>
      <c r="L108" s="23">
        <f t="shared" si="7"/>
        <v>98.509999999999991</v>
      </c>
    </row>
    <row r="109" spans="1:12" ht="30" x14ac:dyDescent="0.25">
      <c r="A109" s="2">
        <v>43203</v>
      </c>
      <c r="B109" s="36" t="s">
        <v>36</v>
      </c>
      <c r="C109" s="21"/>
      <c r="D109" s="20"/>
      <c r="E109" s="21">
        <v>19.64</v>
      </c>
      <c r="F109" s="20">
        <v>0.49099999999999999</v>
      </c>
      <c r="G109" s="21">
        <v>48</v>
      </c>
      <c r="H109" s="20">
        <v>0.96</v>
      </c>
      <c r="I109" s="30">
        <f t="shared" si="8"/>
        <v>67.64</v>
      </c>
      <c r="J109" s="20">
        <f t="shared" si="9"/>
        <v>1.4510000000000001</v>
      </c>
      <c r="K109" s="20">
        <v>17.28</v>
      </c>
      <c r="L109" s="23">
        <f t="shared" si="7"/>
        <v>84.92</v>
      </c>
    </row>
    <row r="110" spans="1:12" ht="30" x14ac:dyDescent="0.25">
      <c r="A110" s="2">
        <v>43204</v>
      </c>
      <c r="B110" s="36" t="s">
        <v>36</v>
      </c>
      <c r="C110" s="21"/>
      <c r="D110" s="20"/>
      <c r="E110" s="21">
        <v>19.64</v>
      </c>
      <c r="F110" s="20">
        <v>0.49099999999999999</v>
      </c>
      <c r="G110" s="21">
        <v>48</v>
      </c>
      <c r="H110" s="20">
        <v>0.96</v>
      </c>
      <c r="I110" s="30">
        <f t="shared" si="8"/>
        <v>67.64</v>
      </c>
      <c r="J110" s="20">
        <f t="shared" si="9"/>
        <v>1.4510000000000001</v>
      </c>
      <c r="K110" s="20">
        <v>17.28</v>
      </c>
      <c r="L110" s="23">
        <f t="shared" si="7"/>
        <v>84.92</v>
      </c>
    </row>
    <row r="111" spans="1:12" ht="30" x14ac:dyDescent="0.25">
      <c r="A111" s="2">
        <v>43205</v>
      </c>
      <c r="B111" s="36" t="s">
        <v>36</v>
      </c>
      <c r="C111" s="21"/>
      <c r="D111" s="20"/>
      <c r="E111" s="21">
        <v>39.270000000000003</v>
      </c>
      <c r="F111" s="20">
        <v>0.98199999999999998</v>
      </c>
      <c r="G111" s="21">
        <v>54</v>
      </c>
      <c r="H111" s="20">
        <v>1.08</v>
      </c>
      <c r="I111" s="30">
        <f t="shared" si="8"/>
        <v>93.27000000000001</v>
      </c>
      <c r="J111" s="20">
        <f t="shared" si="9"/>
        <v>2.0620000000000003</v>
      </c>
      <c r="K111" s="20">
        <v>24</v>
      </c>
      <c r="L111" s="23">
        <f t="shared" si="7"/>
        <v>117.27000000000001</v>
      </c>
    </row>
    <row r="112" spans="1:12" ht="30" x14ac:dyDescent="0.25">
      <c r="A112" s="2">
        <v>43206</v>
      </c>
      <c r="B112" s="36" t="s">
        <v>36</v>
      </c>
      <c r="C112" s="21"/>
      <c r="D112" s="20"/>
      <c r="E112" s="21">
        <v>39.270000000000003</v>
      </c>
      <c r="F112" s="20">
        <v>0.98199999999999998</v>
      </c>
      <c r="G112" s="21">
        <v>54</v>
      </c>
      <c r="H112" s="20">
        <v>1.08</v>
      </c>
      <c r="I112" s="30">
        <f t="shared" si="8"/>
        <v>93.27000000000001</v>
      </c>
      <c r="J112" s="20">
        <f t="shared" si="9"/>
        <v>2.0620000000000003</v>
      </c>
      <c r="K112" s="20">
        <v>24</v>
      </c>
      <c r="L112" s="23">
        <f t="shared" si="7"/>
        <v>117.27000000000001</v>
      </c>
    </row>
    <row r="113" spans="1:14" ht="30" x14ac:dyDescent="0.25">
      <c r="A113" s="2">
        <v>43207</v>
      </c>
      <c r="B113" s="36" t="s">
        <v>36</v>
      </c>
      <c r="C113" s="21"/>
      <c r="D113" s="20"/>
      <c r="E113" s="21">
        <v>39.270000000000003</v>
      </c>
      <c r="F113" s="20">
        <v>0.98199999999999998</v>
      </c>
      <c r="G113" s="21">
        <v>54</v>
      </c>
      <c r="H113" s="20">
        <v>1.08</v>
      </c>
      <c r="I113" s="30">
        <f t="shared" si="8"/>
        <v>93.27000000000001</v>
      </c>
      <c r="J113" s="20">
        <f t="shared" si="9"/>
        <v>2.0620000000000003</v>
      </c>
      <c r="K113" s="20">
        <v>24</v>
      </c>
      <c r="L113" s="23">
        <f t="shared" si="7"/>
        <v>117.27000000000001</v>
      </c>
    </row>
    <row r="114" spans="1:14" ht="30" x14ac:dyDescent="0.25">
      <c r="A114" s="2">
        <v>43208</v>
      </c>
      <c r="B114" s="36" t="s">
        <v>36</v>
      </c>
      <c r="C114" s="21"/>
      <c r="D114" s="20"/>
      <c r="E114" s="21">
        <v>39.270000000000003</v>
      </c>
      <c r="F114" s="20">
        <v>0.98199999999999998</v>
      </c>
      <c r="G114" s="21">
        <v>54</v>
      </c>
      <c r="H114" s="20">
        <v>1.08</v>
      </c>
      <c r="I114" s="30">
        <f t="shared" si="8"/>
        <v>93.27000000000001</v>
      </c>
      <c r="J114" s="20">
        <f t="shared" si="9"/>
        <v>2.0620000000000003</v>
      </c>
      <c r="K114" s="20">
        <v>24</v>
      </c>
      <c r="L114" s="23">
        <f t="shared" si="7"/>
        <v>117.27000000000001</v>
      </c>
    </row>
    <row r="115" spans="1:14" ht="30" x14ac:dyDescent="0.25">
      <c r="A115" s="2">
        <v>43209</v>
      </c>
      <c r="B115" s="36" t="s">
        <v>36</v>
      </c>
      <c r="C115" s="21"/>
      <c r="D115" s="20"/>
      <c r="E115" s="21">
        <v>36</v>
      </c>
      <c r="F115" s="20">
        <v>0.9</v>
      </c>
      <c r="G115" s="21">
        <v>54</v>
      </c>
      <c r="H115" s="20">
        <v>1.08</v>
      </c>
      <c r="I115" s="30">
        <f t="shared" si="8"/>
        <v>90</v>
      </c>
      <c r="J115" s="20">
        <f t="shared" si="9"/>
        <v>1.98</v>
      </c>
      <c r="K115" s="20">
        <v>21.6</v>
      </c>
      <c r="L115" s="23">
        <f t="shared" si="7"/>
        <v>111.6</v>
      </c>
    </row>
    <row r="116" spans="1:14" ht="30" x14ac:dyDescent="0.25">
      <c r="A116" s="2">
        <v>43210</v>
      </c>
      <c r="B116" s="36" t="s">
        <v>36</v>
      </c>
      <c r="C116" s="21"/>
      <c r="D116" s="20"/>
      <c r="E116" s="21">
        <v>21.6</v>
      </c>
      <c r="F116" s="20">
        <v>0.54</v>
      </c>
      <c r="G116" s="21">
        <v>54</v>
      </c>
      <c r="H116" s="20">
        <v>1.08</v>
      </c>
      <c r="I116" s="30">
        <f t="shared" si="8"/>
        <v>75.599999999999994</v>
      </c>
      <c r="J116" s="20">
        <f t="shared" si="9"/>
        <v>1.62</v>
      </c>
      <c r="K116" s="20">
        <v>21.6</v>
      </c>
      <c r="L116" s="23">
        <f t="shared" si="7"/>
        <v>97.199999999999989</v>
      </c>
    </row>
    <row r="117" spans="1:14" ht="30" x14ac:dyDescent="0.25">
      <c r="A117" s="2">
        <v>43211</v>
      </c>
      <c r="B117" s="36" t="s">
        <v>36</v>
      </c>
      <c r="C117" s="21"/>
      <c r="D117" s="20"/>
      <c r="E117" s="21">
        <v>21.6</v>
      </c>
      <c r="F117" s="20">
        <v>0.54</v>
      </c>
      <c r="G117" s="21">
        <v>54</v>
      </c>
      <c r="H117" s="20">
        <v>1.08</v>
      </c>
      <c r="I117" s="30">
        <f t="shared" si="8"/>
        <v>75.599999999999994</v>
      </c>
      <c r="J117" s="20">
        <f t="shared" si="9"/>
        <v>1.62</v>
      </c>
      <c r="K117" s="20">
        <v>21.6</v>
      </c>
      <c r="L117" s="23">
        <f t="shared" si="7"/>
        <v>97.199999999999989</v>
      </c>
    </row>
    <row r="118" spans="1:14" ht="30" x14ac:dyDescent="0.25">
      <c r="A118" s="2">
        <v>43212</v>
      </c>
      <c r="B118" s="36" t="s">
        <v>36</v>
      </c>
      <c r="C118" s="21"/>
      <c r="D118" s="20"/>
      <c r="E118" s="21">
        <v>21.6</v>
      </c>
      <c r="F118" s="20">
        <v>0.54</v>
      </c>
      <c r="G118" s="21">
        <v>54</v>
      </c>
      <c r="H118" s="20">
        <v>1.08</v>
      </c>
      <c r="I118" s="30">
        <f t="shared" si="8"/>
        <v>75.599999999999994</v>
      </c>
      <c r="J118" s="20">
        <f t="shared" si="9"/>
        <v>1.62</v>
      </c>
      <c r="K118" s="20">
        <v>21.6</v>
      </c>
      <c r="L118" s="23">
        <f t="shared" si="7"/>
        <v>97.199999999999989</v>
      </c>
    </row>
    <row r="119" spans="1:14" ht="30" x14ac:dyDescent="0.25">
      <c r="A119" s="2">
        <v>43213</v>
      </c>
      <c r="B119" s="36" t="s">
        <v>36</v>
      </c>
      <c r="C119" s="21"/>
      <c r="D119" s="20"/>
      <c r="E119" s="21">
        <v>36</v>
      </c>
      <c r="F119" s="20">
        <v>0.9</v>
      </c>
      <c r="G119" s="21">
        <v>36</v>
      </c>
      <c r="H119" s="20">
        <v>0.72</v>
      </c>
      <c r="I119" s="30">
        <f t="shared" si="8"/>
        <v>72</v>
      </c>
      <c r="J119" s="20">
        <f t="shared" si="9"/>
        <v>1.62</v>
      </c>
      <c r="K119" s="20">
        <v>19.64</v>
      </c>
      <c r="L119" s="23">
        <f t="shared" si="7"/>
        <v>91.64</v>
      </c>
    </row>
    <row r="120" spans="1:14" ht="30" x14ac:dyDescent="0.25">
      <c r="A120" s="2">
        <v>43214</v>
      </c>
      <c r="B120" s="36" t="s">
        <v>36</v>
      </c>
      <c r="C120" s="21"/>
      <c r="D120" s="20"/>
      <c r="E120" s="21">
        <v>36</v>
      </c>
      <c r="F120" s="20">
        <v>0.9</v>
      </c>
      <c r="G120" s="21">
        <v>36</v>
      </c>
      <c r="H120" s="20">
        <v>0.72</v>
      </c>
      <c r="I120" s="30">
        <f t="shared" si="8"/>
        <v>72</v>
      </c>
      <c r="J120" s="20">
        <f t="shared" si="9"/>
        <v>1.62</v>
      </c>
      <c r="K120" s="20">
        <v>19.64</v>
      </c>
      <c r="L120" s="23">
        <f t="shared" si="7"/>
        <v>91.64</v>
      </c>
    </row>
    <row r="121" spans="1:14" ht="30" x14ac:dyDescent="0.25">
      <c r="A121" s="2">
        <v>43215</v>
      </c>
      <c r="B121" s="36" t="s">
        <v>36</v>
      </c>
      <c r="C121" s="21"/>
      <c r="D121" s="20"/>
      <c r="E121" s="21">
        <v>36</v>
      </c>
      <c r="F121" s="20">
        <v>0.9</v>
      </c>
      <c r="G121" s="21">
        <v>36</v>
      </c>
      <c r="H121" s="20">
        <v>0.72</v>
      </c>
      <c r="I121" s="30">
        <f t="shared" si="8"/>
        <v>72</v>
      </c>
      <c r="J121" s="20">
        <f t="shared" si="9"/>
        <v>1.62</v>
      </c>
      <c r="K121" s="20">
        <v>20.57</v>
      </c>
      <c r="L121" s="23">
        <f t="shared" si="7"/>
        <v>92.57</v>
      </c>
    </row>
    <row r="122" spans="1:14" ht="30" x14ac:dyDescent="0.25">
      <c r="A122" s="2">
        <v>43216</v>
      </c>
      <c r="B122" s="36" t="s">
        <v>36</v>
      </c>
      <c r="C122" s="21"/>
      <c r="D122" s="20"/>
      <c r="E122" s="21">
        <v>33.229999999999997</v>
      </c>
      <c r="F122" s="20">
        <v>0.83099999999999996</v>
      </c>
      <c r="G122" s="21">
        <v>54</v>
      </c>
      <c r="H122" s="20">
        <v>1.08</v>
      </c>
      <c r="I122" s="30">
        <f t="shared" si="8"/>
        <v>87.22999999999999</v>
      </c>
      <c r="J122" s="20">
        <f t="shared" si="9"/>
        <v>1.911</v>
      </c>
      <c r="K122" s="20">
        <v>17.28</v>
      </c>
      <c r="L122" s="23">
        <f t="shared" si="7"/>
        <v>104.50999999999999</v>
      </c>
    </row>
    <row r="123" spans="1:14" ht="30" x14ac:dyDescent="0.25">
      <c r="A123" s="2">
        <v>43217</v>
      </c>
      <c r="B123" s="36" t="s">
        <v>36</v>
      </c>
      <c r="C123" s="21"/>
      <c r="D123" s="20"/>
      <c r="E123" s="21">
        <v>33.229999999999997</v>
      </c>
      <c r="F123" s="20">
        <v>0.83099999999999996</v>
      </c>
      <c r="G123" s="21">
        <v>54</v>
      </c>
      <c r="H123" s="20">
        <v>1.08</v>
      </c>
      <c r="I123" s="30">
        <f t="shared" si="8"/>
        <v>87.22999999999999</v>
      </c>
      <c r="J123" s="20">
        <f t="shared" si="9"/>
        <v>1.911</v>
      </c>
      <c r="K123" s="20">
        <v>17.28</v>
      </c>
      <c r="L123" s="23">
        <f t="shared" si="7"/>
        <v>104.50999999999999</v>
      </c>
    </row>
    <row r="124" spans="1:14" ht="30" x14ac:dyDescent="0.25">
      <c r="A124" s="2">
        <v>43218</v>
      </c>
      <c r="B124" s="36" t="s">
        <v>36</v>
      </c>
      <c r="C124" s="21"/>
      <c r="D124" s="20"/>
      <c r="E124" s="21">
        <v>43.2</v>
      </c>
      <c r="F124" s="20">
        <v>1.08</v>
      </c>
      <c r="G124" s="21">
        <v>61.71</v>
      </c>
      <c r="H124" s="20">
        <v>1.234</v>
      </c>
      <c r="I124" s="30">
        <f t="shared" si="8"/>
        <v>104.91</v>
      </c>
      <c r="J124" s="20">
        <f t="shared" si="9"/>
        <v>2.3140000000000001</v>
      </c>
      <c r="K124" s="20">
        <v>24</v>
      </c>
      <c r="L124" s="23">
        <f t="shared" si="7"/>
        <v>128.91</v>
      </c>
    </row>
    <row r="125" spans="1:14" ht="30" x14ac:dyDescent="0.25">
      <c r="A125" s="2">
        <v>43219</v>
      </c>
      <c r="B125" s="36" t="s">
        <v>36</v>
      </c>
      <c r="C125" s="21"/>
      <c r="D125" s="20"/>
      <c r="E125" s="21">
        <v>43.2</v>
      </c>
      <c r="F125" s="20">
        <v>1.08</v>
      </c>
      <c r="G125" s="21">
        <v>43.2</v>
      </c>
      <c r="H125" s="20">
        <v>0.86399999999999999</v>
      </c>
      <c r="I125" s="30">
        <f t="shared" si="8"/>
        <v>86.4</v>
      </c>
      <c r="J125" s="20">
        <f t="shared" si="9"/>
        <v>1.944</v>
      </c>
      <c r="K125" s="20">
        <v>24</v>
      </c>
      <c r="L125" s="23">
        <f t="shared" si="7"/>
        <v>110.4</v>
      </c>
    </row>
    <row r="126" spans="1:14" s="27" customFormat="1" ht="30" x14ac:dyDescent="0.25">
      <c r="A126" s="2">
        <v>43220</v>
      </c>
      <c r="B126" s="42" t="s">
        <v>36</v>
      </c>
      <c r="C126" s="24"/>
      <c r="D126" s="24"/>
      <c r="E126" s="24">
        <v>43.2</v>
      </c>
      <c r="F126" s="24">
        <v>1.08</v>
      </c>
      <c r="G126" s="24">
        <v>43.2</v>
      </c>
      <c r="H126" s="24">
        <v>0.86399999999999999</v>
      </c>
      <c r="I126" s="30">
        <f t="shared" si="8"/>
        <v>86.4</v>
      </c>
      <c r="J126" s="24">
        <f t="shared" si="9"/>
        <v>1.944</v>
      </c>
      <c r="K126" s="24">
        <v>17.28</v>
      </c>
      <c r="L126" s="34">
        <f t="shared" si="7"/>
        <v>103.68</v>
      </c>
      <c r="M126" s="28" t="s">
        <v>23</v>
      </c>
      <c r="N126" s="26">
        <f>SUM(L97:L126)</f>
        <v>5638.1900000000014</v>
      </c>
    </row>
    <row r="127" spans="1:14" ht="30" x14ac:dyDescent="0.25">
      <c r="A127" s="2">
        <v>43221</v>
      </c>
      <c r="B127" s="36" t="s">
        <v>36</v>
      </c>
      <c r="C127" s="21"/>
      <c r="D127" s="20"/>
      <c r="E127" s="21">
        <v>43.2</v>
      </c>
      <c r="F127" s="20">
        <v>0.86399999999999999</v>
      </c>
      <c r="G127" s="21">
        <v>43.2</v>
      </c>
      <c r="H127" s="20">
        <v>1.08</v>
      </c>
      <c r="I127" s="30">
        <f t="shared" si="8"/>
        <v>86.4</v>
      </c>
      <c r="J127" s="20">
        <f t="shared" si="9"/>
        <v>1.944</v>
      </c>
      <c r="K127" s="20">
        <v>17.28</v>
      </c>
      <c r="L127" s="23">
        <f t="shared" si="7"/>
        <v>103.68</v>
      </c>
    </row>
    <row r="128" spans="1:14" ht="30" x14ac:dyDescent="0.25">
      <c r="A128" s="2">
        <v>43222</v>
      </c>
      <c r="B128" s="36" t="s">
        <v>36</v>
      </c>
      <c r="C128" s="21"/>
      <c r="D128" s="20"/>
      <c r="E128" s="21">
        <v>33.229999999999997</v>
      </c>
      <c r="F128" s="20">
        <v>0.83099999999999996</v>
      </c>
      <c r="G128" s="21">
        <v>43.2</v>
      </c>
      <c r="H128" s="20">
        <v>0.86399999999999999</v>
      </c>
      <c r="I128" s="30">
        <f t="shared" si="8"/>
        <v>76.430000000000007</v>
      </c>
      <c r="J128" s="20">
        <f t="shared" si="9"/>
        <v>1.6949999999999998</v>
      </c>
      <c r="K128" s="20">
        <v>16.62</v>
      </c>
      <c r="L128" s="23">
        <f t="shared" si="7"/>
        <v>93.050000000000011</v>
      </c>
    </row>
    <row r="129" spans="1:12" ht="30" x14ac:dyDescent="0.25">
      <c r="A129" s="2">
        <v>43223</v>
      </c>
      <c r="B129" s="36" t="s">
        <v>36</v>
      </c>
      <c r="C129" s="21"/>
      <c r="D129" s="20"/>
      <c r="E129" s="21">
        <v>33.229999999999997</v>
      </c>
      <c r="F129" s="20">
        <v>0.83099999999999996</v>
      </c>
      <c r="G129" s="21">
        <v>33.229999999999997</v>
      </c>
      <c r="H129" s="20">
        <v>0.66500000000000004</v>
      </c>
      <c r="I129" s="30">
        <f t="shared" ref="I129:I160" si="10">E129+G129</f>
        <v>66.459999999999994</v>
      </c>
      <c r="J129" s="20">
        <f t="shared" ref="J129:J160" si="11">F129+H129</f>
        <v>1.496</v>
      </c>
      <c r="K129" s="20">
        <v>14.4</v>
      </c>
      <c r="L129" s="23">
        <f t="shared" si="7"/>
        <v>80.86</v>
      </c>
    </row>
    <row r="130" spans="1:12" ht="30" x14ac:dyDescent="0.25">
      <c r="A130" s="2">
        <v>43224</v>
      </c>
      <c r="B130" s="36" t="s">
        <v>36</v>
      </c>
      <c r="C130" s="21"/>
      <c r="D130" s="20"/>
      <c r="E130" s="21">
        <v>33.229999999999997</v>
      </c>
      <c r="F130" s="20">
        <v>0.83099999999999996</v>
      </c>
      <c r="G130" s="21">
        <v>33.229999999999997</v>
      </c>
      <c r="H130" s="20">
        <v>0.66500000000000004</v>
      </c>
      <c r="I130" s="30">
        <f t="shared" si="10"/>
        <v>66.459999999999994</v>
      </c>
      <c r="J130" s="20">
        <f t="shared" si="11"/>
        <v>1.496</v>
      </c>
      <c r="K130" s="20">
        <v>14.4</v>
      </c>
      <c r="L130" s="23">
        <f t="shared" si="7"/>
        <v>80.86</v>
      </c>
    </row>
    <row r="131" spans="1:12" ht="30" x14ac:dyDescent="0.25">
      <c r="A131" s="2">
        <v>43225</v>
      </c>
      <c r="B131" s="36" t="s">
        <v>36</v>
      </c>
      <c r="C131" s="21"/>
      <c r="D131" s="20"/>
      <c r="E131" s="21">
        <v>28.8</v>
      </c>
      <c r="F131" s="20">
        <v>0.72</v>
      </c>
      <c r="G131" s="21">
        <v>33.229999999999997</v>
      </c>
      <c r="H131" s="20">
        <v>0.66500000000000004</v>
      </c>
      <c r="I131" s="30">
        <f t="shared" si="10"/>
        <v>62.03</v>
      </c>
      <c r="J131" s="20">
        <f t="shared" si="11"/>
        <v>1.385</v>
      </c>
      <c r="K131" s="20">
        <v>14.4</v>
      </c>
      <c r="L131" s="23">
        <f t="shared" si="7"/>
        <v>76.430000000000007</v>
      </c>
    </row>
    <row r="132" spans="1:12" ht="30" x14ac:dyDescent="0.25">
      <c r="A132" s="2">
        <v>43226</v>
      </c>
      <c r="B132" s="36" t="s">
        <v>36</v>
      </c>
      <c r="C132" s="21"/>
      <c r="D132" s="20"/>
      <c r="E132" s="21">
        <v>30.86</v>
      </c>
      <c r="F132" s="20">
        <v>0.77100000000000002</v>
      </c>
      <c r="G132" s="21">
        <v>61.71</v>
      </c>
      <c r="H132" s="20">
        <v>1.234</v>
      </c>
      <c r="I132" s="30">
        <f t="shared" si="10"/>
        <v>92.57</v>
      </c>
      <c r="J132" s="20">
        <f t="shared" si="11"/>
        <v>2.0049999999999999</v>
      </c>
      <c r="K132" s="20">
        <v>14.4</v>
      </c>
      <c r="L132" s="23">
        <f t="shared" si="7"/>
        <v>106.97</v>
      </c>
    </row>
    <row r="133" spans="1:12" ht="30" x14ac:dyDescent="0.25">
      <c r="A133" s="2">
        <v>43227</v>
      </c>
      <c r="B133" s="36" t="s">
        <v>36</v>
      </c>
      <c r="C133" s="21"/>
      <c r="D133" s="20"/>
      <c r="E133" s="21">
        <v>30.86</v>
      </c>
      <c r="F133" s="20">
        <v>0.77100000000000002</v>
      </c>
      <c r="G133" s="21">
        <v>61.71</v>
      </c>
      <c r="H133" s="20">
        <v>1.234</v>
      </c>
      <c r="I133" s="30">
        <f t="shared" si="10"/>
        <v>92.57</v>
      </c>
      <c r="J133" s="20">
        <f t="shared" si="11"/>
        <v>2.0049999999999999</v>
      </c>
      <c r="K133" s="20">
        <v>28.8</v>
      </c>
      <c r="L133" s="23">
        <f t="shared" si="7"/>
        <v>121.36999999999999</v>
      </c>
    </row>
    <row r="134" spans="1:12" ht="30" x14ac:dyDescent="0.25">
      <c r="A134" s="2">
        <v>43228</v>
      </c>
      <c r="B134" s="36" t="s">
        <v>36</v>
      </c>
      <c r="C134" s="21"/>
      <c r="D134" s="20"/>
      <c r="E134" s="21">
        <v>30.86</v>
      </c>
      <c r="F134" s="20">
        <v>0.77100000000000002</v>
      </c>
      <c r="G134" s="21">
        <v>61.71</v>
      </c>
      <c r="H134" s="20">
        <v>1.234</v>
      </c>
      <c r="I134" s="30">
        <f t="shared" si="10"/>
        <v>92.57</v>
      </c>
      <c r="J134" s="20">
        <f t="shared" si="11"/>
        <v>2.0049999999999999</v>
      </c>
      <c r="K134" s="20">
        <v>28.8</v>
      </c>
      <c r="L134" s="23">
        <f t="shared" si="7"/>
        <v>121.36999999999999</v>
      </c>
    </row>
    <row r="135" spans="1:12" ht="30" x14ac:dyDescent="0.25">
      <c r="A135" s="2">
        <v>43229</v>
      </c>
      <c r="B135" s="36" t="s">
        <v>36</v>
      </c>
      <c r="C135" s="21"/>
      <c r="D135" s="20"/>
      <c r="E135" s="21">
        <v>86.4</v>
      </c>
      <c r="F135" s="20">
        <v>2.2160000000000002</v>
      </c>
      <c r="G135" s="21">
        <v>108</v>
      </c>
      <c r="H135" s="20">
        <v>2.16</v>
      </c>
      <c r="I135" s="30">
        <f t="shared" si="10"/>
        <v>194.4</v>
      </c>
      <c r="J135" s="20">
        <f t="shared" si="11"/>
        <v>4.3760000000000003</v>
      </c>
      <c r="K135" s="20">
        <v>28.8</v>
      </c>
      <c r="L135" s="23">
        <f t="shared" si="7"/>
        <v>223.20000000000002</v>
      </c>
    </row>
    <row r="136" spans="1:12" ht="30" x14ac:dyDescent="0.25">
      <c r="A136" s="2">
        <v>43230</v>
      </c>
      <c r="B136" s="36" t="s">
        <v>36</v>
      </c>
      <c r="C136" s="21"/>
      <c r="D136" s="20"/>
      <c r="E136" s="21">
        <v>86.4</v>
      </c>
      <c r="F136" s="20">
        <v>2.2160000000000002</v>
      </c>
      <c r="G136" s="21">
        <v>108</v>
      </c>
      <c r="H136" s="20">
        <v>2.16</v>
      </c>
      <c r="I136" s="30">
        <f t="shared" si="10"/>
        <v>194.4</v>
      </c>
      <c r="J136" s="20">
        <f t="shared" si="11"/>
        <v>4.3760000000000003</v>
      </c>
      <c r="K136" s="20">
        <v>28.8</v>
      </c>
      <c r="L136" s="23">
        <f t="shared" ref="L136:L199" si="12">I136+K136</f>
        <v>223.20000000000002</v>
      </c>
    </row>
    <row r="137" spans="1:12" ht="30" x14ac:dyDescent="0.25">
      <c r="A137" s="2">
        <v>43231</v>
      </c>
      <c r="B137" s="36" t="s">
        <v>36</v>
      </c>
      <c r="C137" s="21"/>
      <c r="D137" s="20"/>
      <c r="E137" s="21">
        <v>86.4</v>
      </c>
      <c r="F137" s="20">
        <v>2.2160000000000002</v>
      </c>
      <c r="G137" s="21">
        <v>108</v>
      </c>
      <c r="H137" s="20">
        <v>2.16</v>
      </c>
      <c r="I137" s="30">
        <f t="shared" si="10"/>
        <v>194.4</v>
      </c>
      <c r="J137" s="20">
        <f t="shared" si="11"/>
        <v>4.3760000000000003</v>
      </c>
      <c r="K137" s="20">
        <v>28.8</v>
      </c>
      <c r="L137" s="23">
        <f t="shared" si="12"/>
        <v>223.20000000000002</v>
      </c>
    </row>
    <row r="138" spans="1:12" ht="30" x14ac:dyDescent="0.25">
      <c r="A138" s="2">
        <v>43232</v>
      </c>
      <c r="B138" s="36" t="s">
        <v>36</v>
      </c>
      <c r="C138" s="21"/>
      <c r="D138" s="20"/>
      <c r="E138" s="21">
        <v>86.4</v>
      </c>
      <c r="F138" s="20">
        <v>2.2160000000000002</v>
      </c>
      <c r="G138" s="21">
        <v>108</v>
      </c>
      <c r="H138" s="20">
        <v>2.16</v>
      </c>
      <c r="I138" s="30">
        <f t="shared" si="10"/>
        <v>194.4</v>
      </c>
      <c r="J138" s="20">
        <f t="shared" si="11"/>
        <v>4.3760000000000003</v>
      </c>
      <c r="K138" s="20">
        <v>28.8</v>
      </c>
      <c r="L138" s="23">
        <f t="shared" si="12"/>
        <v>223.20000000000002</v>
      </c>
    </row>
    <row r="139" spans="1:12" ht="30" x14ac:dyDescent="0.25">
      <c r="A139" s="2">
        <v>43233</v>
      </c>
      <c r="B139" s="36" t="s">
        <v>36</v>
      </c>
      <c r="C139" s="21"/>
      <c r="D139" s="20"/>
      <c r="E139" s="21">
        <v>86.4</v>
      </c>
      <c r="F139" s="20">
        <v>2.2160000000000002</v>
      </c>
      <c r="G139" s="21">
        <v>108</v>
      </c>
      <c r="H139" s="20">
        <v>2.16</v>
      </c>
      <c r="I139" s="30">
        <f t="shared" si="10"/>
        <v>194.4</v>
      </c>
      <c r="J139" s="20">
        <f t="shared" si="11"/>
        <v>4.3760000000000003</v>
      </c>
      <c r="K139" s="20">
        <v>28.8</v>
      </c>
      <c r="L139" s="23">
        <f t="shared" si="12"/>
        <v>223.20000000000002</v>
      </c>
    </row>
    <row r="140" spans="1:12" ht="30" x14ac:dyDescent="0.25">
      <c r="A140" s="2">
        <v>43234</v>
      </c>
      <c r="B140" s="36" t="s">
        <v>36</v>
      </c>
      <c r="C140" s="21"/>
      <c r="D140" s="20"/>
      <c r="E140" s="21">
        <v>86.4</v>
      </c>
      <c r="F140" s="20">
        <v>2.2160000000000002</v>
      </c>
      <c r="G140" s="21">
        <v>108</v>
      </c>
      <c r="H140" s="20">
        <v>2.16</v>
      </c>
      <c r="I140" s="30">
        <f t="shared" si="10"/>
        <v>194.4</v>
      </c>
      <c r="J140" s="20">
        <f t="shared" si="11"/>
        <v>4.3760000000000003</v>
      </c>
      <c r="K140" s="20">
        <v>33.229999999999997</v>
      </c>
      <c r="L140" s="23">
        <f t="shared" si="12"/>
        <v>227.63</v>
      </c>
    </row>
    <row r="141" spans="1:12" ht="30" x14ac:dyDescent="0.25">
      <c r="A141" s="2">
        <v>43235</v>
      </c>
      <c r="B141" s="36" t="s">
        <v>36</v>
      </c>
      <c r="C141" s="21"/>
      <c r="D141" s="20"/>
      <c r="E141" s="21">
        <v>43.2</v>
      </c>
      <c r="F141" s="20">
        <v>1.08</v>
      </c>
      <c r="G141" s="21">
        <v>72</v>
      </c>
      <c r="H141" s="20">
        <v>1.44</v>
      </c>
      <c r="I141" s="30">
        <f t="shared" si="10"/>
        <v>115.2</v>
      </c>
      <c r="J141" s="20">
        <f t="shared" si="11"/>
        <v>2.52</v>
      </c>
      <c r="K141" s="20">
        <v>33.229999999999997</v>
      </c>
      <c r="L141" s="23">
        <f t="shared" si="12"/>
        <v>148.43</v>
      </c>
    </row>
    <row r="142" spans="1:12" ht="30" x14ac:dyDescent="0.25">
      <c r="A142" s="2">
        <v>43236</v>
      </c>
      <c r="B142" s="36" t="s">
        <v>36</v>
      </c>
      <c r="C142" s="21"/>
      <c r="D142" s="20"/>
      <c r="E142" s="21">
        <v>43.2</v>
      </c>
      <c r="F142" s="20">
        <v>1.08</v>
      </c>
      <c r="G142" s="21">
        <v>72</v>
      </c>
      <c r="H142" s="20">
        <v>1.44</v>
      </c>
      <c r="I142" s="30">
        <f t="shared" si="10"/>
        <v>115.2</v>
      </c>
      <c r="J142" s="20">
        <f t="shared" si="11"/>
        <v>2.52</v>
      </c>
      <c r="K142" s="20">
        <v>28.8</v>
      </c>
      <c r="L142" s="23">
        <f t="shared" si="12"/>
        <v>144</v>
      </c>
    </row>
    <row r="143" spans="1:12" ht="30" x14ac:dyDescent="0.25">
      <c r="A143" s="2">
        <v>43237</v>
      </c>
      <c r="B143" s="36" t="s">
        <v>36</v>
      </c>
      <c r="C143" s="21"/>
      <c r="D143" s="20"/>
      <c r="E143" s="21">
        <v>43.2</v>
      </c>
      <c r="F143" s="20">
        <v>1.08</v>
      </c>
      <c r="G143" s="21">
        <v>72</v>
      </c>
      <c r="H143" s="20">
        <v>1.44</v>
      </c>
      <c r="I143" s="30">
        <f t="shared" si="10"/>
        <v>115.2</v>
      </c>
      <c r="J143" s="20">
        <f t="shared" si="11"/>
        <v>2.52</v>
      </c>
      <c r="K143" s="20">
        <v>28.8</v>
      </c>
      <c r="L143" s="23">
        <f t="shared" si="12"/>
        <v>144</v>
      </c>
    </row>
    <row r="144" spans="1:12" ht="30" x14ac:dyDescent="0.25">
      <c r="A144" s="2">
        <v>43238</v>
      </c>
      <c r="B144" s="36" t="s">
        <v>36</v>
      </c>
      <c r="C144" s="21"/>
      <c r="D144" s="20"/>
      <c r="E144" s="21">
        <v>72</v>
      </c>
      <c r="F144" s="20">
        <v>1.8</v>
      </c>
      <c r="G144" s="21">
        <v>108</v>
      </c>
      <c r="H144" s="20">
        <v>2.16</v>
      </c>
      <c r="I144" s="30">
        <f t="shared" si="10"/>
        <v>180</v>
      </c>
      <c r="J144" s="20">
        <f t="shared" si="11"/>
        <v>3.96</v>
      </c>
      <c r="K144" s="20">
        <v>43.2</v>
      </c>
      <c r="L144" s="23">
        <f t="shared" si="12"/>
        <v>223.2</v>
      </c>
    </row>
    <row r="145" spans="1:14" ht="30" x14ac:dyDescent="0.25">
      <c r="A145" s="2">
        <v>43239</v>
      </c>
      <c r="B145" s="36" t="s">
        <v>36</v>
      </c>
      <c r="C145" s="21"/>
      <c r="D145" s="20"/>
      <c r="E145" s="21">
        <v>39.270000000000003</v>
      </c>
      <c r="F145" s="20">
        <v>0.98199999999999998</v>
      </c>
      <c r="G145" s="21">
        <v>72</v>
      </c>
      <c r="H145" s="20">
        <v>1.44</v>
      </c>
      <c r="I145" s="30">
        <f t="shared" si="10"/>
        <v>111.27000000000001</v>
      </c>
      <c r="J145" s="20">
        <f t="shared" si="11"/>
        <v>2.4219999999999997</v>
      </c>
      <c r="K145" s="20">
        <v>43.2</v>
      </c>
      <c r="L145" s="23">
        <f t="shared" si="12"/>
        <v>154.47000000000003</v>
      </c>
    </row>
    <row r="146" spans="1:14" ht="30" x14ac:dyDescent="0.25">
      <c r="A146" s="2">
        <v>43240</v>
      </c>
      <c r="B146" s="36" t="s">
        <v>36</v>
      </c>
      <c r="C146" s="21"/>
      <c r="D146" s="20"/>
      <c r="E146" s="21">
        <v>72</v>
      </c>
      <c r="F146" s="20">
        <v>1.8</v>
      </c>
      <c r="G146" s="21">
        <v>54</v>
      </c>
      <c r="H146" s="20">
        <v>1.08</v>
      </c>
      <c r="I146" s="30">
        <f t="shared" si="10"/>
        <v>126</v>
      </c>
      <c r="J146" s="20">
        <f t="shared" si="11"/>
        <v>2.88</v>
      </c>
      <c r="K146" s="20">
        <v>48</v>
      </c>
      <c r="L146" s="23">
        <f t="shared" si="12"/>
        <v>174</v>
      </c>
    </row>
    <row r="147" spans="1:14" ht="30" x14ac:dyDescent="0.25">
      <c r="A147" s="2">
        <v>43241</v>
      </c>
      <c r="B147" s="36" t="s">
        <v>36</v>
      </c>
      <c r="C147" s="21"/>
      <c r="D147" s="20"/>
      <c r="E147" s="21">
        <v>72</v>
      </c>
      <c r="F147" s="20">
        <v>1.8</v>
      </c>
      <c r="G147" s="21">
        <v>54</v>
      </c>
      <c r="H147" s="20">
        <v>1.08</v>
      </c>
      <c r="I147" s="30">
        <f t="shared" si="10"/>
        <v>126</v>
      </c>
      <c r="J147" s="20">
        <f t="shared" si="11"/>
        <v>2.88</v>
      </c>
      <c r="K147" s="20">
        <v>48</v>
      </c>
      <c r="L147" s="23">
        <f t="shared" si="12"/>
        <v>174</v>
      </c>
    </row>
    <row r="148" spans="1:14" ht="30" x14ac:dyDescent="0.25">
      <c r="A148" s="2">
        <v>43242</v>
      </c>
      <c r="B148" s="36" t="s">
        <v>36</v>
      </c>
      <c r="C148" s="21"/>
      <c r="D148" s="20"/>
      <c r="E148" s="21">
        <v>39.270000000000003</v>
      </c>
      <c r="F148" s="20">
        <v>0.98199999999999998</v>
      </c>
      <c r="G148" s="21">
        <v>72</v>
      </c>
      <c r="H148" s="20">
        <v>1.44</v>
      </c>
      <c r="I148" s="30">
        <f t="shared" si="10"/>
        <v>111.27000000000001</v>
      </c>
      <c r="J148" s="20">
        <f t="shared" si="11"/>
        <v>2.4219999999999997</v>
      </c>
      <c r="K148" s="20">
        <v>43.2</v>
      </c>
      <c r="L148" s="23">
        <f t="shared" si="12"/>
        <v>154.47000000000003</v>
      </c>
    </row>
    <row r="149" spans="1:14" ht="30" x14ac:dyDescent="0.25">
      <c r="A149" s="2">
        <v>43243</v>
      </c>
      <c r="B149" s="36" t="s">
        <v>36</v>
      </c>
      <c r="C149" s="21"/>
      <c r="D149" s="20"/>
      <c r="E149" s="21">
        <v>39.270000000000003</v>
      </c>
      <c r="F149" s="20">
        <v>0.98199999999999998</v>
      </c>
      <c r="G149" s="21">
        <v>144</v>
      </c>
      <c r="H149" s="20">
        <v>2.88</v>
      </c>
      <c r="I149" s="30">
        <f t="shared" si="10"/>
        <v>183.27</v>
      </c>
      <c r="J149" s="20">
        <f t="shared" si="11"/>
        <v>3.8620000000000001</v>
      </c>
      <c r="K149" s="20">
        <v>72</v>
      </c>
      <c r="L149" s="23">
        <f t="shared" si="12"/>
        <v>255.27</v>
      </c>
    </row>
    <row r="150" spans="1:14" ht="30" x14ac:dyDescent="0.25">
      <c r="A150" s="2">
        <v>43244</v>
      </c>
      <c r="B150" s="36" t="s">
        <v>36</v>
      </c>
      <c r="C150" s="21"/>
      <c r="D150" s="20"/>
      <c r="E150" s="21">
        <v>54</v>
      </c>
      <c r="F150" s="20">
        <v>1.35</v>
      </c>
      <c r="G150" s="21">
        <v>144</v>
      </c>
      <c r="H150" s="20">
        <v>2.88</v>
      </c>
      <c r="I150" s="30">
        <f t="shared" si="10"/>
        <v>198</v>
      </c>
      <c r="J150" s="20">
        <f t="shared" si="11"/>
        <v>4.2300000000000004</v>
      </c>
      <c r="K150" s="20">
        <v>86.4</v>
      </c>
      <c r="L150" s="23">
        <f t="shared" si="12"/>
        <v>284.39999999999998</v>
      </c>
    </row>
    <row r="151" spans="1:14" ht="30" x14ac:dyDescent="0.25">
      <c r="A151" s="2">
        <v>43245</v>
      </c>
      <c r="B151" s="36" t="s">
        <v>36</v>
      </c>
      <c r="C151" s="21"/>
      <c r="D151" s="20"/>
      <c r="E151" s="21">
        <v>39.270000000000003</v>
      </c>
      <c r="F151" s="20">
        <v>0.98199999999999998</v>
      </c>
      <c r="G151" s="21">
        <v>108</v>
      </c>
      <c r="H151" s="20">
        <v>2.16</v>
      </c>
      <c r="I151" s="30">
        <f t="shared" si="10"/>
        <v>147.27000000000001</v>
      </c>
      <c r="J151" s="20">
        <f t="shared" si="11"/>
        <v>3.1420000000000003</v>
      </c>
      <c r="K151" s="20">
        <v>48</v>
      </c>
      <c r="L151" s="23">
        <f t="shared" si="12"/>
        <v>195.27</v>
      </c>
    </row>
    <row r="152" spans="1:14" ht="30" x14ac:dyDescent="0.25">
      <c r="A152" s="2">
        <v>43246</v>
      </c>
      <c r="B152" s="36" t="s">
        <v>36</v>
      </c>
      <c r="C152" s="21"/>
      <c r="D152" s="20"/>
      <c r="E152" s="21">
        <v>39.270000000000003</v>
      </c>
      <c r="F152" s="20">
        <v>0.98199999999999998</v>
      </c>
      <c r="G152" s="21">
        <v>108</v>
      </c>
      <c r="H152" s="20">
        <v>2.16</v>
      </c>
      <c r="I152" s="30">
        <f t="shared" si="10"/>
        <v>147.27000000000001</v>
      </c>
      <c r="J152" s="20">
        <f t="shared" si="11"/>
        <v>3.1420000000000003</v>
      </c>
      <c r="K152" s="20">
        <v>48</v>
      </c>
      <c r="L152" s="23">
        <f t="shared" si="12"/>
        <v>195.27</v>
      </c>
    </row>
    <row r="153" spans="1:14" ht="30" x14ac:dyDescent="0.25">
      <c r="A153" s="2">
        <v>43247</v>
      </c>
      <c r="B153" s="36" t="s">
        <v>36</v>
      </c>
      <c r="C153" s="21"/>
      <c r="D153" s="20"/>
      <c r="E153" s="21">
        <v>36</v>
      </c>
      <c r="F153" s="20">
        <v>0.9</v>
      </c>
      <c r="G153" s="21">
        <v>61.71</v>
      </c>
      <c r="H153" s="20">
        <v>1.234</v>
      </c>
      <c r="I153" s="30">
        <f t="shared" si="10"/>
        <v>97.710000000000008</v>
      </c>
      <c r="J153" s="20">
        <f t="shared" si="11"/>
        <v>2.1339999999999999</v>
      </c>
      <c r="K153" s="20">
        <v>36</v>
      </c>
      <c r="L153" s="23">
        <f t="shared" si="12"/>
        <v>133.71</v>
      </c>
    </row>
    <row r="154" spans="1:14" ht="30" x14ac:dyDescent="0.25">
      <c r="A154" s="2">
        <v>43248</v>
      </c>
      <c r="B154" s="36" t="s">
        <v>36</v>
      </c>
      <c r="C154" s="21"/>
      <c r="D154" s="20"/>
      <c r="E154" s="21">
        <v>36</v>
      </c>
      <c r="F154" s="20">
        <v>0.9</v>
      </c>
      <c r="G154" s="21">
        <v>61.71</v>
      </c>
      <c r="H154" s="20">
        <v>1.234</v>
      </c>
      <c r="I154" s="30">
        <f t="shared" si="10"/>
        <v>97.710000000000008</v>
      </c>
      <c r="J154" s="20">
        <f t="shared" si="11"/>
        <v>2.1339999999999999</v>
      </c>
      <c r="K154" s="20">
        <v>36</v>
      </c>
      <c r="L154" s="23">
        <f t="shared" si="12"/>
        <v>133.71</v>
      </c>
    </row>
    <row r="155" spans="1:14" ht="30" x14ac:dyDescent="0.25">
      <c r="A155" s="2">
        <v>43249</v>
      </c>
      <c r="B155" s="36" t="s">
        <v>36</v>
      </c>
      <c r="C155" s="21"/>
      <c r="D155" s="20"/>
      <c r="E155" s="21">
        <v>36</v>
      </c>
      <c r="F155" s="20">
        <v>0.9</v>
      </c>
      <c r="G155" s="21">
        <v>61.71</v>
      </c>
      <c r="H155" s="20">
        <v>1.234</v>
      </c>
      <c r="I155" s="30">
        <f t="shared" si="10"/>
        <v>97.710000000000008</v>
      </c>
      <c r="J155" s="20">
        <f t="shared" si="11"/>
        <v>2.1339999999999999</v>
      </c>
      <c r="K155" s="20">
        <v>36</v>
      </c>
      <c r="L155" s="23">
        <f t="shared" si="12"/>
        <v>133.71</v>
      </c>
    </row>
    <row r="156" spans="1:14" ht="30" x14ac:dyDescent="0.25">
      <c r="A156" s="2">
        <v>43250</v>
      </c>
      <c r="B156" s="36" t="s">
        <v>36</v>
      </c>
      <c r="C156" s="21"/>
      <c r="D156" s="20"/>
      <c r="E156" s="21">
        <v>36</v>
      </c>
      <c r="F156" s="20">
        <v>0.9</v>
      </c>
      <c r="G156" s="21">
        <v>61.71</v>
      </c>
      <c r="H156" s="20">
        <v>1.234</v>
      </c>
      <c r="I156" s="30">
        <f t="shared" si="10"/>
        <v>97.710000000000008</v>
      </c>
      <c r="J156" s="20">
        <f t="shared" si="11"/>
        <v>2.1339999999999999</v>
      </c>
      <c r="K156" s="20">
        <v>36</v>
      </c>
      <c r="L156" s="23">
        <f t="shared" si="12"/>
        <v>133.71</v>
      </c>
    </row>
    <row r="157" spans="1:14" s="27" customFormat="1" ht="30" x14ac:dyDescent="0.25">
      <c r="A157" s="2">
        <v>43251</v>
      </c>
      <c r="B157" s="42" t="s">
        <v>36</v>
      </c>
      <c r="C157" s="24"/>
      <c r="D157" s="24"/>
      <c r="E157" s="24">
        <v>36</v>
      </c>
      <c r="F157" s="24">
        <v>0.9</v>
      </c>
      <c r="G157" s="24">
        <v>61.71</v>
      </c>
      <c r="H157" s="24">
        <v>1.234</v>
      </c>
      <c r="I157" s="30">
        <f t="shared" si="10"/>
        <v>97.710000000000008</v>
      </c>
      <c r="J157" s="24">
        <f t="shared" si="11"/>
        <v>2.1339999999999999</v>
      </c>
      <c r="K157" s="24">
        <v>36</v>
      </c>
      <c r="L157" s="34">
        <f t="shared" si="12"/>
        <v>133.71</v>
      </c>
      <c r="M157" s="28" t="s">
        <v>24</v>
      </c>
      <c r="N157" s="26">
        <f>SUM(L127:L157)</f>
        <v>5043.5500000000011</v>
      </c>
    </row>
    <row r="158" spans="1:14" ht="30" x14ac:dyDescent="0.25">
      <c r="A158" s="2">
        <v>43252</v>
      </c>
      <c r="B158" s="36" t="s">
        <v>36</v>
      </c>
      <c r="C158" s="21"/>
      <c r="D158" s="20"/>
      <c r="E158" s="21">
        <v>28.8</v>
      </c>
      <c r="F158" s="20">
        <v>0.72</v>
      </c>
      <c r="G158" s="21">
        <v>48</v>
      </c>
      <c r="H158" s="20">
        <v>0.96</v>
      </c>
      <c r="I158" s="30">
        <f t="shared" si="10"/>
        <v>76.8</v>
      </c>
      <c r="J158" s="20">
        <f t="shared" si="11"/>
        <v>1.68</v>
      </c>
      <c r="K158" s="20">
        <v>27</v>
      </c>
      <c r="L158" s="23">
        <f t="shared" si="12"/>
        <v>103.8</v>
      </c>
    </row>
    <row r="159" spans="1:14" ht="30" x14ac:dyDescent="0.25">
      <c r="A159" s="2">
        <v>43253</v>
      </c>
      <c r="B159" s="36" t="s">
        <v>36</v>
      </c>
      <c r="C159" s="21"/>
      <c r="D159" s="20"/>
      <c r="E159" s="21">
        <v>28.8</v>
      </c>
      <c r="F159" s="20">
        <v>0.72</v>
      </c>
      <c r="G159" s="21">
        <v>48</v>
      </c>
      <c r="H159" s="20">
        <v>0.96</v>
      </c>
      <c r="I159" s="30">
        <f t="shared" si="10"/>
        <v>76.8</v>
      </c>
      <c r="J159" s="20">
        <f t="shared" si="11"/>
        <v>1.68</v>
      </c>
      <c r="K159" s="20">
        <v>27</v>
      </c>
      <c r="L159" s="23">
        <f t="shared" si="12"/>
        <v>103.8</v>
      </c>
    </row>
    <row r="160" spans="1:14" ht="30" x14ac:dyDescent="0.25">
      <c r="A160" s="2">
        <v>43254</v>
      </c>
      <c r="B160" s="36" t="s">
        <v>36</v>
      </c>
      <c r="C160" s="21"/>
      <c r="D160" s="20"/>
      <c r="E160" s="21">
        <v>28.8</v>
      </c>
      <c r="F160" s="20">
        <v>0.72</v>
      </c>
      <c r="G160" s="21">
        <v>48</v>
      </c>
      <c r="H160" s="20">
        <v>0.96</v>
      </c>
      <c r="I160" s="30">
        <f t="shared" si="10"/>
        <v>76.8</v>
      </c>
      <c r="J160" s="20">
        <f t="shared" si="11"/>
        <v>1.68</v>
      </c>
      <c r="K160" s="20">
        <v>27</v>
      </c>
      <c r="L160" s="23">
        <f t="shared" si="12"/>
        <v>103.8</v>
      </c>
    </row>
    <row r="161" spans="1:12" ht="30" x14ac:dyDescent="0.25">
      <c r="A161" s="2">
        <v>43255</v>
      </c>
      <c r="B161" s="36" t="s">
        <v>36</v>
      </c>
      <c r="C161" s="21"/>
      <c r="D161" s="20"/>
      <c r="E161" s="21">
        <v>28.8</v>
      </c>
      <c r="F161" s="20">
        <v>0.72</v>
      </c>
      <c r="G161" s="21">
        <v>48</v>
      </c>
      <c r="H161" s="20">
        <v>0.96</v>
      </c>
      <c r="I161" s="30">
        <f t="shared" ref="I161:I192" si="13">E161+G161</f>
        <v>76.8</v>
      </c>
      <c r="J161" s="20">
        <f t="shared" ref="J161:J192" si="14">F161+H161</f>
        <v>1.68</v>
      </c>
      <c r="K161" s="20">
        <v>27</v>
      </c>
      <c r="L161" s="23">
        <f t="shared" si="12"/>
        <v>103.8</v>
      </c>
    </row>
    <row r="162" spans="1:12" ht="30" x14ac:dyDescent="0.25">
      <c r="A162" s="2">
        <v>43256</v>
      </c>
      <c r="B162" s="36" t="s">
        <v>36</v>
      </c>
      <c r="C162" s="21"/>
      <c r="D162" s="20"/>
      <c r="E162" s="21">
        <v>28.8</v>
      </c>
      <c r="F162" s="20">
        <v>0.72</v>
      </c>
      <c r="G162" s="21">
        <v>86.4</v>
      </c>
      <c r="H162" s="20">
        <v>1.728</v>
      </c>
      <c r="I162" s="30">
        <f t="shared" si="13"/>
        <v>115.2</v>
      </c>
      <c r="J162" s="20">
        <f t="shared" si="14"/>
        <v>2.448</v>
      </c>
      <c r="K162" s="20">
        <v>27</v>
      </c>
      <c r="L162" s="23">
        <f t="shared" si="12"/>
        <v>142.19999999999999</v>
      </c>
    </row>
    <row r="163" spans="1:12" ht="30" x14ac:dyDescent="0.25">
      <c r="A163" s="2">
        <v>43257</v>
      </c>
      <c r="B163" s="36" t="s">
        <v>36</v>
      </c>
      <c r="C163" s="21"/>
      <c r="D163" s="20"/>
      <c r="E163" s="21">
        <v>25.41</v>
      </c>
      <c r="F163" s="20">
        <v>0.63500000000000001</v>
      </c>
      <c r="G163" s="21">
        <v>86.4</v>
      </c>
      <c r="H163" s="20">
        <v>1.728</v>
      </c>
      <c r="I163" s="30">
        <f t="shared" si="13"/>
        <v>111.81</v>
      </c>
      <c r="J163" s="20">
        <f t="shared" si="14"/>
        <v>2.363</v>
      </c>
      <c r="K163" s="20">
        <v>43.2</v>
      </c>
      <c r="L163" s="23">
        <f t="shared" si="12"/>
        <v>155.01</v>
      </c>
    </row>
    <row r="164" spans="1:12" ht="30" x14ac:dyDescent="0.25">
      <c r="A164" s="2">
        <v>43258</v>
      </c>
      <c r="B164" s="36" t="s">
        <v>36</v>
      </c>
      <c r="C164" s="21"/>
      <c r="D164" s="20"/>
      <c r="E164" s="21">
        <v>25.41</v>
      </c>
      <c r="F164" s="20">
        <v>0.63500000000000001</v>
      </c>
      <c r="G164" s="21">
        <v>86.4</v>
      </c>
      <c r="H164" s="20">
        <v>1.728</v>
      </c>
      <c r="I164" s="30">
        <f t="shared" si="13"/>
        <v>111.81</v>
      </c>
      <c r="J164" s="20">
        <f t="shared" si="14"/>
        <v>2.363</v>
      </c>
      <c r="K164" s="20">
        <v>43.2</v>
      </c>
      <c r="L164" s="23">
        <f t="shared" si="12"/>
        <v>155.01</v>
      </c>
    </row>
    <row r="165" spans="1:12" ht="30" x14ac:dyDescent="0.25">
      <c r="A165" s="2">
        <v>43259</v>
      </c>
      <c r="B165" s="36" t="s">
        <v>36</v>
      </c>
      <c r="C165" s="21"/>
      <c r="D165" s="20"/>
      <c r="E165" s="21">
        <v>25.41</v>
      </c>
      <c r="F165" s="20">
        <v>0.63500000000000001</v>
      </c>
      <c r="G165" s="21">
        <v>86.4</v>
      </c>
      <c r="H165" s="20">
        <v>1.728</v>
      </c>
      <c r="I165" s="30">
        <f t="shared" si="13"/>
        <v>111.81</v>
      </c>
      <c r="J165" s="20">
        <f t="shared" si="14"/>
        <v>2.363</v>
      </c>
      <c r="K165" s="20">
        <v>36</v>
      </c>
      <c r="L165" s="23">
        <f t="shared" si="12"/>
        <v>147.81</v>
      </c>
    </row>
    <row r="166" spans="1:12" ht="30" x14ac:dyDescent="0.25">
      <c r="A166" s="2">
        <v>43260</v>
      </c>
      <c r="B166" s="36" t="s">
        <v>36</v>
      </c>
      <c r="C166" s="21"/>
      <c r="D166" s="20"/>
      <c r="E166" s="21">
        <v>25.41</v>
      </c>
      <c r="F166" s="20">
        <v>0.63500000000000001</v>
      </c>
      <c r="G166" s="21">
        <v>86.4</v>
      </c>
      <c r="H166" s="20">
        <v>1.728</v>
      </c>
      <c r="I166" s="30">
        <f t="shared" si="13"/>
        <v>111.81</v>
      </c>
      <c r="J166" s="20">
        <f t="shared" si="14"/>
        <v>2.363</v>
      </c>
      <c r="K166" s="20">
        <v>36</v>
      </c>
      <c r="L166" s="23">
        <f t="shared" si="12"/>
        <v>147.81</v>
      </c>
    </row>
    <row r="167" spans="1:12" ht="30" x14ac:dyDescent="0.25">
      <c r="A167" s="2">
        <v>43261</v>
      </c>
      <c r="B167" s="36" t="s">
        <v>36</v>
      </c>
      <c r="C167" s="21"/>
      <c r="D167" s="20"/>
      <c r="E167" s="21">
        <v>25.41</v>
      </c>
      <c r="F167" s="20">
        <v>0.63500000000000001</v>
      </c>
      <c r="G167" s="21">
        <v>72</v>
      </c>
      <c r="H167" s="20">
        <v>1.44</v>
      </c>
      <c r="I167" s="30">
        <f t="shared" si="13"/>
        <v>97.41</v>
      </c>
      <c r="J167" s="20">
        <f t="shared" si="14"/>
        <v>2.0750000000000002</v>
      </c>
      <c r="K167" s="20">
        <v>36</v>
      </c>
      <c r="L167" s="23">
        <f t="shared" si="12"/>
        <v>133.41</v>
      </c>
    </row>
    <row r="168" spans="1:12" ht="30" x14ac:dyDescent="0.25">
      <c r="A168" s="2">
        <v>43262</v>
      </c>
      <c r="B168" s="36" t="s">
        <v>36</v>
      </c>
      <c r="C168" s="21"/>
      <c r="D168" s="20"/>
      <c r="E168" s="21">
        <v>25.41</v>
      </c>
      <c r="F168" s="20">
        <v>0.63500000000000001</v>
      </c>
      <c r="G168" s="21">
        <v>72</v>
      </c>
      <c r="H168" s="20">
        <v>1.44</v>
      </c>
      <c r="I168" s="30">
        <f t="shared" si="13"/>
        <v>97.41</v>
      </c>
      <c r="J168" s="20">
        <f t="shared" si="14"/>
        <v>2.0750000000000002</v>
      </c>
      <c r="K168" s="20">
        <v>33.229999999999997</v>
      </c>
      <c r="L168" s="23">
        <f t="shared" si="12"/>
        <v>130.63999999999999</v>
      </c>
    </row>
    <row r="169" spans="1:12" ht="30" x14ac:dyDescent="0.25">
      <c r="A169" s="2">
        <v>43263</v>
      </c>
      <c r="B169" s="36" t="s">
        <v>36</v>
      </c>
      <c r="C169" s="21"/>
      <c r="D169" s="20"/>
      <c r="E169" s="21">
        <v>25.41</v>
      </c>
      <c r="F169" s="20">
        <v>0.63500000000000001</v>
      </c>
      <c r="G169" s="21">
        <v>72</v>
      </c>
      <c r="H169" s="20">
        <v>1.44</v>
      </c>
      <c r="I169" s="30">
        <f t="shared" si="13"/>
        <v>97.41</v>
      </c>
      <c r="J169" s="20">
        <f t="shared" si="14"/>
        <v>2.0750000000000002</v>
      </c>
      <c r="K169" s="20">
        <v>33.229999999999997</v>
      </c>
      <c r="L169" s="23">
        <f t="shared" si="12"/>
        <v>130.63999999999999</v>
      </c>
    </row>
    <row r="170" spans="1:12" ht="30" x14ac:dyDescent="0.25">
      <c r="A170" s="2">
        <v>43264</v>
      </c>
      <c r="B170" s="36" t="s">
        <v>36</v>
      </c>
      <c r="C170" s="21"/>
      <c r="D170" s="20"/>
      <c r="E170" s="21">
        <v>25.41</v>
      </c>
      <c r="F170" s="20">
        <v>0.63500000000000001</v>
      </c>
      <c r="G170" s="21">
        <v>72</v>
      </c>
      <c r="H170" s="20">
        <v>1.44</v>
      </c>
      <c r="I170" s="30">
        <f t="shared" si="13"/>
        <v>97.41</v>
      </c>
      <c r="J170" s="20">
        <f t="shared" si="14"/>
        <v>2.0750000000000002</v>
      </c>
      <c r="K170" s="20">
        <v>33.229999999999997</v>
      </c>
      <c r="L170" s="23">
        <f t="shared" si="12"/>
        <v>130.63999999999999</v>
      </c>
    </row>
    <row r="171" spans="1:12" ht="30" x14ac:dyDescent="0.25">
      <c r="A171" s="2">
        <v>43265</v>
      </c>
      <c r="B171" s="36" t="s">
        <v>36</v>
      </c>
      <c r="C171" s="21"/>
      <c r="D171" s="20"/>
      <c r="E171" s="21">
        <v>25.41</v>
      </c>
      <c r="F171" s="20">
        <v>0.63500000000000001</v>
      </c>
      <c r="G171" s="21">
        <v>72</v>
      </c>
      <c r="H171" s="20">
        <v>1.44</v>
      </c>
      <c r="I171" s="30">
        <f t="shared" si="13"/>
        <v>97.41</v>
      </c>
      <c r="J171" s="20">
        <f t="shared" si="14"/>
        <v>2.0750000000000002</v>
      </c>
      <c r="K171" s="20">
        <v>33.229999999999997</v>
      </c>
      <c r="L171" s="23">
        <f t="shared" si="12"/>
        <v>130.63999999999999</v>
      </c>
    </row>
    <row r="172" spans="1:12" ht="30" x14ac:dyDescent="0.25">
      <c r="A172" s="2">
        <v>43266</v>
      </c>
      <c r="B172" s="36" t="s">
        <v>36</v>
      </c>
      <c r="C172" s="21"/>
      <c r="D172" s="20"/>
      <c r="E172" s="21">
        <v>25.41</v>
      </c>
      <c r="F172" s="20">
        <v>0.63500000000000001</v>
      </c>
      <c r="G172" s="21">
        <v>72</v>
      </c>
      <c r="H172" s="20">
        <v>1.44</v>
      </c>
      <c r="I172" s="30">
        <f t="shared" si="13"/>
        <v>97.41</v>
      </c>
      <c r="J172" s="20">
        <f t="shared" si="14"/>
        <v>2.0750000000000002</v>
      </c>
      <c r="K172" s="20">
        <v>33.229999999999997</v>
      </c>
      <c r="L172" s="23">
        <f t="shared" si="12"/>
        <v>130.63999999999999</v>
      </c>
    </row>
    <row r="173" spans="1:12" ht="30" x14ac:dyDescent="0.25">
      <c r="A173" s="2">
        <v>43267</v>
      </c>
      <c r="B173" s="36" t="s">
        <v>36</v>
      </c>
      <c r="C173" s="21"/>
      <c r="D173" s="20"/>
      <c r="E173" s="21">
        <v>25.41</v>
      </c>
      <c r="F173" s="20">
        <v>0.63500000000000001</v>
      </c>
      <c r="G173" s="21">
        <v>72</v>
      </c>
      <c r="H173" s="20">
        <v>1.44</v>
      </c>
      <c r="I173" s="30">
        <f t="shared" si="13"/>
        <v>97.41</v>
      </c>
      <c r="J173" s="20">
        <f t="shared" si="14"/>
        <v>2.0750000000000002</v>
      </c>
      <c r="K173" s="20">
        <v>33.229999999999997</v>
      </c>
      <c r="L173" s="23">
        <f t="shared" si="12"/>
        <v>130.63999999999999</v>
      </c>
    </row>
    <row r="174" spans="1:12" ht="30" x14ac:dyDescent="0.25">
      <c r="A174" s="2">
        <v>43268</v>
      </c>
      <c r="B174" s="36" t="s">
        <v>36</v>
      </c>
      <c r="C174" s="21"/>
      <c r="D174" s="20"/>
      <c r="E174" s="21">
        <v>25.41</v>
      </c>
      <c r="F174" s="20">
        <v>0.63500000000000001</v>
      </c>
      <c r="G174" s="21">
        <v>72</v>
      </c>
      <c r="H174" s="20">
        <v>1.44</v>
      </c>
      <c r="I174" s="30">
        <f t="shared" si="13"/>
        <v>97.41</v>
      </c>
      <c r="J174" s="20">
        <f t="shared" si="14"/>
        <v>2.0750000000000002</v>
      </c>
      <c r="K174" s="20">
        <v>33.229999999999997</v>
      </c>
      <c r="L174" s="23">
        <f t="shared" si="12"/>
        <v>130.63999999999999</v>
      </c>
    </row>
    <row r="175" spans="1:12" ht="30" x14ac:dyDescent="0.25">
      <c r="A175" s="2">
        <v>43269</v>
      </c>
      <c r="B175" s="36" t="s">
        <v>36</v>
      </c>
      <c r="C175" s="21"/>
      <c r="D175" s="20"/>
      <c r="E175" s="21">
        <v>25.41</v>
      </c>
      <c r="F175" s="20">
        <v>0.63500000000000001</v>
      </c>
      <c r="G175" s="21">
        <v>72</v>
      </c>
      <c r="H175" s="20">
        <v>1.44</v>
      </c>
      <c r="I175" s="30">
        <f t="shared" si="13"/>
        <v>97.41</v>
      </c>
      <c r="J175" s="20">
        <f t="shared" si="14"/>
        <v>2.0750000000000002</v>
      </c>
      <c r="K175" s="20">
        <v>28.8</v>
      </c>
      <c r="L175" s="23">
        <f t="shared" si="12"/>
        <v>126.21</v>
      </c>
    </row>
    <row r="176" spans="1:12" ht="30" x14ac:dyDescent="0.25">
      <c r="A176" s="2">
        <v>43270</v>
      </c>
      <c r="B176" s="36" t="s">
        <v>36</v>
      </c>
      <c r="C176" s="21"/>
      <c r="D176" s="20"/>
      <c r="E176" s="21">
        <v>25.41</v>
      </c>
      <c r="F176" s="20">
        <v>0.63500000000000001</v>
      </c>
      <c r="G176" s="21">
        <v>72</v>
      </c>
      <c r="H176" s="20">
        <v>1.44</v>
      </c>
      <c r="I176" s="30">
        <f t="shared" si="13"/>
        <v>97.41</v>
      </c>
      <c r="J176" s="20">
        <f t="shared" si="14"/>
        <v>2.0750000000000002</v>
      </c>
      <c r="K176" s="20">
        <v>28.8</v>
      </c>
      <c r="L176" s="23">
        <f t="shared" si="12"/>
        <v>126.21</v>
      </c>
    </row>
    <row r="177" spans="1:14" ht="30" x14ac:dyDescent="0.25">
      <c r="A177" s="2">
        <v>43271</v>
      </c>
      <c r="B177" s="36" t="s">
        <v>36</v>
      </c>
      <c r="C177" s="21"/>
      <c r="D177" s="20"/>
      <c r="E177" s="21">
        <v>24</v>
      </c>
      <c r="F177" s="20">
        <v>0.6</v>
      </c>
      <c r="G177" s="21">
        <v>72</v>
      </c>
      <c r="H177" s="20">
        <v>1.44</v>
      </c>
      <c r="I177" s="30">
        <f t="shared" si="13"/>
        <v>96</v>
      </c>
      <c r="J177" s="20">
        <f t="shared" si="14"/>
        <v>2.04</v>
      </c>
      <c r="K177" s="20">
        <v>28.8</v>
      </c>
      <c r="L177" s="23">
        <f t="shared" si="12"/>
        <v>124.8</v>
      </c>
    </row>
    <row r="178" spans="1:14" ht="30" x14ac:dyDescent="0.25">
      <c r="A178" s="2">
        <v>43272</v>
      </c>
      <c r="B178" s="36" t="s">
        <v>36</v>
      </c>
      <c r="C178" s="21"/>
      <c r="D178" s="20"/>
      <c r="E178" s="21">
        <v>24</v>
      </c>
      <c r="F178" s="20">
        <v>0.6</v>
      </c>
      <c r="G178" s="21">
        <v>72</v>
      </c>
      <c r="H178" s="20">
        <v>1.44</v>
      </c>
      <c r="I178" s="30">
        <f t="shared" si="13"/>
        <v>96</v>
      </c>
      <c r="J178" s="20">
        <f t="shared" si="14"/>
        <v>2.04</v>
      </c>
      <c r="K178" s="20">
        <v>28.8</v>
      </c>
      <c r="L178" s="23">
        <f t="shared" si="12"/>
        <v>124.8</v>
      </c>
    </row>
    <row r="179" spans="1:14" ht="30" x14ac:dyDescent="0.25">
      <c r="A179" s="2">
        <v>43273</v>
      </c>
      <c r="B179" s="36" t="s">
        <v>37</v>
      </c>
      <c r="C179" s="21"/>
      <c r="D179" s="20"/>
      <c r="E179" s="21">
        <v>24</v>
      </c>
      <c r="F179" s="20">
        <v>0.84</v>
      </c>
      <c r="G179" s="21">
        <v>72</v>
      </c>
      <c r="H179" s="20">
        <v>2.52</v>
      </c>
      <c r="I179" s="30">
        <f t="shared" si="13"/>
        <v>96</v>
      </c>
      <c r="J179" s="20">
        <f t="shared" si="14"/>
        <v>3.36</v>
      </c>
      <c r="K179" s="20">
        <v>28.8</v>
      </c>
      <c r="L179" s="23">
        <f t="shared" si="12"/>
        <v>124.8</v>
      </c>
    </row>
    <row r="180" spans="1:14" ht="30" x14ac:dyDescent="0.25">
      <c r="A180" s="2">
        <v>43274</v>
      </c>
      <c r="B180" s="36" t="s">
        <v>37</v>
      </c>
      <c r="C180" s="21"/>
      <c r="D180" s="20"/>
      <c r="E180" s="21">
        <v>24</v>
      </c>
      <c r="F180" s="20">
        <v>0.84</v>
      </c>
      <c r="G180" s="21">
        <v>72</v>
      </c>
      <c r="H180" s="20">
        <v>2.52</v>
      </c>
      <c r="I180" s="30">
        <f t="shared" si="13"/>
        <v>96</v>
      </c>
      <c r="J180" s="20">
        <f t="shared" si="14"/>
        <v>3.36</v>
      </c>
      <c r="K180" s="20">
        <v>28.8</v>
      </c>
      <c r="L180" s="23">
        <f t="shared" si="12"/>
        <v>124.8</v>
      </c>
    </row>
    <row r="181" spans="1:14" ht="30" x14ac:dyDescent="0.25">
      <c r="A181" s="2">
        <v>43275</v>
      </c>
      <c r="B181" s="36" t="s">
        <v>37</v>
      </c>
      <c r="C181" s="21"/>
      <c r="D181" s="20"/>
      <c r="E181" s="21">
        <v>24</v>
      </c>
      <c r="F181" s="20">
        <v>0.84</v>
      </c>
      <c r="G181" s="21">
        <v>72</v>
      </c>
      <c r="H181" s="20">
        <v>2.52</v>
      </c>
      <c r="I181" s="30">
        <f t="shared" si="13"/>
        <v>96</v>
      </c>
      <c r="J181" s="20">
        <f t="shared" si="14"/>
        <v>3.36</v>
      </c>
      <c r="K181" s="20">
        <v>28.8</v>
      </c>
      <c r="L181" s="23">
        <f t="shared" si="12"/>
        <v>124.8</v>
      </c>
    </row>
    <row r="182" spans="1:14" ht="30" x14ac:dyDescent="0.25">
      <c r="A182" s="2">
        <v>43276</v>
      </c>
      <c r="B182" s="36" t="s">
        <v>37</v>
      </c>
      <c r="C182" s="21"/>
      <c r="D182" s="20"/>
      <c r="E182" s="21">
        <v>24</v>
      </c>
      <c r="F182" s="20">
        <v>0.84</v>
      </c>
      <c r="G182" s="21">
        <v>72</v>
      </c>
      <c r="H182" s="20">
        <v>2.52</v>
      </c>
      <c r="I182" s="30">
        <f t="shared" si="13"/>
        <v>96</v>
      </c>
      <c r="J182" s="20">
        <f t="shared" si="14"/>
        <v>3.36</v>
      </c>
      <c r="K182" s="20">
        <v>28.8</v>
      </c>
      <c r="L182" s="23">
        <f t="shared" si="12"/>
        <v>124.8</v>
      </c>
    </row>
    <row r="183" spans="1:14" ht="30" x14ac:dyDescent="0.25">
      <c r="A183" s="2">
        <v>43277</v>
      </c>
      <c r="B183" s="36" t="s">
        <v>37</v>
      </c>
      <c r="C183" s="21"/>
      <c r="D183" s="20"/>
      <c r="E183" s="21">
        <v>24</v>
      </c>
      <c r="F183" s="20">
        <v>0.84</v>
      </c>
      <c r="G183" s="21">
        <v>72</v>
      </c>
      <c r="H183" s="20">
        <v>2.52</v>
      </c>
      <c r="I183" s="30">
        <f t="shared" si="13"/>
        <v>96</v>
      </c>
      <c r="J183" s="20">
        <f t="shared" si="14"/>
        <v>3.36</v>
      </c>
      <c r="K183" s="20">
        <v>28.8</v>
      </c>
      <c r="L183" s="23">
        <f t="shared" si="12"/>
        <v>124.8</v>
      </c>
    </row>
    <row r="184" spans="1:14" ht="30" x14ac:dyDescent="0.25">
      <c r="A184" s="2">
        <v>43278</v>
      </c>
      <c r="B184" s="36" t="s">
        <v>37</v>
      </c>
      <c r="C184" s="21"/>
      <c r="D184" s="20"/>
      <c r="E184" s="21">
        <v>24</v>
      </c>
      <c r="F184" s="20">
        <v>0.84</v>
      </c>
      <c r="G184" s="21">
        <v>72</v>
      </c>
      <c r="H184" s="20">
        <v>2.52</v>
      </c>
      <c r="I184" s="30">
        <f t="shared" si="13"/>
        <v>96</v>
      </c>
      <c r="J184" s="20">
        <f t="shared" si="14"/>
        <v>3.36</v>
      </c>
      <c r="K184" s="20">
        <v>28.8</v>
      </c>
      <c r="L184" s="23">
        <f t="shared" si="12"/>
        <v>124.8</v>
      </c>
    </row>
    <row r="185" spans="1:14" ht="30" x14ac:dyDescent="0.25">
      <c r="A185" s="2">
        <v>43279</v>
      </c>
      <c r="B185" s="36" t="s">
        <v>39</v>
      </c>
      <c r="C185" s="21"/>
      <c r="D185" s="20"/>
      <c r="E185" s="21">
        <v>24</v>
      </c>
      <c r="F185" s="20">
        <v>0.84</v>
      </c>
      <c r="G185" s="21">
        <v>72</v>
      </c>
      <c r="H185" s="20">
        <v>2.52</v>
      </c>
      <c r="I185" s="30">
        <f t="shared" si="13"/>
        <v>96</v>
      </c>
      <c r="J185" s="20">
        <f t="shared" si="14"/>
        <v>3.36</v>
      </c>
      <c r="K185" s="20">
        <v>28.8</v>
      </c>
      <c r="L185" s="23">
        <f t="shared" si="12"/>
        <v>124.8</v>
      </c>
    </row>
    <row r="186" spans="1:14" ht="30" x14ac:dyDescent="0.25">
      <c r="A186" s="2">
        <v>43280</v>
      </c>
      <c r="B186" s="36" t="s">
        <v>39</v>
      </c>
      <c r="C186" s="21"/>
      <c r="D186" s="20"/>
      <c r="E186" s="10">
        <v>22.74</v>
      </c>
      <c r="F186" s="20">
        <v>0.48</v>
      </c>
      <c r="G186" s="21">
        <v>72</v>
      </c>
      <c r="H186" s="20">
        <v>2.52</v>
      </c>
      <c r="I186" s="30">
        <f t="shared" si="13"/>
        <v>94.74</v>
      </c>
      <c r="J186" s="20">
        <f t="shared" si="14"/>
        <v>3</v>
      </c>
      <c r="K186" s="20">
        <v>28.8</v>
      </c>
      <c r="L186" s="23">
        <f t="shared" si="12"/>
        <v>123.53999999999999</v>
      </c>
    </row>
    <row r="187" spans="1:14" s="27" customFormat="1" ht="30" x14ac:dyDescent="0.25">
      <c r="A187" s="2">
        <v>43281</v>
      </c>
      <c r="B187" s="42" t="s">
        <v>39</v>
      </c>
      <c r="C187" s="24"/>
      <c r="D187" s="24"/>
      <c r="E187" s="24">
        <v>22.74</v>
      </c>
      <c r="F187" s="24">
        <v>0.48</v>
      </c>
      <c r="G187" s="24">
        <v>72</v>
      </c>
      <c r="H187" s="24">
        <v>2.52</v>
      </c>
      <c r="I187" s="30">
        <f t="shared" si="13"/>
        <v>94.74</v>
      </c>
      <c r="J187" s="24">
        <f t="shared" si="14"/>
        <v>3</v>
      </c>
      <c r="K187" s="24">
        <v>28.8</v>
      </c>
      <c r="L187" s="34">
        <f t="shared" si="12"/>
        <v>123.53999999999999</v>
      </c>
      <c r="M187" s="28" t="s">
        <v>25</v>
      </c>
      <c r="N187" s="26">
        <f>SUM(L158:L187)</f>
        <v>3833.630000000001</v>
      </c>
    </row>
    <row r="188" spans="1:14" ht="30" x14ac:dyDescent="0.25">
      <c r="A188" s="2">
        <v>43282</v>
      </c>
      <c r="B188" s="36" t="s">
        <v>39</v>
      </c>
      <c r="C188" s="21"/>
      <c r="D188" s="20"/>
      <c r="E188" s="21">
        <v>22.74</v>
      </c>
      <c r="F188" s="1">
        <v>0.45500000000000002</v>
      </c>
      <c r="G188" s="10">
        <v>72</v>
      </c>
      <c r="H188" s="1">
        <v>2.52</v>
      </c>
      <c r="I188" s="30">
        <f t="shared" si="13"/>
        <v>94.74</v>
      </c>
      <c r="J188" s="20">
        <f t="shared" si="14"/>
        <v>2.9750000000000001</v>
      </c>
      <c r="K188" s="1">
        <v>25.41</v>
      </c>
      <c r="L188" s="23">
        <f t="shared" si="12"/>
        <v>120.14999999999999</v>
      </c>
      <c r="N188" s="19">
        <f>+N187+N157+N126</f>
        <v>14515.370000000003</v>
      </c>
    </row>
    <row r="189" spans="1:14" ht="30" x14ac:dyDescent="0.25">
      <c r="A189" s="2">
        <v>43283</v>
      </c>
      <c r="B189" s="36" t="s">
        <v>39</v>
      </c>
      <c r="C189" s="21"/>
      <c r="D189" s="20"/>
      <c r="E189" s="21">
        <v>22.74</v>
      </c>
      <c r="F189" s="20">
        <v>0.45500000000000002</v>
      </c>
      <c r="G189" s="10">
        <v>72</v>
      </c>
      <c r="H189" s="1">
        <v>2.52</v>
      </c>
      <c r="I189" s="30">
        <f t="shared" si="13"/>
        <v>94.74</v>
      </c>
      <c r="J189" s="20">
        <f t="shared" si="14"/>
        <v>2.9750000000000001</v>
      </c>
      <c r="K189" s="20">
        <v>25.41</v>
      </c>
      <c r="L189" s="23">
        <f t="shared" si="12"/>
        <v>120.14999999999999</v>
      </c>
    </row>
    <row r="190" spans="1:14" ht="30" x14ac:dyDescent="0.25">
      <c r="A190" s="2">
        <v>43284</v>
      </c>
      <c r="B190" s="36" t="s">
        <v>39</v>
      </c>
      <c r="C190" s="21"/>
      <c r="D190" s="20"/>
      <c r="E190" s="21">
        <v>21.6</v>
      </c>
      <c r="F190" s="20">
        <v>0.434</v>
      </c>
      <c r="G190" s="10">
        <v>48</v>
      </c>
      <c r="H190" s="1">
        <v>1.68</v>
      </c>
      <c r="I190" s="30">
        <f t="shared" si="13"/>
        <v>69.599999999999994</v>
      </c>
      <c r="J190" s="20">
        <f t="shared" si="14"/>
        <v>2.1139999999999999</v>
      </c>
      <c r="K190" s="20">
        <v>25.41</v>
      </c>
      <c r="L190" s="23">
        <f t="shared" si="12"/>
        <v>95.009999999999991</v>
      </c>
    </row>
    <row r="191" spans="1:14" ht="30" x14ac:dyDescent="0.25">
      <c r="A191" s="2">
        <v>43285</v>
      </c>
      <c r="B191" s="36" t="s">
        <v>39</v>
      </c>
      <c r="C191" s="21"/>
      <c r="D191" s="20"/>
      <c r="E191" s="21">
        <v>21.6</v>
      </c>
      <c r="F191" s="20">
        <v>0.434</v>
      </c>
      <c r="G191" s="21">
        <v>48</v>
      </c>
      <c r="H191" s="1">
        <v>1.68</v>
      </c>
      <c r="I191" s="30">
        <f t="shared" si="13"/>
        <v>69.599999999999994</v>
      </c>
      <c r="J191" s="20">
        <f t="shared" si="14"/>
        <v>2.1139999999999999</v>
      </c>
      <c r="K191" s="20">
        <v>25.41</v>
      </c>
      <c r="L191" s="23">
        <f t="shared" si="12"/>
        <v>95.009999999999991</v>
      </c>
    </row>
    <row r="192" spans="1:14" ht="30" x14ac:dyDescent="0.25">
      <c r="A192" s="2">
        <v>43286</v>
      </c>
      <c r="B192" s="36" t="s">
        <v>39</v>
      </c>
      <c r="C192" s="21"/>
      <c r="D192" s="20"/>
      <c r="E192" s="21">
        <v>21.6</v>
      </c>
      <c r="F192" s="20">
        <v>0.434</v>
      </c>
      <c r="G192" s="21">
        <v>48</v>
      </c>
      <c r="H192" s="20">
        <v>1.68</v>
      </c>
      <c r="I192" s="30">
        <f t="shared" si="13"/>
        <v>69.599999999999994</v>
      </c>
      <c r="J192" s="20">
        <f t="shared" si="14"/>
        <v>2.1139999999999999</v>
      </c>
      <c r="K192" s="20">
        <v>25.41</v>
      </c>
      <c r="L192" s="23">
        <f t="shared" si="12"/>
        <v>95.009999999999991</v>
      </c>
    </row>
    <row r="193" spans="1:12" ht="30" x14ac:dyDescent="0.25">
      <c r="A193" s="2">
        <v>43287</v>
      </c>
      <c r="B193" s="36" t="s">
        <v>39</v>
      </c>
      <c r="C193" s="21"/>
      <c r="D193" s="20"/>
      <c r="E193" s="21">
        <v>21.6</v>
      </c>
      <c r="F193" s="20">
        <v>0.434</v>
      </c>
      <c r="G193" s="21">
        <v>48</v>
      </c>
      <c r="H193" s="20">
        <v>1.68</v>
      </c>
      <c r="I193" s="30">
        <f t="shared" ref="I193:I197" si="15">E193+G193</f>
        <v>69.599999999999994</v>
      </c>
      <c r="J193" s="20">
        <f t="shared" ref="J193:J198" si="16">F193+H193</f>
        <v>2.1139999999999999</v>
      </c>
      <c r="K193" s="20">
        <v>25.41</v>
      </c>
      <c r="L193" s="23">
        <f t="shared" si="12"/>
        <v>95.009999999999991</v>
      </c>
    </row>
    <row r="194" spans="1:12" ht="30" x14ac:dyDescent="0.25">
      <c r="A194" s="2">
        <v>43288</v>
      </c>
      <c r="B194" s="36" t="s">
        <v>39</v>
      </c>
      <c r="C194" s="21"/>
      <c r="D194" s="20"/>
      <c r="E194" s="21">
        <v>21.6</v>
      </c>
      <c r="F194" s="20">
        <v>0.434</v>
      </c>
      <c r="G194" s="21">
        <v>48</v>
      </c>
      <c r="H194" s="20">
        <v>1.68</v>
      </c>
      <c r="I194" s="30">
        <f t="shared" si="15"/>
        <v>69.599999999999994</v>
      </c>
      <c r="J194" s="20">
        <f t="shared" si="16"/>
        <v>2.1139999999999999</v>
      </c>
      <c r="K194" s="20">
        <v>25.41</v>
      </c>
      <c r="L194" s="23">
        <f t="shared" si="12"/>
        <v>95.009999999999991</v>
      </c>
    </row>
    <row r="195" spans="1:12" ht="30" x14ac:dyDescent="0.25">
      <c r="A195" s="2">
        <v>43289</v>
      </c>
      <c r="B195" s="36" t="s">
        <v>39</v>
      </c>
      <c r="C195" s="21"/>
      <c r="D195" s="20"/>
      <c r="E195" s="21">
        <v>21.6</v>
      </c>
      <c r="F195" s="20">
        <v>0.434</v>
      </c>
      <c r="G195" s="21">
        <v>48</v>
      </c>
      <c r="H195" s="20">
        <v>1.68</v>
      </c>
      <c r="I195" s="30">
        <f t="shared" si="15"/>
        <v>69.599999999999994</v>
      </c>
      <c r="J195" s="20">
        <f t="shared" si="16"/>
        <v>2.1139999999999999</v>
      </c>
      <c r="K195" s="1">
        <v>24</v>
      </c>
      <c r="L195" s="23">
        <f t="shared" si="12"/>
        <v>93.6</v>
      </c>
    </row>
    <row r="196" spans="1:12" ht="30" x14ac:dyDescent="0.25">
      <c r="A196" s="2">
        <v>43290</v>
      </c>
      <c r="B196" s="36" t="s">
        <v>39</v>
      </c>
      <c r="C196" s="21"/>
      <c r="D196" s="20"/>
      <c r="E196" s="21">
        <v>21.6</v>
      </c>
      <c r="F196" s="20">
        <v>0.434</v>
      </c>
      <c r="G196" s="21">
        <v>48</v>
      </c>
      <c r="H196" s="20">
        <v>1.68</v>
      </c>
      <c r="I196" s="30">
        <f>E196+G196</f>
        <v>69.599999999999994</v>
      </c>
      <c r="J196" s="20">
        <f>F196+H196</f>
        <v>2.1139999999999999</v>
      </c>
      <c r="K196" s="1">
        <v>24</v>
      </c>
      <c r="L196" s="23">
        <f t="shared" si="12"/>
        <v>93.6</v>
      </c>
    </row>
    <row r="197" spans="1:12" ht="30" x14ac:dyDescent="0.25">
      <c r="A197" s="2">
        <v>43291</v>
      </c>
      <c r="B197" s="36" t="s">
        <v>39</v>
      </c>
      <c r="C197" s="21"/>
      <c r="D197" s="20"/>
      <c r="E197" s="21">
        <v>21.6</v>
      </c>
      <c r="F197" s="20">
        <v>0.434</v>
      </c>
      <c r="G197" s="21">
        <v>43.2</v>
      </c>
      <c r="H197" s="20">
        <v>1.512</v>
      </c>
      <c r="I197" s="30">
        <f t="shared" si="15"/>
        <v>64.800000000000011</v>
      </c>
      <c r="J197" s="20">
        <f>F197+H197</f>
        <v>1.946</v>
      </c>
      <c r="K197" s="1">
        <v>24</v>
      </c>
      <c r="L197" s="23">
        <f t="shared" si="12"/>
        <v>88.800000000000011</v>
      </c>
    </row>
    <row r="198" spans="1:12" ht="30" x14ac:dyDescent="0.25">
      <c r="A198" s="2">
        <v>43292</v>
      </c>
      <c r="B198" s="36" t="s">
        <v>39</v>
      </c>
      <c r="C198" s="21"/>
      <c r="D198" s="20"/>
      <c r="E198" s="21">
        <v>21.6</v>
      </c>
      <c r="F198" s="20">
        <v>0.432</v>
      </c>
      <c r="G198" s="10">
        <v>43.2</v>
      </c>
      <c r="H198" s="1">
        <v>1.512</v>
      </c>
      <c r="I198" s="30">
        <f>E198+G198</f>
        <v>64.800000000000011</v>
      </c>
      <c r="J198" s="20">
        <f t="shared" si="16"/>
        <v>1.944</v>
      </c>
      <c r="K198" s="1">
        <v>24</v>
      </c>
      <c r="L198" s="23">
        <f t="shared" si="12"/>
        <v>88.800000000000011</v>
      </c>
    </row>
    <row r="199" spans="1:12" ht="30" x14ac:dyDescent="0.25">
      <c r="A199" s="2">
        <v>43293</v>
      </c>
      <c r="B199" s="36" t="s">
        <v>39</v>
      </c>
      <c r="C199" s="21"/>
      <c r="D199" s="20"/>
      <c r="E199" s="10">
        <v>21.6</v>
      </c>
      <c r="F199" s="1">
        <v>0.432</v>
      </c>
      <c r="G199" s="20">
        <v>43.2</v>
      </c>
      <c r="H199" s="20">
        <v>1.512</v>
      </c>
      <c r="I199" s="30">
        <f>E199+G199</f>
        <v>64.800000000000011</v>
      </c>
      <c r="J199" s="20">
        <f>F199+H199</f>
        <v>1.944</v>
      </c>
      <c r="K199" s="1">
        <v>24</v>
      </c>
      <c r="L199" s="23">
        <f t="shared" si="12"/>
        <v>88.800000000000011</v>
      </c>
    </row>
    <row r="200" spans="1:12" ht="30" x14ac:dyDescent="0.25">
      <c r="A200" s="2">
        <v>43294</v>
      </c>
      <c r="B200" s="36" t="s">
        <v>39</v>
      </c>
      <c r="C200" s="21"/>
      <c r="D200" s="20"/>
      <c r="E200" s="10">
        <v>21.6</v>
      </c>
      <c r="F200" s="1">
        <v>0.432</v>
      </c>
      <c r="G200" s="20">
        <v>43.2</v>
      </c>
      <c r="H200" s="20">
        <v>1.512</v>
      </c>
      <c r="I200" s="30">
        <f>E200+G200</f>
        <v>64.800000000000011</v>
      </c>
      <c r="J200" s="20">
        <f>F200+H200</f>
        <v>1.944</v>
      </c>
      <c r="K200" s="1">
        <v>24</v>
      </c>
      <c r="L200" s="23">
        <f t="shared" ref="L200:L263" si="17">I200+K200</f>
        <v>88.800000000000011</v>
      </c>
    </row>
    <row r="201" spans="1:12" ht="30" x14ac:dyDescent="0.25">
      <c r="A201" s="2">
        <v>43295</v>
      </c>
      <c r="B201" s="36" t="s">
        <v>39</v>
      </c>
      <c r="C201" s="21"/>
      <c r="D201" s="20"/>
      <c r="E201" s="10">
        <v>21.6</v>
      </c>
      <c r="F201" s="1">
        <v>0.432</v>
      </c>
      <c r="G201" s="20">
        <v>43.2</v>
      </c>
      <c r="H201" s="20">
        <v>1.512</v>
      </c>
      <c r="I201" s="30">
        <f>E201+G201</f>
        <v>64.800000000000011</v>
      </c>
      <c r="J201" s="20">
        <f t="shared" ref="J201:J203" si="18">F201+H201</f>
        <v>1.944</v>
      </c>
      <c r="K201" s="1">
        <v>24</v>
      </c>
      <c r="L201" s="23">
        <f t="shared" si="17"/>
        <v>88.800000000000011</v>
      </c>
    </row>
    <row r="202" spans="1:12" ht="30" x14ac:dyDescent="0.25">
      <c r="A202" s="2">
        <v>43296</v>
      </c>
      <c r="B202" s="36" t="s">
        <v>39</v>
      </c>
      <c r="C202" s="21"/>
      <c r="D202" s="20"/>
      <c r="E202" s="10">
        <v>21.6</v>
      </c>
      <c r="F202" s="1">
        <v>0.432</v>
      </c>
      <c r="G202" s="20">
        <v>43.2</v>
      </c>
      <c r="H202" s="20">
        <v>1.512</v>
      </c>
      <c r="I202" s="30">
        <f>E202+G202</f>
        <v>64.800000000000011</v>
      </c>
      <c r="J202" s="20">
        <f t="shared" si="18"/>
        <v>1.944</v>
      </c>
      <c r="K202" s="30">
        <v>24</v>
      </c>
      <c r="L202" s="23">
        <f t="shared" si="17"/>
        <v>88.800000000000011</v>
      </c>
    </row>
    <row r="203" spans="1:12" ht="30" x14ac:dyDescent="0.25">
      <c r="A203" s="2">
        <v>43297</v>
      </c>
      <c r="B203" s="36" t="s">
        <v>39</v>
      </c>
      <c r="C203" s="21"/>
      <c r="D203" s="20"/>
      <c r="E203" s="10">
        <v>21.6</v>
      </c>
      <c r="F203" s="1">
        <v>0.432</v>
      </c>
      <c r="G203" s="20">
        <v>43.2</v>
      </c>
      <c r="H203" s="20">
        <v>1.512</v>
      </c>
      <c r="I203" s="30">
        <f t="shared" ref="I203:I217" si="19">E203+G203</f>
        <v>64.800000000000011</v>
      </c>
      <c r="J203" s="20">
        <f t="shared" si="18"/>
        <v>1.944</v>
      </c>
      <c r="K203" s="20">
        <v>21.6</v>
      </c>
      <c r="L203" s="23">
        <f t="shared" si="17"/>
        <v>86.4</v>
      </c>
    </row>
    <row r="204" spans="1:12" ht="30" x14ac:dyDescent="0.25">
      <c r="A204" s="2">
        <v>43298</v>
      </c>
      <c r="B204" s="36" t="s">
        <v>39</v>
      </c>
      <c r="C204" s="21"/>
      <c r="D204" s="20"/>
      <c r="E204" s="10">
        <v>20.57</v>
      </c>
      <c r="F204" s="1">
        <v>0.41099999999999998</v>
      </c>
      <c r="G204" s="20">
        <v>43.2</v>
      </c>
      <c r="H204" s="20">
        <v>1.512</v>
      </c>
      <c r="I204" s="30">
        <f>E204+G204</f>
        <v>63.77</v>
      </c>
      <c r="J204" s="20">
        <f>F204+H204</f>
        <v>1.923</v>
      </c>
      <c r="K204" s="20">
        <v>21.6</v>
      </c>
      <c r="L204" s="23">
        <f t="shared" si="17"/>
        <v>85.37</v>
      </c>
    </row>
    <row r="205" spans="1:12" ht="30" x14ac:dyDescent="0.25">
      <c r="A205" s="2">
        <v>43299</v>
      </c>
      <c r="B205" s="36" t="s">
        <v>39</v>
      </c>
      <c r="C205" s="21"/>
      <c r="D205" s="20"/>
      <c r="E205" s="10">
        <v>20.57</v>
      </c>
      <c r="F205" s="1">
        <v>0.41099999999999998</v>
      </c>
      <c r="G205" s="20">
        <v>43.2</v>
      </c>
      <c r="H205" s="20">
        <v>1.512</v>
      </c>
      <c r="I205" s="30">
        <f t="shared" si="19"/>
        <v>63.77</v>
      </c>
      <c r="J205" s="20">
        <f t="shared" ref="J205:J217" si="20">F205+H205</f>
        <v>1.923</v>
      </c>
      <c r="K205" s="20">
        <v>21.6</v>
      </c>
      <c r="L205" s="23">
        <f t="shared" si="17"/>
        <v>85.37</v>
      </c>
    </row>
    <row r="206" spans="1:12" ht="30" x14ac:dyDescent="0.25">
      <c r="A206" s="2">
        <v>43300</v>
      </c>
      <c r="B206" s="36" t="s">
        <v>39</v>
      </c>
      <c r="C206" s="21"/>
      <c r="D206" s="20"/>
      <c r="E206" s="10">
        <v>20.57</v>
      </c>
      <c r="F206" s="1">
        <v>0.41099999999999998</v>
      </c>
      <c r="G206" s="20">
        <v>43.2</v>
      </c>
      <c r="H206" s="20">
        <v>1.512</v>
      </c>
      <c r="I206" s="30">
        <f t="shared" si="19"/>
        <v>63.77</v>
      </c>
      <c r="J206" s="20">
        <f t="shared" si="20"/>
        <v>1.923</v>
      </c>
      <c r="K206" s="20">
        <v>21.6</v>
      </c>
      <c r="L206" s="23">
        <f t="shared" si="17"/>
        <v>85.37</v>
      </c>
    </row>
    <row r="207" spans="1:12" ht="30" x14ac:dyDescent="0.25">
      <c r="A207" s="2">
        <v>43301</v>
      </c>
      <c r="B207" s="36" t="s">
        <v>39</v>
      </c>
      <c r="C207" s="10"/>
      <c r="D207" s="20"/>
      <c r="E207" s="21">
        <v>20.57</v>
      </c>
      <c r="F207" s="20">
        <v>0.41099999999999998</v>
      </c>
      <c r="G207" s="20">
        <v>43.2</v>
      </c>
      <c r="H207" s="20">
        <v>1.512</v>
      </c>
      <c r="I207" s="30">
        <f t="shared" si="19"/>
        <v>63.77</v>
      </c>
      <c r="J207" s="20">
        <f t="shared" si="20"/>
        <v>1.923</v>
      </c>
      <c r="K207" s="20">
        <v>21.6</v>
      </c>
      <c r="L207" s="23">
        <f t="shared" si="17"/>
        <v>85.37</v>
      </c>
    </row>
    <row r="208" spans="1:12" ht="30" x14ac:dyDescent="0.25">
      <c r="A208" s="2">
        <v>43302</v>
      </c>
      <c r="B208" s="36" t="s">
        <v>39</v>
      </c>
      <c r="C208" s="10"/>
      <c r="D208" s="20"/>
      <c r="E208" s="21">
        <v>20.57</v>
      </c>
      <c r="F208" s="20">
        <v>0.41099999999999998</v>
      </c>
      <c r="G208" s="20">
        <v>43.2</v>
      </c>
      <c r="H208" s="20">
        <v>1.512</v>
      </c>
      <c r="I208" s="30">
        <f t="shared" si="19"/>
        <v>63.77</v>
      </c>
      <c r="J208" s="20">
        <f t="shared" si="20"/>
        <v>1.923</v>
      </c>
      <c r="K208" s="20">
        <v>21.6</v>
      </c>
      <c r="L208" s="23">
        <f t="shared" si="17"/>
        <v>85.37</v>
      </c>
    </row>
    <row r="209" spans="1:14" ht="30" x14ac:dyDescent="0.25">
      <c r="A209" s="2">
        <v>43303</v>
      </c>
      <c r="B209" s="36" t="s">
        <v>39</v>
      </c>
      <c r="C209" s="10"/>
      <c r="D209" s="20"/>
      <c r="E209" s="21">
        <v>20.57</v>
      </c>
      <c r="F209" s="20">
        <v>0.41099999999999998</v>
      </c>
      <c r="G209" s="20">
        <v>43.2</v>
      </c>
      <c r="H209" s="20">
        <v>1.512</v>
      </c>
      <c r="I209" s="30">
        <f t="shared" si="19"/>
        <v>63.77</v>
      </c>
      <c r="J209" s="20">
        <f t="shared" si="20"/>
        <v>1.923</v>
      </c>
      <c r="K209" s="20">
        <v>21.6</v>
      </c>
      <c r="L209" s="23">
        <f t="shared" si="17"/>
        <v>85.37</v>
      </c>
    </row>
    <row r="210" spans="1:14" ht="30" x14ac:dyDescent="0.25">
      <c r="A210" s="2">
        <v>43304</v>
      </c>
      <c r="B210" s="36" t="s">
        <v>39</v>
      </c>
      <c r="C210" s="10"/>
      <c r="D210" s="20"/>
      <c r="E210" s="21">
        <v>20.57</v>
      </c>
      <c r="F210" s="20">
        <v>0.41099999999999998</v>
      </c>
      <c r="G210" s="20">
        <v>43.2</v>
      </c>
      <c r="H210" s="20">
        <v>1.512</v>
      </c>
      <c r="I210" s="30">
        <f t="shared" si="19"/>
        <v>63.77</v>
      </c>
      <c r="J210" s="20">
        <f t="shared" si="20"/>
        <v>1.923</v>
      </c>
      <c r="K210" s="30">
        <v>21.6</v>
      </c>
      <c r="L210" s="23">
        <f t="shared" si="17"/>
        <v>85.37</v>
      </c>
    </row>
    <row r="211" spans="1:14" ht="30" x14ac:dyDescent="0.25">
      <c r="A211" s="2">
        <v>43305</v>
      </c>
      <c r="B211" s="36" t="s">
        <v>39</v>
      </c>
      <c r="C211" s="10"/>
      <c r="D211" s="20"/>
      <c r="E211" s="21">
        <v>20.57</v>
      </c>
      <c r="F211" s="20">
        <v>0.41099999999999998</v>
      </c>
      <c r="G211" s="20">
        <v>43.2</v>
      </c>
      <c r="H211" s="20">
        <v>1.512</v>
      </c>
      <c r="I211" s="30">
        <f t="shared" si="19"/>
        <v>63.77</v>
      </c>
      <c r="J211" s="20">
        <f t="shared" si="20"/>
        <v>1.923</v>
      </c>
      <c r="K211" s="1">
        <v>28.8</v>
      </c>
      <c r="L211" s="23">
        <f t="shared" si="17"/>
        <v>92.570000000000007</v>
      </c>
    </row>
    <row r="212" spans="1:14" ht="30" x14ac:dyDescent="0.25">
      <c r="A212" s="2">
        <v>43306</v>
      </c>
      <c r="B212" s="36" t="s">
        <v>39</v>
      </c>
      <c r="C212" s="10"/>
      <c r="D212" s="20"/>
      <c r="E212" s="21">
        <v>20.57</v>
      </c>
      <c r="F212" s="20">
        <v>0.41099999999999998</v>
      </c>
      <c r="G212" s="20">
        <v>43.2</v>
      </c>
      <c r="H212" s="20">
        <v>1.512</v>
      </c>
      <c r="I212" s="30">
        <f t="shared" si="19"/>
        <v>63.77</v>
      </c>
      <c r="J212" s="20">
        <f t="shared" si="20"/>
        <v>1.923</v>
      </c>
      <c r="K212" s="20">
        <v>28.8</v>
      </c>
      <c r="L212" s="23">
        <f t="shared" si="17"/>
        <v>92.570000000000007</v>
      </c>
    </row>
    <row r="213" spans="1:14" ht="30" x14ac:dyDescent="0.25">
      <c r="A213" s="2">
        <v>43307</v>
      </c>
      <c r="B213" s="36" t="s">
        <v>39</v>
      </c>
      <c r="C213" s="10"/>
      <c r="D213" s="20"/>
      <c r="E213" s="21">
        <v>20.57</v>
      </c>
      <c r="F213" s="20">
        <v>0.41099999999999998</v>
      </c>
      <c r="G213" s="20">
        <v>43.2</v>
      </c>
      <c r="H213" s="20">
        <v>1.512</v>
      </c>
      <c r="I213" s="30">
        <f t="shared" si="19"/>
        <v>63.77</v>
      </c>
      <c r="J213" s="20">
        <f t="shared" si="20"/>
        <v>1.923</v>
      </c>
      <c r="K213" s="20">
        <v>28.8</v>
      </c>
      <c r="L213" s="23">
        <f t="shared" si="17"/>
        <v>92.570000000000007</v>
      </c>
    </row>
    <row r="214" spans="1:14" ht="30" x14ac:dyDescent="0.25">
      <c r="A214" s="2">
        <v>43308</v>
      </c>
      <c r="B214" s="36" t="s">
        <v>39</v>
      </c>
      <c r="C214" s="10"/>
      <c r="D214" s="20"/>
      <c r="E214" s="21">
        <v>20.57</v>
      </c>
      <c r="F214" s="20">
        <v>0.41099999999999998</v>
      </c>
      <c r="G214" s="20">
        <v>43.2</v>
      </c>
      <c r="H214" s="20">
        <v>1.512</v>
      </c>
      <c r="I214" s="30">
        <f t="shared" si="19"/>
        <v>63.77</v>
      </c>
      <c r="J214" s="20">
        <f t="shared" si="20"/>
        <v>1.923</v>
      </c>
      <c r="K214" s="20">
        <v>28.8</v>
      </c>
      <c r="L214" s="23">
        <f t="shared" si="17"/>
        <v>92.570000000000007</v>
      </c>
    </row>
    <row r="215" spans="1:14" ht="30" x14ac:dyDescent="0.25">
      <c r="A215" s="2">
        <v>43309</v>
      </c>
      <c r="B215" s="36" t="s">
        <v>39</v>
      </c>
      <c r="C215" s="10"/>
      <c r="D215" s="20"/>
      <c r="E215" s="21">
        <v>20.57</v>
      </c>
      <c r="F215" s="20">
        <v>0.41099999999999998</v>
      </c>
      <c r="G215" s="20">
        <v>43.2</v>
      </c>
      <c r="H215" s="20">
        <v>1.512</v>
      </c>
      <c r="I215" s="30">
        <f t="shared" si="19"/>
        <v>63.77</v>
      </c>
      <c r="J215" s="20">
        <f t="shared" si="20"/>
        <v>1.923</v>
      </c>
      <c r="K215" s="20">
        <v>28.8</v>
      </c>
      <c r="L215" s="23">
        <f t="shared" si="17"/>
        <v>92.570000000000007</v>
      </c>
    </row>
    <row r="216" spans="1:14" ht="30" x14ac:dyDescent="0.25">
      <c r="A216" s="2">
        <v>43310</v>
      </c>
      <c r="B216" s="36" t="s">
        <v>39</v>
      </c>
      <c r="C216" s="10"/>
      <c r="D216" s="20"/>
      <c r="E216" s="21">
        <v>20.57</v>
      </c>
      <c r="F216" s="20">
        <v>0.41099999999999998</v>
      </c>
      <c r="G216" s="20">
        <v>43.2</v>
      </c>
      <c r="H216" s="20">
        <v>1.512</v>
      </c>
      <c r="I216" s="30">
        <f t="shared" si="19"/>
        <v>63.77</v>
      </c>
      <c r="J216" s="20">
        <f t="shared" si="20"/>
        <v>1.923</v>
      </c>
      <c r="K216" s="20">
        <v>28.8</v>
      </c>
      <c r="L216" s="23">
        <f t="shared" si="17"/>
        <v>92.570000000000007</v>
      </c>
    </row>
    <row r="217" spans="1:14" ht="30" x14ac:dyDescent="0.25">
      <c r="A217" s="2">
        <v>43311</v>
      </c>
      <c r="B217" s="36" t="s">
        <v>39</v>
      </c>
      <c r="C217" s="10"/>
      <c r="D217" s="20"/>
      <c r="E217" s="21">
        <v>20.57</v>
      </c>
      <c r="F217" s="20">
        <v>0.41099999999999998</v>
      </c>
      <c r="G217" s="20">
        <v>43.2</v>
      </c>
      <c r="H217" s="20">
        <v>1.512</v>
      </c>
      <c r="I217" s="30">
        <f t="shared" si="19"/>
        <v>63.77</v>
      </c>
      <c r="J217" s="20">
        <f t="shared" si="20"/>
        <v>1.923</v>
      </c>
      <c r="K217" s="20">
        <v>28.8</v>
      </c>
      <c r="L217" s="23">
        <f t="shared" si="17"/>
        <v>92.570000000000007</v>
      </c>
    </row>
    <row r="218" spans="1:14" s="27" customFormat="1" ht="30" x14ac:dyDescent="0.25">
      <c r="A218" s="50">
        <v>43312</v>
      </c>
      <c r="B218" s="42" t="s">
        <v>39</v>
      </c>
      <c r="C218" s="24"/>
      <c r="D218" s="24"/>
      <c r="E218" s="24">
        <v>20.57</v>
      </c>
      <c r="F218" s="24">
        <v>0.41099999999999998</v>
      </c>
      <c r="G218" s="24">
        <v>43.2</v>
      </c>
      <c r="H218" s="24">
        <v>1.512</v>
      </c>
      <c r="I218" s="24">
        <f>E218+G218</f>
        <v>63.77</v>
      </c>
      <c r="J218" s="24">
        <f>F218+H218</f>
        <v>1.923</v>
      </c>
      <c r="K218" s="24">
        <v>28.8</v>
      </c>
      <c r="L218" s="34">
        <f>I218+K218</f>
        <v>92.570000000000007</v>
      </c>
      <c r="M218" s="28" t="s">
        <v>26</v>
      </c>
      <c r="N218" s="25">
        <f>SUM(L188:L218)</f>
        <v>2859.9000000000005</v>
      </c>
    </row>
    <row r="219" spans="1:14" ht="30" x14ac:dyDescent="0.25">
      <c r="A219" s="2">
        <v>43313</v>
      </c>
      <c r="B219" s="36" t="s">
        <v>40</v>
      </c>
      <c r="C219" s="10"/>
      <c r="D219" s="1"/>
      <c r="E219" s="10">
        <v>18.78</v>
      </c>
      <c r="F219" s="1">
        <v>0.376</v>
      </c>
      <c r="G219" s="20">
        <v>43.2</v>
      </c>
      <c r="H219" s="20">
        <v>1.512</v>
      </c>
      <c r="I219" s="30">
        <f>E219+G219</f>
        <v>61.980000000000004</v>
      </c>
      <c r="J219" s="20">
        <f>F219+H219</f>
        <v>1.8879999999999999</v>
      </c>
      <c r="K219" s="1">
        <v>28.8</v>
      </c>
      <c r="L219" s="23">
        <f>I219+K219</f>
        <v>90.78</v>
      </c>
    </row>
    <row r="220" spans="1:14" ht="30" x14ac:dyDescent="0.25">
      <c r="A220" s="2">
        <v>43314</v>
      </c>
      <c r="B220" s="36" t="s">
        <v>40</v>
      </c>
      <c r="C220" s="10"/>
      <c r="D220" s="20"/>
      <c r="E220" s="21">
        <v>18.78</v>
      </c>
      <c r="F220" s="20">
        <v>0.376</v>
      </c>
      <c r="G220" s="20">
        <v>43.2</v>
      </c>
      <c r="H220" s="20">
        <v>1.512</v>
      </c>
      <c r="I220" s="30">
        <f t="shared" ref="I220:I224" si="21">E220+G220</f>
        <v>61.980000000000004</v>
      </c>
      <c r="J220" s="20">
        <f t="shared" ref="J220:J224" si="22">F220+H220</f>
        <v>1.8879999999999999</v>
      </c>
      <c r="K220" s="20">
        <v>28.8</v>
      </c>
      <c r="L220" s="23">
        <f t="shared" si="17"/>
        <v>90.78</v>
      </c>
    </row>
    <row r="221" spans="1:14" ht="30" x14ac:dyDescent="0.25">
      <c r="A221" s="2">
        <v>43315</v>
      </c>
      <c r="B221" s="36" t="s">
        <v>40</v>
      </c>
      <c r="C221" s="21"/>
      <c r="D221" s="20"/>
      <c r="E221" s="21">
        <v>18.78</v>
      </c>
      <c r="F221" s="20">
        <v>0.376</v>
      </c>
      <c r="G221" s="20">
        <v>43.2</v>
      </c>
      <c r="H221" s="20">
        <v>1.512</v>
      </c>
      <c r="I221" s="30">
        <f t="shared" si="21"/>
        <v>61.980000000000004</v>
      </c>
      <c r="J221" s="20">
        <f t="shared" si="22"/>
        <v>1.8879999999999999</v>
      </c>
      <c r="K221" s="20">
        <v>28.8</v>
      </c>
      <c r="L221" s="23">
        <f t="shared" si="17"/>
        <v>90.78</v>
      </c>
    </row>
    <row r="222" spans="1:14" ht="30" x14ac:dyDescent="0.25">
      <c r="A222" s="2">
        <v>43316</v>
      </c>
      <c r="B222" s="36" t="s">
        <v>40</v>
      </c>
      <c r="C222" s="21"/>
      <c r="D222" s="20"/>
      <c r="E222" s="21">
        <v>18.78</v>
      </c>
      <c r="F222" s="20">
        <v>0.376</v>
      </c>
      <c r="G222" s="20">
        <v>43.2</v>
      </c>
      <c r="H222" s="20">
        <v>1.512</v>
      </c>
      <c r="I222" s="30">
        <f t="shared" si="21"/>
        <v>61.980000000000004</v>
      </c>
      <c r="J222" s="20">
        <f t="shared" si="22"/>
        <v>1.8879999999999999</v>
      </c>
      <c r="K222" s="20">
        <v>28.8</v>
      </c>
      <c r="L222" s="23">
        <f t="shared" si="17"/>
        <v>90.78</v>
      </c>
    </row>
    <row r="223" spans="1:14" ht="30" x14ac:dyDescent="0.25">
      <c r="A223" s="2">
        <v>43317</v>
      </c>
      <c r="B223" s="36" t="s">
        <v>40</v>
      </c>
      <c r="C223" s="21"/>
      <c r="D223" s="20"/>
      <c r="E223" s="21">
        <v>18.78</v>
      </c>
      <c r="F223" s="20">
        <v>0.376</v>
      </c>
      <c r="G223" s="20">
        <v>43.2</v>
      </c>
      <c r="H223" s="20">
        <v>1.512</v>
      </c>
      <c r="I223" s="30">
        <f t="shared" si="21"/>
        <v>61.980000000000004</v>
      </c>
      <c r="J223" s="20">
        <f t="shared" si="22"/>
        <v>1.8879999999999999</v>
      </c>
      <c r="K223" s="20">
        <v>28.8</v>
      </c>
      <c r="L223" s="23">
        <f t="shared" si="17"/>
        <v>90.78</v>
      </c>
    </row>
    <row r="224" spans="1:14" ht="30" x14ac:dyDescent="0.25">
      <c r="A224" s="2">
        <v>43318</v>
      </c>
      <c r="B224" s="36" t="s">
        <v>40</v>
      </c>
      <c r="C224" s="21"/>
      <c r="D224" s="20"/>
      <c r="E224" s="21">
        <v>18.78</v>
      </c>
      <c r="F224" s="20">
        <v>0.376</v>
      </c>
      <c r="G224" s="20">
        <v>43.2</v>
      </c>
      <c r="H224" s="20">
        <v>1.512</v>
      </c>
      <c r="I224" s="30">
        <f t="shared" si="21"/>
        <v>61.980000000000004</v>
      </c>
      <c r="J224" s="20">
        <f t="shared" si="22"/>
        <v>1.8879999999999999</v>
      </c>
      <c r="K224" s="20">
        <v>28.8</v>
      </c>
      <c r="L224" s="23">
        <f t="shared" si="17"/>
        <v>90.78</v>
      </c>
    </row>
    <row r="225" spans="1:12" ht="30" x14ac:dyDescent="0.25">
      <c r="A225" s="2">
        <v>43319</v>
      </c>
      <c r="B225" s="36" t="s">
        <v>40</v>
      </c>
      <c r="C225" s="21"/>
      <c r="D225" s="20"/>
      <c r="E225" s="21">
        <v>18.78</v>
      </c>
      <c r="F225" s="20">
        <v>0.376</v>
      </c>
      <c r="G225" s="20">
        <v>43.2</v>
      </c>
      <c r="H225" s="20">
        <v>1.512</v>
      </c>
      <c r="I225" s="30">
        <f>E225+G225</f>
        <v>61.980000000000004</v>
      </c>
      <c r="J225" s="20">
        <f>F225+H225</f>
        <v>1.8879999999999999</v>
      </c>
      <c r="K225" s="1">
        <v>28.8</v>
      </c>
      <c r="L225" s="23">
        <f>I225+K225</f>
        <v>90.78</v>
      </c>
    </row>
    <row r="226" spans="1:12" ht="30" x14ac:dyDescent="0.25">
      <c r="A226" s="2">
        <v>43320</v>
      </c>
      <c r="B226" s="36" t="s">
        <v>40</v>
      </c>
      <c r="C226" s="21">
        <v>43.2</v>
      </c>
      <c r="D226" s="20">
        <v>1.512</v>
      </c>
      <c r="E226" s="21">
        <v>18.78</v>
      </c>
      <c r="F226" s="20">
        <v>0.376</v>
      </c>
      <c r="G226" s="20"/>
      <c r="H226" s="20"/>
      <c r="I226" s="30">
        <f>SUM(C226+E226)</f>
        <v>61.980000000000004</v>
      </c>
      <c r="J226" s="20">
        <f>D226+F226</f>
        <v>1.8879999999999999</v>
      </c>
      <c r="K226" s="20">
        <v>28.8</v>
      </c>
      <c r="L226" s="23">
        <f t="shared" si="17"/>
        <v>90.78</v>
      </c>
    </row>
    <row r="227" spans="1:12" ht="30" x14ac:dyDescent="0.25">
      <c r="A227" s="2">
        <v>43321</v>
      </c>
      <c r="B227" s="36" t="s">
        <v>40</v>
      </c>
      <c r="C227" s="21">
        <v>43.2</v>
      </c>
      <c r="D227" s="20">
        <v>1.512</v>
      </c>
      <c r="E227" s="21">
        <v>18.78</v>
      </c>
      <c r="F227" s="20">
        <v>0.376</v>
      </c>
      <c r="G227" s="20"/>
      <c r="H227" s="20"/>
      <c r="I227" s="30">
        <f t="shared" ref="I227:I249" si="23">SUM(C227+E227)</f>
        <v>61.980000000000004</v>
      </c>
      <c r="J227" s="20">
        <f t="shared" ref="J227:J249" si="24">D227+F227</f>
        <v>1.8879999999999999</v>
      </c>
      <c r="K227" s="20">
        <v>25.41</v>
      </c>
      <c r="L227" s="23">
        <f t="shared" si="17"/>
        <v>87.39</v>
      </c>
    </row>
    <row r="228" spans="1:12" ht="30" x14ac:dyDescent="0.25">
      <c r="A228" s="2">
        <v>43322</v>
      </c>
      <c r="B228" s="36" t="s">
        <v>40</v>
      </c>
      <c r="C228" s="21">
        <v>43.2</v>
      </c>
      <c r="D228" s="20">
        <v>1.512</v>
      </c>
      <c r="E228" s="21">
        <v>18.78</v>
      </c>
      <c r="F228" s="20">
        <v>0.376</v>
      </c>
      <c r="G228" s="20"/>
      <c r="H228" s="20"/>
      <c r="I228" s="30">
        <f t="shared" si="23"/>
        <v>61.980000000000004</v>
      </c>
      <c r="J228" s="20">
        <f t="shared" si="24"/>
        <v>1.8879999999999999</v>
      </c>
      <c r="K228" s="20">
        <v>25.41</v>
      </c>
      <c r="L228" s="23">
        <f t="shared" si="17"/>
        <v>87.39</v>
      </c>
    </row>
    <row r="229" spans="1:12" ht="30" x14ac:dyDescent="0.25">
      <c r="A229" s="2">
        <v>43323</v>
      </c>
      <c r="B229" s="36" t="s">
        <v>40</v>
      </c>
      <c r="C229" s="21">
        <v>43.2</v>
      </c>
      <c r="D229" s="20">
        <v>1.512</v>
      </c>
      <c r="E229" s="21">
        <v>18.78</v>
      </c>
      <c r="F229" s="20">
        <v>0.376</v>
      </c>
      <c r="G229" s="20"/>
      <c r="H229" s="20"/>
      <c r="I229" s="30">
        <f t="shared" si="23"/>
        <v>61.980000000000004</v>
      </c>
      <c r="J229" s="20">
        <f t="shared" si="24"/>
        <v>1.8879999999999999</v>
      </c>
      <c r="K229" s="20">
        <v>25.41</v>
      </c>
      <c r="L229" s="23">
        <f t="shared" si="17"/>
        <v>87.39</v>
      </c>
    </row>
    <row r="230" spans="1:12" ht="30" x14ac:dyDescent="0.25">
      <c r="A230" s="2">
        <v>43324</v>
      </c>
      <c r="B230" s="36" t="s">
        <v>40</v>
      </c>
      <c r="C230" s="21">
        <v>43.2</v>
      </c>
      <c r="D230" s="20">
        <v>1.512</v>
      </c>
      <c r="E230" s="21">
        <v>18.78</v>
      </c>
      <c r="F230" s="20">
        <v>0.376</v>
      </c>
      <c r="G230" s="20"/>
      <c r="H230" s="20"/>
      <c r="I230" s="30">
        <f t="shared" si="23"/>
        <v>61.980000000000004</v>
      </c>
      <c r="J230" s="20">
        <f t="shared" si="24"/>
        <v>1.8879999999999999</v>
      </c>
      <c r="K230" s="20">
        <v>25.41</v>
      </c>
      <c r="L230" s="23">
        <f t="shared" si="17"/>
        <v>87.39</v>
      </c>
    </row>
    <row r="231" spans="1:12" ht="30" x14ac:dyDescent="0.25">
      <c r="A231" s="2">
        <v>43325</v>
      </c>
      <c r="B231" s="36" t="s">
        <v>40</v>
      </c>
      <c r="C231" s="21">
        <v>43.2</v>
      </c>
      <c r="D231" s="20">
        <v>1.512</v>
      </c>
      <c r="E231" s="21">
        <v>18.78</v>
      </c>
      <c r="F231" s="20">
        <v>0.376</v>
      </c>
      <c r="G231" s="20"/>
      <c r="H231" s="20"/>
      <c r="I231" s="30">
        <f t="shared" si="23"/>
        <v>61.980000000000004</v>
      </c>
      <c r="J231" s="20">
        <f t="shared" si="24"/>
        <v>1.8879999999999999</v>
      </c>
      <c r="K231" s="20">
        <v>25.41</v>
      </c>
      <c r="L231" s="23">
        <f t="shared" si="17"/>
        <v>87.39</v>
      </c>
    </row>
    <row r="232" spans="1:12" ht="30" x14ac:dyDescent="0.25">
      <c r="A232" s="2">
        <v>43326</v>
      </c>
      <c r="B232" s="36" t="s">
        <v>40</v>
      </c>
      <c r="C232" s="21">
        <v>43.2</v>
      </c>
      <c r="D232" s="20">
        <v>1.512</v>
      </c>
      <c r="E232" s="21">
        <v>18.78</v>
      </c>
      <c r="F232" s="20">
        <v>0.376</v>
      </c>
      <c r="G232" s="20"/>
      <c r="H232" s="20"/>
      <c r="I232" s="30">
        <f t="shared" si="23"/>
        <v>61.980000000000004</v>
      </c>
      <c r="J232" s="20">
        <f t="shared" si="24"/>
        <v>1.8879999999999999</v>
      </c>
      <c r="K232" s="20">
        <v>25.41</v>
      </c>
      <c r="L232" s="23">
        <f t="shared" si="17"/>
        <v>87.39</v>
      </c>
    </row>
    <row r="233" spans="1:12" ht="30" x14ac:dyDescent="0.25">
      <c r="A233" s="2">
        <v>43327</v>
      </c>
      <c r="B233" s="36" t="s">
        <v>40</v>
      </c>
      <c r="C233" s="21">
        <v>43.2</v>
      </c>
      <c r="D233" s="20">
        <v>1.512</v>
      </c>
      <c r="E233" s="21">
        <v>18.78</v>
      </c>
      <c r="F233" s="20">
        <v>0.376</v>
      </c>
      <c r="G233" s="20"/>
      <c r="H233" s="20"/>
      <c r="I233" s="30">
        <f t="shared" si="23"/>
        <v>61.980000000000004</v>
      </c>
      <c r="J233" s="20">
        <f t="shared" si="24"/>
        <v>1.8879999999999999</v>
      </c>
      <c r="K233" s="20">
        <v>25.41</v>
      </c>
      <c r="L233" s="23">
        <f t="shared" si="17"/>
        <v>87.39</v>
      </c>
    </row>
    <row r="234" spans="1:12" ht="30" x14ac:dyDescent="0.25">
      <c r="A234" s="2">
        <v>43328</v>
      </c>
      <c r="B234" s="36" t="s">
        <v>40</v>
      </c>
      <c r="C234" s="21">
        <v>43.2</v>
      </c>
      <c r="D234" s="20">
        <v>1.512</v>
      </c>
      <c r="E234" s="21">
        <v>18.78</v>
      </c>
      <c r="F234" s="20">
        <v>0.376</v>
      </c>
      <c r="G234" s="20"/>
      <c r="H234" s="20"/>
      <c r="I234" s="30">
        <f t="shared" si="23"/>
        <v>61.980000000000004</v>
      </c>
      <c r="J234" s="20">
        <f t="shared" si="24"/>
        <v>1.8879999999999999</v>
      </c>
      <c r="K234" s="20">
        <v>25.41</v>
      </c>
      <c r="L234" s="23">
        <f t="shared" si="17"/>
        <v>87.39</v>
      </c>
    </row>
    <row r="235" spans="1:12" ht="30" x14ac:dyDescent="0.25">
      <c r="A235" s="2">
        <v>43329</v>
      </c>
      <c r="B235" s="36" t="s">
        <v>40</v>
      </c>
      <c r="C235" s="21">
        <v>43.2</v>
      </c>
      <c r="D235" s="20">
        <v>1.512</v>
      </c>
      <c r="E235" s="21">
        <v>18.78</v>
      </c>
      <c r="F235" s="20">
        <v>0.376</v>
      </c>
      <c r="G235" s="20"/>
      <c r="H235" s="20"/>
      <c r="I235" s="30">
        <f t="shared" si="23"/>
        <v>61.980000000000004</v>
      </c>
      <c r="J235" s="20">
        <f t="shared" si="24"/>
        <v>1.8879999999999999</v>
      </c>
      <c r="K235" s="20">
        <v>25.41</v>
      </c>
      <c r="L235" s="23">
        <f t="shared" si="17"/>
        <v>87.39</v>
      </c>
    </row>
    <row r="236" spans="1:12" ht="30" x14ac:dyDescent="0.25">
      <c r="A236" s="2">
        <v>43330</v>
      </c>
      <c r="B236" s="36" t="s">
        <v>40</v>
      </c>
      <c r="C236" s="21">
        <v>43.2</v>
      </c>
      <c r="D236" s="20">
        <v>1.512</v>
      </c>
      <c r="E236" s="21">
        <v>18.78</v>
      </c>
      <c r="F236" s="20">
        <v>0.376</v>
      </c>
      <c r="G236" s="20"/>
      <c r="H236" s="20"/>
      <c r="I236" s="30">
        <f t="shared" si="23"/>
        <v>61.980000000000004</v>
      </c>
      <c r="J236" s="20">
        <f t="shared" si="24"/>
        <v>1.8879999999999999</v>
      </c>
      <c r="K236" s="20">
        <v>25.41</v>
      </c>
      <c r="L236" s="23">
        <f t="shared" si="17"/>
        <v>87.39</v>
      </c>
    </row>
    <row r="237" spans="1:12" ht="30" x14ac:dyDescent="0.25">
      <c r="A237" s="2">
        <v>43331</v>
      </c>
      <c r="B237" s="36" t="s">
        <v>40</v>
      </c>
      <c r="C237" s="21">
        <v>43.2</v>
      </c>
      <c r="D237" s="20">
        <v>1.512</v>
      </c>
      <c r="E237" s="21">
        <v>18.78</v>
      </c>
      <c r="F237" s="20">
        <v>0.376</v>
      </c>
      <c r="G237" s="20"/>
      <c r="H237" s="20"/>
      <c r="I237" s="30">
        <f t="shared" si="23"/>
        <v>61.980000000000004</v>
      </c>
      <c r="J237" s="20">
        <f t="shared" si="24"/>
        <v>1.8879999999999999</v>
      </c>
      <c r="K237" s="20">
        <v>25.41</v>
      </c>
      <c r="L237" s="23">
        <f t="shared" si="17"/>
        <v>87.39</v>
      </c>
    </row>
    <row r="238" spans="1:12" ht="30" x14ac:dyDescent="0.25">
      <c r="A238" s="2">
        <v>43332</v>
      </c>
      <c r="B238" s="36" t="s">
        <v>40</v>
      </c>
      <c r="C238" s="21">
        <v>43.2</v>
      </c>
      <c r="D238" s="20">
        <v>1.512</v>
      </c>
      <c r="E238" s="21">
        <v>17.28</v>
      </c>
      <c r="F238" s="20">
        <v>0.34599999999999997</v>
      </c>
      <c r="G238" s="20"/>
      <c r="H238" s="20"/>
      <c r="I238" s="30">
        <f>SUM(C238+E238)</f>
        <v>60.480000000000004</v>
      </c>
      <c r="J238" s="20">
        <f>D238+F238</f>
        <v>1.8580000000000001</v>
      </c>
      <c r="K238" s="20">
        <v>25.41</v>
      </c>
      <c r="L238" s="23">
        <f t="shared" si="17"/>
        <v>85.89</v>
      </c>
    </row>
    <row r="239" spans="1:12" ht="30" x14ac:dyDescent="0.25">
      <c r="A239" s="2">
        <v>43333</v>
      </c>
      <c r="B239" s="36" t="s">
        <v>40</v>
      </c>
      <c r="C239" s="21">
        <v>43.2</v>
      </c>
      <c r="D239" s="20">
        <v>1.512</v>
      </c>
      <c r="E239" s="21">
        <v>17.28</v>
      </c>
      <c r="F239" s="20">
        <v>0.34599999999999997</v>
      </c>
      <c r="G239" s="20"/>
      <c r="H239" s="20"/>
      <c r="I239" s="30">
        <f t="shared" si="23"/>
        <v>60.480000000000004</v>
      </c>
      <c r="J239" s="20">
        <f t="shared" si="24"/>
        <v>1.8580000000000001</v>
      </c>
      <c r="K239" s="20">
        <v>25.41</v>
      </c>
      <c r="L239" s="23">
        <f t="shared" si="17"/>
        <v>85.89</v>
      </c>
    </row>
    <row r="240" spans="1:12" ht="30" x14ac:dyDescent="0.25">
      <c r="A240" s="2">
        <v>43334</v>
      </c>
      <c r="B240" s="36" t="s">
        <v>40</v>
      </c>
      <c r="C240" s="21">
        <v>43.2</v>
      </c>
      <c r="D240" s="20">
        <v>1.512</v>
      </c>
      <c r="E240" s="21">
        <v>17.28</v>
      </c>
      <c r="F240" s="20">
        <v>0.34599999999999997</v>
      </c>
      <c r="G240" s="20"/>
      <c r="H240" s="20"/>
      <c r="I240" s="30">
        <f t="shared" si="23"/>
        <v>60.480000000000004</v>
      </c>
      <c r="J240" s="20">
        <f t="shared" si="24"/>
        <v>1.8580000000000001</v>
      </c>
      <c r="K240" s="20">
        <v>25.41</v>
      </c>
      <c r="L240" s="23">
        <f t="shared" si="17"/>
        <v>85.89</v>
      </c>
    </row>
    <row r="241" spans="1:14" ht="30" x14ac:dyDescent="0.25">
      <c r="A241" s="2">
        <v>43335</v>
      </c>
      <c r="B241" s="36" t="s">
        <v>40</v>
      </c>
      <c r="C241" s="21">
        <v>43.2</v>
      </c>
      <c r="D241" s="20">
        <v>1.512</v>
      </c>
      <c r="E241" s="21">
        <v>17.28</v>
      </c>
      <c r="F241" s="20">
        <v>0.34599999999999997</v>
      </c>
      <c r="G241" s="20"/>
      <c r="H241" s="20"/>
      <c r="I241" s="30">
        <f t="shared" si="23"/>
        <v>60.480000000000004</v>
      </c>
      <c r="J241" s="20">
        <f t="shared" si="24"/>
        <v>1.8580000000000001</v>
      </c>
      <c r="K241" s="20">
        <v>25.41</v>
      </c>
      <c r="L241" s="23">
        <f t="shared" si="17"/>
        <v>85.89</v>
      </c>
    </row>
    <row r="242" spans="1:14" ht="30" x14ac:dyDescent="0.25">
      <c r="A242" s="2">
        <v>43336</v>
      </c>
      <c r="B242" s="36" t="s">
        <v>40</v>
      </c>
      <c r="C242" s="21">
        <v>43.2</v>
      </c>
      <c r="D242" s="20">
        <v>1.512</v>
      </c>
      <c r="E242" s="21">
        <v>17.28</v>
      </c>
      <c r="F242" s="20">
        <v>0.34599999999999997</v>
      </c>
      <c r="G242" s="20"/>
      <c r="H242" s="20"/>
      <c r="I242" s="30">
        <f t="shared" si="23"/>
        <v>60.480000000000004</v>
      </c>
      <c r="J242" s="20">
        <f t="shared" si="24"/>
        <v>1.8580000000000001</v>
      </c>
      <c r="K242" s="20">
        <v>25.41</v>
      </c>
      <c r="L242" s="23">
        <f t="shared" si="17"/>
        <v>85.89</v>
      </c>
    </row>
    <row r="243" spans="1:14" ht="30" x14ac:dyDescent="0.25">
      <c r="A243" s="2">
        <v>43337</v>
      </c>
      <c r="B243" s="36" t="s">
        <v>40</v>
      </c>
      <c r="C243" s="21">
        <v>43.2</v>
      </c>
      <c r="D243" s="20">
        <v>1.512</v>
      </c>
      <c r="E243" s="21">
        <v>17.28</v>
      </c>
      <c r="F243" s="20">
        <v>0.34599999999999997</v>
      </c>
      <c r="G243" s="20"/>
      <c r="H243" s="20"/>
      <c r="I243" s="30">
        <f t="shared" si="23"/>
        <v>60.480000000000004</v>
      </c>
      <c r="J243" s="20">
        <f t="shared" si="24"/>
        <v>1.8580000000000001</v>
      </c>
      <c r="K243" s="20">
        <v>25.41</v>
      </c>
      <c r="L243" s="23">
        <f t="shared" si="17"/>
        <v>85.89</v>
      </c>
    </row>
    <row r="244" spans="1:14" ht="30" x14ac:dyDescent="0.25">
      <c r="A244" s="2">
        <v>43338</v>
      </c>
      <c r="B244" s="36" t="s">
        <v>40</v>
      </c>
      <c r="C244" s="21">
        <v>43.2</v>
      </c>
      <c r="D244" s="20">
        <v>1.512</v>
      </c>
      <c r="E244" s="21">
        <v>17.28</v>
      </c>
      <c r="F244" s="20">
        <v>0.34599999999999997</v>
      </c>
      <c r="G244" s="20"/>
      <c r="H244" s="20"/>
      <c r="I244" s="30">
        <f t="shared" si="23"/>
        <v>60.480000000000004</v>
      </c>
      <c r="J244" s="20">
        <f t="shared" si="24"/>
        <v>1.8580000000000001</v>
      </c>
      <c r="K244" s="20">
        <v>25.41</v>
      </c>
      <c r="L244" s="23">
        <f t="shared" si="17"/>
        <v>85.89</v>
      </c>
    </row>
    <row r="245" spans="1:14" ht="30" x14ac:dyDescent="0.25">
      <c r="A245" s="2">
        <v>43339</v>
      </c>
      <c r="B245" s="36" t="s">
        <v>40</v>
      </c>
      <c r="C245" s="21">
        <v>43.2</v>
      </c>
      <c r="D245" s="20">
        <v>1.512</v>
      </c>
      <c r="E245" s="21">
        <v>17.28</v>
      </c>
      <c r="F245" s="20">
        <v>0.34599999999999997</v>
      </c>
      <c r="G245" s="20"/>
      <c r="H245" s="20"/>
      <c r="I245" s="30">
        <f>SUM(C245+E245)</f>
        <v>60.480000000000004</v>
      </c>
      <c r="J245" s="20">
        <f>D245+F245</f>
        <v>1.8580000000000001</v>
      </c>
      <c r="K245" s="20">
        <v>25.41</v>
      </c>
      <c r="L245" s="23">
        <f t="shared" si="17"/>
        <v>85.89</v>
      </c>
    </row>
    <row r="246" spans="1:14" ht="30" x14ac:dyDescent="0.25">
      <c r="A246" s="2">
        <v>43340</v>
      </c>
      <c r="B246" s="36" t="s">
        <v>40</v>
      </c>
      <c r="C246" s="21">
        <v>43.2</v>
      </c>
      <c r="D246" s="20">
        <v>1.512</v>
      </c>
      <c r="E246" s="21">
        <v>16.62</v>
      </c>
      <c r="F246" s="20">
        <v>0.33200000000000002</v>
      </c>
      <c r="G246" s="20"/>
      <c r="H246" s="20"/>
      <c r="I246" s="30">
        <f>SUM(C246+E246)</f>
        <v>59.820000000000007</v>
      </c>
      <c r="J246" s="20">
        <f>D246+F246</f>
        <v>1.8440000000000001</v>
      </c>
      <c r="K246" s="1">
        <v>24</v>
      </c>
      <c r="L246" s="23">
        <f t="shared" si="17"/>
        <v>83.820000000000007</v>
      </c>
    </row>
    <row r="247" spans="1:14" ht="30" x14ac:dyDescent="0.25">
      <c r="A247" s="2">
        <v>43341</v>
      </c>
      <c r="B247" s="36" t="s">
        <v>40</v>
      </c>
      <c r="C247" s="21">
        <v>43.2</v>
      </c>
      <c r="D247" s="20">
        <v>1.512</v>
      </c>
      <c r="E247" s="21">
        <v>16.62</v>
      </c>
      <c r="F247" s="20">
        <v>0.33200000000000002</v>
      </c>
      <c r="G247" s="20"/>
      <c r="H247" s="20"/>
      <c r="I247" s="30">
        <f t="shared" si="23"/>
        <v>59.820000000000007</v>
      </c>
      <c r="J247" s="20">
        <f t="shared" si="24"/>
        <v>1.8440000000000001</v>
      </c>
      <c r="K247" s="20">
        <v>24</v>
      </c>
      <c r="L247" s="23">
        <f t="shared" si="17"/>
        <v>83.820000000000007</v>
      </c>
    </row>
    <row r="248" spans="1:14" ht="30" x14ac:dyDescent="0.25">
      <c r="A248" s="2">
        <v>43342</v>
      </c>
      <c r="B248" s="36" t="s">
        <v>40</v>
      </c>
      <c r="C248" s="21">
        <v>43.2</v>
      </c>
      <c r="D248" s="20">
        <v>1.512</v>
      </c>
      <c r="E248" s="21">
        <v>16.62</v>
      </c>
      <c r="F248" s="20">
        <v>0.33200000000000002</v>
      </c>
      <c r="G248" s="20"/>
      <c r="H248" s="20"/>
      <c r="I248" s="30">
        <f>SUM(C248+E248)</f>
        <v>59.820000000000007</v>
      </c>
      <c r="J248" s="20">
        <f>D248+F248</f>
        <v>1.8440000000000001</v>
      </c>
      <c r="K248" s="20">
        <v>24</v>
      </c>
      <c r="L248" s="23">
        <f t="shared" si="17"/>
        <v>83.820000000000007</v>
      </c>
    </row>
    <row r="249" spans="1:14" s="27" customFormat="1" ht="30" x14ac:dyDescent="0.25">
      <c r="A249" s="50">
        <v>43343</v>
      </c>
      <c r="B249" s="42" t="s">
        <v>40</v>
      </c>
      <c r="C249" s="24">
        <v>43.2</v>
      </c>
      <c r="D249" s="24">
        <v>1.512</v>
      </c>
      <c r="E249" s="24">
        <v>16.62</v>
      </c>
      <c r="F249" s="24">
        <v>0.33200000000000002</v>
      </c>
      <c r="G249" s="24"/>
      <c r="H249" s="24"/>
      <c r="I249" s="24">
        <f t="shared" si="23"/>
        <v>59.820000000000007</v>
      </c>
      <c r="J249" s="24">
        <f t="shared" si="24"/>
        <v>1.8440000000000001</v>
      </c>
      <c r="K249" s="24">
        <v>24</v>
      </c>
      <c r="L249" s="34">
        <f t="shared" si="17"/>
        <v>83.820000000000007</v>
      </c>
      <c r="M249" s="27" t="s">
        <v>28</v>
      </c>
      <c r="N249" s="27">
        <f>SUM(L219:L249)</f>
        <v>2709.9300000000012</v>
      </c>
    </row>
    <row r="250" spans="1:14" ht="30" x14ac:dyDescent="0.25">
      <c r="A250" s="2">
        <v>43344</v>
      </c>
      <c r="B250" s="36" t="s">
        <v>44</v>
      </c>
      <c r="C250" s="10">
        <v>43.2</v>
      </c>
      <c r="D250" s="1">
        <v>1.512</v>
      </c>
      <c r="E250" s="10">
        <v>16.62</v>
      </c>
      <c r="F250" s="1">
        <v>0.33200000000000002</v>
      </c>
      <c r="G250" s="20"/>
      <c r="H250" s="20"/>
      <c r="I250" s="30">
        <f t="shared" ref="I250:I263" si="25">C250+E250</f>
        <v>59.820000000000007</v>
      </c>
      <c r="J250" s="20">
        <f t="shared" ref="J250:J263" si="26">D250+F250</f>
        <v>1.8440000000000001</v>
      </c>
      <c r="K250" s="1">
        <v>24</v>
      </c>
      <c r="L250" s="23">
        <f t="shared" si="17"/>
        <v>83.820000000000007</v>
      </c>
    </row>
    <row r="251" spans="1:14" ht="30" x14ac:dyDescent="0.25">
      <c r="A251" s="2">
        <v>43345</v>
      </c>
      <c r="B251" s="36" t="s">
        <v>44</v>
      </c>
      <c r="C251" s="21">
        <v>43.2</v>
      </c>
      <c r="D251" s="20">
        <v>1.512</v>
      </c>
      <c r="E251" s="10">
        <v>16.68</v>
      </c>
      <c r="F251" s="20">
        <v>0.33200000000000002</v>
      </c>
      <c r="G251" s="20"/>
      <c r="H251" s="20"/>
      <c r="I251" s="30">
        <f t="shared" si="25"/>
        <v>59.88</v>
      </c>
      <c r="J251" s="20">
        <f t="shared" si="26"/>
        <v>1.8440000000000001</v>
      </c>
      <c r="K251" s="20">
        <v>24</v>
      </c>
      <c r="L251" s="23">
        <f t="shared" si="17"/>
        <v>83.88</v>
      </c>
    </row>
    <row r="252" spans="1:14" ht="30" x14ac:dyDescent="0.25">
      <c r="A252" s="2">
        <v>43346</v>
      </c>
      <c r="B252" s="36" t="s">
        <v>44</v>
      </c>
      <c r="C252" s="21">
        <v>43.2</v>
      </c>
      <c r="D252" s="20">
        <v>1.512</v>
      </c>
      <c r="E252" s="10">
        <v>17.28</v>
      </c>
      <c r="F252" s="20">
        <v>0.34599999999999997</v>
      </c>
      <c r="G252" s="20"/>
      <c r="H252" s="20"/>
      <c r="I252" s="30">
        <f t="shared" si="25"/>
        <v>60.480000000000004</v>
      </c>
      <c r="J252" s="20">
        <f t="shared" si="26"/>
        <v>1.8580000000000001</v>
      </c>
      <c r="K252" s="20">
        <v>24</v>
      </c>
      <c r="L252" s="23">
        <f t="shared" si="17"/>
        <v>84.48</v>
      </c>
    </row>
    <row r="253" spans="1:14" ht="30" x14ac:dyDescent="0.25">
      <c r="A253" s="2">
        <v>43347</v>
      </c>
      <c r="B253" s="36" t="s">
        <v>44</v>
      </c>
      <c r="C253" s="21">
        <v>43.2</v>
      </c>
      <c r="D253" s="20">
        <v>1.512</v>
      </c>
      <c r="E253" s="21">
        <v>17.28</v>
      </c>
      <c r="F253" s="20">
        <v>0.34599999999999997</v>
      </c>
      <c r="G253" s="20"/>
      <c r="H253" s="20"/>
      <c r="I253" s="30">
        <f t="shared" si="25"/>
        <v>60.480000000000004</v>
      </c>
      <c r="J253" s="20">
        <f t="shared" si="26"/>
        <v>1.8580000000000001</v>
      </c>
      <c r="K253" s="20">
        <v>24</v>
      </c>
      <c r="L253" s="23">
        <f t="shared" si="17"/>
        <v>84.48</v>
      </c>
    </row>
    <row r="254" spans="1:14" ht="30" x14ac:dyDescent="0.25">
      <c r="A254" s="2">
        <v>43348</v>
      </c>
      <c r="B254" s="36" t="s">
        <v>44</v>
      </c>
      <c r="C254" s="21">
        <v>43.2</v>
      </c>
      <c r="D254" s="20">
        <v>1.512</v>
      </c>
      <c r="E254" s="21">
        <v>17.28</v>
      </c>
      <c r="F254" s="20">
        <v>0.34599999999999997</v>
      </c>
      <c r="G254" s="20"/>
      <c r="H254" s="20"/>
      <c r="I254" s="30">
        <f t="shared" si="25"/>
        <v>60.480000000000004</v>
      </c>
      <c r="J254" s="20">
        <f t="shared" si="26"/>
        <v>1.8580000000000001</v>
      </c>
      <c r="K254" s="20">
        <v>24</v>
      </c>
      <c r="L254" s="23">
        <f t="shared" si="17"/>
        <v>84.48</v>
      </c>
    </row>
    <row r="255" spans="1:14" ht="30" x14ac:dyDescent="0.25">
      <c r="A255" s="2">
        <v>43349</v>
      </c>
      <c r="B255" s="36" t="s">
        <v>44</v>
      </c>
      <c r="C255" s="21">
        <v>43.2</v>
      </c>
      <c r="D255" s="20">
        <v>1.512</v>
      </c>
      <c r="E255" s="21">
        <v>17.28</v>
      </c>
      <c r="F255" s="20">
        <v>0.34599999999999997</v>
      </c>
      <c r="G255" s="20"/>
      <c r="H255" s="20"/>
      <c r="I255" s="30">
        <f t="shared" si="25"/>
        <v>60.480000000000004</v>
      </c>
      <c r="J255" s="20">
        <f t="shared" si="26"/>
        <v>1.8580000000000001</v>
      </c>
      <c r="K255" s="20">
        <v>24</v>
      </c>
      <c r="L255" s="23">
        <f t="shared" si="17"/>
        <v>84.48</v>
      </c>
    </row>
    <row r="256" spans="1:14" ht="30" x14ac:dyDescent="0.25">
      <c r="A256" s="2">
        <v>43350</v>
      </c>
      <c r="B256" s="36" t="s">
        <v>44</v>
      </c>
      <c r="C256" s="21">
        <v>43.2</v>
      </c>
      <c r="D256" s="20">
        <v>1.512</v>
      </c>
      <c r="E256" s="21">
        <v>17.28</v>
      </c>
      <c r="F256" s="20">
        <v>0.34599999999999997</v>
      </c>
      <c r="G256" s="20"/>
      <c r="H256" s="20"/>
      <c r="I256" s="30">
        <f t="shared" si="25"/>
        <v>60.480000000000004</v>
      </c>
      <c r="J256" s="20">
        <f t="shared" si="26"/>
        <v>1.8580000000000001</v>
      </c>
      <c r="K256" s="20">
        <v>24</v>
      </c>
      <c r="L256" s="23">
        <f t="shared" si="17"/>
        <v>84.48</v>
      </c>
    </row>
    <row r="257" spans="1:12" ht="30" x14ac:dyDescent="0.25">
      <c r="A257" s="2">
        <v>43351</v>
      </c>
      <c r="B257" s="36" t="s">
        <v>44</v>
      </c>
      <c r="C257" s="21">
        <v>43.2</v>
      </c>
      <c r="D257" s="20">
        <v>1.512</v>
      </c>
      <c r="E257" s="21">
        <v>17.28</v>
      </c>
      <c r="F257" s="20">
        <v>0.34599999999999997</v>
      </c>
      <c r="G257" s="20"/>
      <c r="H257" s="20"/>
      <c r="I257" s="30">
        <f t="shared" si="25"/>
        <v>60.480000000000004</v>
      </c>
      <c r="J257" s="20">
        <f t="shared" si="26"/>
        <v>1.8580000000000001</v>
      </c>
      <c r="K257" s="20">
        <v>24</v>
      </c>
      <c r="L257" s="23">
        <f t="shared" si="17"/>
        <v>84.48</v>
      </c>
    </row>
    <row r="258" spans="1:12" ht="30" x14ac:dyDescent="0.25">
      <c r="A258" s="2">
        <v>43352</v>
      </c>
      <c r="B258" s="36" t="s">
        <v>44</v>
      </c>
      <c r="C258" s="21">
        <v>43.2</v>
      </c>
      <c r="D258" s="20">
        <v>1.512</v>
      </c>
      <c r="E258" s="21">
        <v>17.28</v>
      </c>
      <c r="F258" s="20">
        <v>0.34599999999999997</v>
      </c>
      <c r="G258" s="20"/>
      <c r="H258" s="20"/>
      <c r="I258" s="30">
        <f t="shared" si="25"/>
        <v>60.480000000000004</v>
      </c>
      <c r="J258" s="20">
        <f t="shared" si="26"/>
        <v>1.8580000000000001</v>
      </c>
      <c r="K258" s="20">
        <v>24</v>
      </c>
      <c r="L258" s="23">
        <f t="shared" si="17"/>
        <v>84.48</v>
      </c>
    </row>
    <row r="259" spans="1:12" ht="30" x14ac:dyDescent="0.25">
      <c r="A259" s="2">
        <v>43353</v>
      </c>
      <c r="B259" s="36" t="s">
        <v>44</v>
      </c>
      <c r="C259" s="21">
        <v>43.2</v>
      </c>
      <c r="D259" s="20">
        <v>1.512</v>
      </c>
      <c r="E259" s="21">
        <v>17.28</v>
      </c>
      <c r="F259" s="20">
        <v>0.34599999999999997</v>
      </c>
      <c r="G259" s="20"/>
      <c r="H259" s="20"/>
      <c r="I259" s="30">
        <f t="shared" si="25"/>
        <v>60.480000000000004</v>
      </c>
      <c r="J259" s="20">
        <f t="shared" si="26"/>
        <v>1.8580000000000001</v>
      </c>
      <c r="K259" s="20">
        <v>24</v>
      </c>
      <c r="L259" s="23">
        <f t="shared" si="17"/>
        <v>84.48</v>
      </c>
    </row>
    <row r="260" spans="1:12" ht="30" x14ac:dyDescent="0.25">
      <c r="A260" s="2">
        <v>43354</v>
      </c>
      <c r="B260" s="36" t="s">
        <v>44</v>
      </c>
      <c r="C260" s="21">
        <v>43.2</v>
      </c>
      <c r="D260" s="20">
        <v>1.512</v>
      </c>
      <c r="E260" s="21">
        <v>17.28</v>
      </c>
      <c r="F260" s="20">
        <v>0.34599999999999997</v>
      </c>
      <c r="G260" s="20"/>
      <c r="H260" s="20"/>
      <c r="I260" s="30">
        <f t="shared" si="25"/>
        <v>60.480000000000004</v>
      </c>
      <c r="J260" s="20">
        <f t="shared" si="26"/>
        <v>1.8580000000000001</v>
      </c>
      <c r="K260" s="20">
        <v>24</v>
      </c>
      <c r="L260" s="23">
        <f t="shared" si="17"/>
        <v>84.48</v>
      </c>
    </row>
    <row r="261" spans="1:12" ht="30" x14ac:dyDescent="0.25">
      <c r="A261" s="2">
        <v>43355</v>
      </c>
      <c r="B261" s="36" t="s">
        <v>44</v>
      </c>
      <c r="C261" s="21">
        <v>43.2</v>
      </c>
      <c r="D261" s="20">
        <v>1.512</v>
      </c>
      <c r="E261" s="10">
        <v>16.62</v>
      </c>
      <c r="F261" s="20">
        <v>0.33200000000000002</v>
      </c>
      <c r="G261" s="20"/>
      <c r="H261" s="20"/>
      <c r="I261" s="30">
        <f t="shared" si="25"/>
        <v>59.820000000000007</v>
      </c>
      <c r="J261" s="20">
        <f t="shared" si="26"/>
        <v>1.8440000000000001</v>
      </c>
      <c r="K261" s="20">
        <v>24</v>
      </c>
      <c r="L261" s="23">
        <f t="shared" si="17"/>
        <v>83.820000000000007</v>
      </c>
    </row>
    <row r="262" spans="1:12" ht="30" x14ac:dyDescent="0.25">
      <c r="A262" s="2">
        <v>43356</v>
      </c>
      <c r="B262" s="36" t="s">
        <v>44</v>
      </c>
      <c r="C262" s="21">
        <v>43.2</v>
      </c>
      <c r="D262" s="20">
        <v>1.512</v>
      </c>
      <c r="E262" s="21">
        <v>16.62</v>
      </c>
      <c r="F262" s="20">
        <v>0.33200000000000002</v>
      </c>
      <c r="G262" s="20"/>
      <c r="H262" s="20"/>
      <c r="I262" s="30">
        <f t="shared" si="25"/>
        <v>59.820000000000007</v>
      </c>
      <c r="J262" s="20">
        <f t="shared" si="26"/>
        <v>1.8440000000000001</v>
      </c>
      <c r="K262" s="20">
        <v>20.57</v>
      </c>
      <c r="L262" s="23">
        <f t="shared" si="17"/>
        <v>80.390000000000015</v>
      </c>
    </row>
    <row r="263" spans="1:12" ht="30" x14ac:dyDescent="0.25">
      <c r="A263" s="2">
        <v>43357</v>
      </c>
      <c r="B263" s="36" t="s">
        <v>44</v>
      </c>
      <c r="C263" s="21">
        <v>43.2</v>
      </c>
      <c r="D263" s="20">
        <v>1.512</v>
      </c>
      <c r="E263" s="21">
        <v>16.62</v>
      </c>
      <c r="F263" s="20">
        <v>0.33200000000000002</v>
      </c>
      <c r="G263" s="20"/>
      <c r="H263" s="20"/>
      <c r="I263" s="30">
        <f t="shared" si="25"/>
        <v>59.820000000000007</v>
      </c>
      <c r="J263" s="20">
        <f t="shared" si="26"/>
        <v>1.8440000000000001</v>
      </c>
      <c r="K263" s="20">
        <v>20.57</v>
      </c>
      <c r="L263" s="23">
        <f t="shared" si="17"/>
        <v>80.390000000000015</v>
      </c>
    </row>
    <row r="264" spans="1:12" ht="30" x14ac:dyDescent="0.25">
      <c r="A264" s="2">
        <v>43358</v>
      </c>
      <c r="B264" s="36" t="s">
        <v>44</v>
      </c>
      <c r="C264" s="21">
        <v>43.2</v>
      </c>
      <c r="D264" s="20">
        <v>1.512</v>
      </c>
      <c r="E264" s="21">
        <v>16.62</v>
      </c>
      <c r="F264" s="20">
        <v>0.33200000000000002</v>
      </c>
      <c r="G264" s="20"/>
      <c r="H264" s="20"/>
      <c r="I264" s="30">
        <f t="shared" ref="I264:I326" si="27">C264+E264</f>
        <v>59.820000000000007</v>
      </c>
      <c r="J264" s="20">
        <f t="shared" ref="J264:J327" si="28">D264+F264</f>
        <v>1.8440000000000001</v>
      </c>
      <c r="K264" s="20">
        <v>20.57</v>
      </c>
      <c r="L264" s="23">
        <f t="shared" ref="L264:L327" si="29">I264+K264</f>
        <v>80.390000000000015</v>
      </c>
    </row>
    <row r="265" spans="1:12" ht="30" x14ac:dyDescent="0.25">
      <c r="A265" s="2">
        <v>43359</v>
      </c>
      <c r="B265" s="36" t="s">
        <v>44</v>
      </c>
      <c r="C265" s="21">
        <v>43.2</v>
      </c>
      <c r="D265" s="20">
        <v>1.512</v>
      </c>
      <c r="E265" s="21">
        <v>16.62</v>
      </c>
      <c r="F265" s="20">
        <v>0.33200000000000002</v>
      </c>
      <c r="G265" s="20"/>
      <c r="H265" s="20"/>
      <c r="I265" s="30">
        <f t="shared" si="27"/>
        <v>59.820000000000007</v>
      </c>
      <c r="J265" s="20">
        <f t="shared" si="28"/>
        <v>1.8440000000000001</v>
      </c>
      <c r="K265" s="20">
        <v>20.57</v>
      </c>
      <c r="L265" s="23">
        <f t="shared" si="29"/>
        <v>80.390000000000015</v>
      </c>
    </row>
    <row r="266" spans="1:12" ht="30" x14ac:dyDescent="0.25">
      <c r="A266" s="2">
        <v>43360</v>
      </c>
      <c r="B266" s="36" t="s">
        <v>44</v>
      </c>
      <c r="C266" s="21">
        <v>43.2</v>
      </c>
      <c r="D266" s="20">
        <v>1.512</v>
      </c>
      <c r="E266" s="21">
        <v>16.62</v>
      </c>
      <c r="F266" s="20">
        <v>0.33200000000000002</v>
      </c>
      <c r="G266" s="20"/>
      <c r="H266" s="20"/>
      <c r="I266" s="30">
        <f t="shared" si="27"/>
        <v>59.820000000000007</v>
      </c>
      <c r="J266" s="20">
        <f t="shared" si="28"/>
        <v>1.8440000000000001</v>
      </c>
      <c r="K266" s="20">
        <v>20.57</v>
      </c>
      <c r="L266" s="23">
        <f t="shared" si="29"/>
        <v>80.390000000000015</v>
      </c>
    </row>
    <row r="267" spans="1:12" ht="30" x14ac:dyDescent="0.25">
      <c r="A267" s="2">
        <v>43361</v>
      </c>
      <c r="B267" s="36" t="s">
        <v>44</v>
      </c>
      <c r="C267" s="10">
        <v>108</v>
      </c>
      <c r="D267" s="20">
        <v>3.78</v>
      </c>
      <c r="E267" s="21">
        <v>16.62</v>
      </c>
      <c r="F267" s="20">
        <v>0.33200000000000002</v>
      </c>
      <c r="G267" s="20"/>
      <c r="H267" s="20"/>
      <c r="I267" s="30">
        <f t="shared" si="27"/>
        <v>124.62</v>
      </c>
      <c r="J267" s="20">
        <f t="shared" si="28"/>
        <v>4.1120000000000001</v>
      </c>
      <c r="K267" s="20">
        <v>20.57</v>
      </c>
      <c r="L267" s="23">
        <f t="shared" si="29"/>
        <v>145.19</v>
      </c>
    </row>
    <row r="268" spans="1:12" ht="30" x14ac:dyDescent="0.25">
      <c r="A268" s="2">
        <v>43362</v>
      </c>
      <c r="B268" s="36" t="s">
        <v>44</v>
      </c>
      <c r="C268" s="10">
        <v>43.2</v>
      </c>
      <c r="D268" s="20">
        <v>1.512</v>
      </c>
      <c r="E268" s="21">
        <v>16.62</v>
      </c>
      <c r="F268" s="20">
        <v>0.33200000000000002</v>
      </c>
      <c r="G268" s="20"/>
      <c r="H268" s="20"/>
      <c r="I268" s="30">
        <f t="shared" si="27"/>
        <v>59.820000000000007</v>
      </c>
      <c r="J268" s="20">
        <f t="shared" si="28"/>
        <v>1.8440000000000001</v>
      </c>
      <c r="K268" s="20">
        <v>20.57</v>
      </c>
      <c r="L268" s="23">
        <f t="shared" si="29"/>
        <v>80.390000000000015</v>
      </c>
    </row>
    <row r="269" spans="1:12" ht="30" x14ac:dyDescent="0.25">
      <c r="A269" s="2">
        <v>43363</v>
      </c>
      <c r="B269" s="36" t="s">
        <v>44</v>
      </c>
      <c r="C269" s="21">
        <v>43.2</v>
      </c>
      <c r="D269" s="20">
        <v>1.512</v>
      </c>
      <c r="E269" s="21">
        <v>16.62</v>
      </c>
      <c r="F269" s="20">
        <v>0.33200000000000002</v>
      </c>
      <c r="G269" s="20"/>
      <c r="H269" s="20"/>
      <c r="I269" s="30">
        <f t="shared" si="27"/>
        <v>59.820000000000007</v>
      </c>
      <c r="J269" s="20">
        <f t="shared" si="28"/>
        <v>1.8440000000000001</v>
      </c>
      <c r="K269" s="20">
        <v>20.57</v>
      </c>
      <c r="L269" s="23">
        <f t="shared" si="29"/>
        <v>80.390000000000015</v>
      </c>
    </row>
    <row r="270" spans="1:12" ht="30" x14ac:dyDescent="0.25">
      <c r="A270" s="2">
        <v>43364</v>
      </c>
      <c r="B270" s="36" t="s">
        <v>44</v>
      </c>
      <c r="C270" s="21">
        <v>43.2</v>
      </c>
      <c r="D270" s="20">
        <v>1.512</v>
      </c>
      <c r="E270" s="21">
        <v>16.62</v>
      </c>
      <c r="F270" s="20">
        <v>0.33200000000000002</v>
      </c>
      <c r="G270" s="20"/>
      <c r="H270" s="20"/>
      <c r="I270" s="30">
        <f t="shared" si="27"/>
        <v>59.820000000000007</v>
      </c>
      <c r="J270" s="20">
        <f t="shared" si="28"/>
        <v>1.8440000000000001</v>
      </c>
      <c r="K270" s="20">
        <v>20.57</v>
      </c>
      <c r="L270" s="23">
        <f t="shared" si="29"/>
        <v>80.390000000000015</v>
      </c>
    </row>
    <row r="271" spans="1:12" ht="30" x14ac:dyDescent="0.25">
      <c r="A271" s="2">
        <v>43365</v>
      </c>
      <c r="B271" s="36" t="s">
        <v>43</v>
      </c>
      <c r="C271" s="21">
        <v>43.2</v>
      </c>
      <c r="D271" s="20">
        <v>1.08</v>
      </c>
      <c r="E271" s="21">
        <v>16.62</v>
      </c>
      <c r="F271" s="20">
        <v>0.33200000000000002</v>
      </c>
      <c r="G271" s="20"/>
      <c r="H271" s="20"/>
      <c r="I271" s="30">
        <f t="shared" si="27"/>
        <v>59.820000000000007</v>
      </c>
      <c r="J271" s="20">
        <f t="shared" si="28"/>
        <v>1.4120000000000001</v>
      </c>
      <c r="K271" s="20">
        <v>20.57</v>
      </c>
      <c r="L271" s="23">
        <f t="shared" si="29"/>
        <v>80.390000000000015</v>
      </c>
    </row>
    <row r="272" spans="1:12" ht="30" x14ac:dyDescent="0.25">
      <c r="A272" s="2">
        <v>43366</v>
      </c>
      <c r="B272" s="36" t="s">
        <v>43</v>
      </c>
      <c r="C272" s="21">
        <v>43.2</v>
      </c>
      <c r="D272" s="20">
        <v>1.08</v>
      </c>
      <c r="E272" s="21">
        <v>16.62</v>
      </c>
      <c r="F272" s="20">
        <v>0.33200000000000002</v>
      </c>
      <c r="G272" s="20"/>
      <c r="H272" s="20"/>
      <c r="I272" s="30">
        <f t="shared" si="27"/>
        <v>59.820000000000007</v>
      </c>
      <c r="J272" s="20">
        <f t="shared" si="28"/>
        <v>1.4120000000000001</v>
      </c>
      <c r="K272" s="20">
        <v>20.57</v>
      </c>
      <c r="L272" s="23">
        <f t="shared" si="29"/>
        <v>80.390000000000015</v>
      </c>
    </row>
    <row r="273" spans="1:14" ht="30" x14ac:dyDescent="0.25">
      <c r="A273" s="2">
        <v>43367</v>
      </c>
      <c r="B273" s="36" t="s">
        <v>43</v>
      </c>
      <c r="C273" s="21">
        <v>43.2</v>
      </c>
      <c r="D273" s="20">
        <v>1.08</v>
      </c>
      <c r="E273" s="21">
        <v>16.62</v>
      </c>
      <c r="F273" s="20">
        <v>0.33200000000000002</v>
      </c>
      <c r="G273" s="20"/>
      <c r="H273" s="20"/>
      <c r="I273" s="30">
        <f t="shared" si="27"/>
        <v>59.820000000000007</v>
      </c>
      <c r="J273" s="20">
        <f t="shared" si="28"/>
        <v>1.4120000000000001</v>
      </c>
      <c r="K273" s="20">
        <v>20.57</v>
      </c>
      <c r="L273" s="23">
        <f t="shared" si="29"/>
        <v>80.390000000000015</v>
      </c>
    </row>
    <row r="274" spans="1:14" ht="30" x14ac:dyDescent="0.25">
      <c r="A274" s="2">
        <v>43368</v>
      </c>
      <c r="B274" s="36" t="s">
        <v>43</v>
      </c>
      <c r="C274" s="21">
        <v>43.2</v>
      </c>
      <c r="D274" s="20">
        <v>1.08</v>
      </c>
      <c r="E274" s="21">
        <v>16.62</v>
      </c>
      <c r="F274" s="20">
        <v>0.33200000000000002</v>
      </c>
      <c r="G274" s="20"/>
      <c r="H274" s="20"/>
      <c r="I274" s="30">
        <f t="shared" si="27"/>
        <v>59.820000000000007</v>
      </c>
      <c r="J274" s="20">
        <f t="shared" si="28"/>
        <v>1.4120000000000001</v>
      </c>
      <c r="K274" s="20">
        <v>20.57</v>
      </c>
      <c r="L274" s="23">
        <f t="shared" si="29"/>
        <v>80.390000000000015</v>
      </c>
    </row>
    <row r="275" spans="1:14" ht="30" x14ac:dyDescent="0.25">
      <c r="A275" s="2">
        <v>43369</v>
      </c>
      <c r="B275" s="36" t="s">
        <v>43</v>
      </c>
      <c r="C275" s="21">
        <v>43.2</v>
      </c>
      <c r="D275" s="20">
        <v>1.08</v>
      </c>
      <c r="E275" s="21">
        <v>16.62</v>
      </c>
      <c r="F275" s="20">
        <v>0.33200000000000002</v>
      </c>
      <c r="G275" s="20"/>
      <c r="H275" s="20"/>
      <c r="I275" s="30">
        <f t="shared" si="27"/>
        <v>59.820000000000007</v>
      </c>
      <c r="J275" s="20">
        <f t="shared" si="28"/>
        <v>1.4120000000000001</v>
      </c>
      <c r="K275" s="20">
        <v>20.57</v>
      </c>
      <c r="L275" s="23">
        <f t="shared" si="29"/>
        <v>80.390000000000015</v>
      </c>
    </row>
    <row r="276" spans="1:14" ht="30" x14ac:dyDescent="0.25">
      <c r="A276" s="2">
        <v>43370</v>
      </c>
      <c r="B276" s="36" t="s">
        <v>43</v>
      </c>
      <c r="C276" s="21">
        <v>43.2</v>
      </c>
      <c r="D276" s="20">
        <v>1.08</v>
      </c>
      <c r="E276" s="21">
        <v>16.62</v>
      </c>
      <c r="F276" s="20">
        <v>0.33200000000000002</v>
      </c>
      <c r="G276" s="20"/>
      <c r="H276" s="20"/>
      <c r="I276" s="30">
        <f t="shared" si="27"/>
        <v>59.820000000000007</v>
      </c>
      <c r="J276" s="20">
        <f t="shared" si="28"/>
        <v>1.4120000000000001</v>
      </c>
      <c r="K276" s="20">
        <v>20.57</v>
      </c>
      <c r="L276" s="23">
        <f t="shared" si="29"/>
        <v>80.390000000000015</v>
      </c>
    </row>
    <row r="277" spans="1:14" ht="30" x14ac:dyDescent="0.25">
      <c r="A277" s="2">
        <v>43371</v>
      </c>
      <c r="B277" s="36" t="s">
        <v>43</v>
      </c>
      <c r="C277" s="21">
        <v>43.2</v>
      </c>
      <c r="D277" s="20">
        <v>1.08</v>
      </c>
      <c r="E277" s="21">
        <v>16.62</v>
      </c>
      <c r="F277" s="20">
        <v>0.33200000000000002</v>
      </c>
      <c r="G277" s="20"/>
      <c r="H277" s="20"/>
      <c r="I277" s="30">
        <f t="shared" si="27"/>
        <v>59.820000000000007</v>
      </c>
      <c r="J277" s="20">
        <f t="shared" si="28"/>
        <v>1.4120000000000001</v>
      </c>
      <c r="K277" s="20">
        <v>20.57</v>
      </c>
      <c r="L277" s="23">
        <f t="shared" si="29"/>
        <v>80.390000000000015</v>
      </c>
    </row>
    <row r="278" spans="1:14" ht="30" x14ac:dyDescent="0.25">
      <c r="A278" s="2">
        <v>43372</v>
      </c>
      <c r="B278" s="36" t="s">
        <v>43</v>
      </c>
      <c r="C278" s="21">
        <v>43.2</v>
      </c>
      <c r="D278" s="20">
        <v>1.08</v>
      </c>
      <c r="E278" s="21">
        <v>16.62</v>
      </c>
      <c r="F278" s="20">
        <v>0.33200000000000002</v>
      </c>
      <c r="G278" s="20"/>
      <c r="H278" s="20"/>
      <c r="I278" s="30">
        <f t="shared" si="27"/>
        <v>59.820000000000007</v>
      </c>
      <c r="J278" s="20">
        <f t="shared" si="28"/>
        <v>1.4120000000000001</v>
      </c>
      <c r="K278" s="20">
        <v>20.57</v>
      </c>
      <c r="L278" s="23">
        <f t="shared" si="29"/>
        <v>80.390000000000015</v>
      </c>
    </row>
    <row r="279" spans="1:14" s="27" customFormat="1" ht="30" x14ac:dyDescent="0.25">
      <c r="A279" s="50">
        <v>43373</v>
      </c>
      <c r="B279" s="42" t="s">
        <v>43</v>
      </c>
      <c r="C279" s="24">
        <v>43.2</v>
      </c>
      <c r="D279" s="24">
        <v>1.08</v>
      </c>
      <c r="E279" s="24">
        <v>16.62</v>
      </c>
      <c r="F279" s="24">
        <v>0.33200000000000002</v>
      </c>
      <c r="G279" s="24"/>
      <c r="H279" s="24"/>
      <c r="I279" s="24">
        <f t="shared" si="27"/>
        <v>59.820000000000007</v>
      </c>
      <c r="J279" s="24">
        <f t="shared" si="28"/>
        <v>1.4120000000000001</v>
      </c>
      <c r="K279" s="24">
        <v>20.57</v>
      </c>
      <c r="L279" s="34">
        <f t="shared" si="29"/>
        <v>80.390000000000015</v>
      </c>
      <c r="M279" s="27" t="s">
        <v>29</v>
      </c>
      <c r="N279" s="51">
        <f>SUM(L250:L279)</f>
        <v>2523.6600000000008</v>
      </c>
    </row>
    <row r="280" spans="1:14" ht="30" x14ac:dyDescent="0.25">
      <c r="A280" s="2">
        <v>43374</v>
      </c>
      <c r="B280" s="52" t="s">
        <v>45</v>
      </c>
      <c r="C280" s="10">
        <v>43.2</v>
      </c>
      <c r="D280" s="20">
        <v>1.08</v>
      </c>
      <c r="E280" s="10">
        <v>16.62</v>
      </c>
      <c r="F280" s="1">
        <v>0.33200000000000002</v>
      </c>
      <c r="G280" s="20"/>
      <c r="H280" s="20"/>
      <c r="I280" s="30">
        <f t="shared" si="27"/>
        <v>59.820000000000007</v>
      </c>
      <c r="J280" s="20">
        <f t="shared" si="28"/>
        <v>1.4120000000000001</v>
      </c>
      <c r="K280" s="1">
        <v>20.57</v>
      </c>
      <c r="L280" s="23">
        <f t="shared" si="29"/>
        <v>80.390000000000015</v>
      </c>
    </row>
    <row r="281" spans="1:14" ht="30" x14ac:dyDescent="0.25">
      <c r="A281" s="2">
        <v>43375</v>
      </c>
      <c r="B281" s="52" t="s">
        <v>45</v>
      </c>
      <c r="C281" s="21">
        <v>43.2</v>
      </c>
      <c r="D281" s="20">
        <v>1.08</v>
      </c>
      <c r="E281" s="21">
        <v>16.62</v>
      </c>
      <c r="F281" s="20">
        <v>0.33200000000000002</v>
      </c>
      <c r="G281" s="20"/>
      <c r="H281" s="20"/>
      <c r="I281" s="30">
        <f t="shared" si="27"/>
        <v>59.820000000000007</v>
      </c>
      <c r="J281" s="20">
        <f t="shared" si="28"/>
        <v>1.4120000000000001</v>
      </c>
      <c r="K281" s="20">
        <v>20.57</v>
      </c>
      <c r="L281" s="23">
        <f t="shared" si="29"/>
        <v>80.390000000000015</v>
      </c>
    </row>
    <row r="282" spans="1:14" ht="30" x14ac:dyDescent="0.25">
      <c r="A282" s="2">
        <v>43376</v>
      </c>
      <c r="B282" s="52" t="s">
        <v>45</v>
      </c>
      <c r="C282" s="21">
        <v>43.2</v>
      </c>
      <c r="D282" s="20">
        <v>1.08</v>
      </c>
      <c r="E282" s="21">
        <v>16.62</v>
      </c>
      <c r="F282" s="20">
        <v>0.33200000000000002</v>
      </c>
      <c r="G282" s="20"/>
      <c r="H282" s="20"/>
      <c r="I282" s="30">
        <f t="shared" si="27"/>
        <v>59.820000000000007</v>
      </c>
      <c r="J282" s="20">
        <f t="shared" si="28"/>
        <v>1.4120000000000001</v>
      </c>
      <c r="K282" s="20">
        <v>20.57</v>
      </c>
      <c r="L282" s="23">
        <f t="shared" si="29"/>
        <v>80.390000000000015</v>
      </c>
      <c r="N282" s="19">
        <f>+N279+N249+N218</f>
        <v>8093.4900000000025</v>
      </c>
    </row>
    <row r="283" spans="1:14" ht="30" x14ac:dyDescent="0.25">
      <c r="A283" s="2">
        <v>43377</v>
      </c>
      <c r="B283" s="52" t="s">
        <v>45</v>
      </c>
      <c r="C283" s="21">
        <v>36</v>
      </c>
      <c r="D283" s="20">
        <v>0.9</v>
      </c>
      <c r="E283" s="21">
        <v>16.62</v>
      </c>
      <c r="F283" s="20">
        <v>0.33200000000000002</v>
      </c>
      <c r="G283" s="20"/>
      <c r="H283" s="20"/>
      <c r="I283" s="30">
        <f t="shared" si="27"/>
        <v>52.620000000000005</v>
      </c>
      <c r="J283" s="20">
        <f t="shared" si="28"/>
        <v>1.232</v>
      </c>
      <c r="K283" s="20">
        <v>22.74</v>
      </c>
      <c r="L283" s="23">
        <f t="shared" si="29"/>
        <v>75.36</v>
      </c>
    </row>
    <row r="284" spans="1:14" ht="30" x14ac:dyDescent="0.25">
      <c r="A284" s="2">
        <v>43378</v>
      </c>
      <c r="B284" s="52" t="s">
        <v>45</v>
      </c>
      <c r="C284" s="21">
        <v>36</v>
      </c>
      <c r="D284" s="20">
        <v>0.9</v>
      </c>
      <c r="E284" s="21">
        <v>16.62</v>
      </c>
      <c r="F284" s="20">
        <v>0.33200000000000002</v>
      </c>
      <c r="G284" s="20"/>
      <c r="H284" s="20"/>
      <c r="I284" s="30">
        <f t="shared" si="27"/>
        <v>52.620000000000005</v>
      </c>
      <c r="J284" s="20">
        <f t="shared" si="28"/>
        <v>1.232</v>
      </c>
      <c r="K284" s="20">
        <v>22.74</v>
      </c>
      <c r="L284" s="23">
        <f t="shared" si="29"/>
        <v>75.36</v>
      </c>
    </row>
    <row r="285" spans="1:14" ht="30" x14ac:dyDescent="0.25">
      <c r="A285" s="2">
        <v>43379</v>
      </c>
      <c r="B285" s="52" t="s">
        <v>45</v>
      </c>
      <c r="C285" s="21">
        <v>36</v>
      </c>
      <c r="D285" s="20">
        <v>0.9</v>
      </c>
      <c r="E285" s="21">
        <v>16.62</v>
      </c>
      <c r="F285" s="20">
        <v>0.33200000000000002</v>
      </c>
      <c r="G285" s="20"/>
      <c r="H285" s="20"/>
      <c r="I285" s="30">
        <f t="shared" si="27"/>
        <v>52.620000000000005</v>
      </c>
      <c r="J285" s="20">
        <f t="shared" si="28"/>
        <v>1.232</v>
      </c>
      <c r="K285" s="20">
        <v>22.74</v>
      </c>
      <c r="L285" s="23">
        <f t="shared" si="29"/>
        <v>75.36</v>
      </c>
    </row>
    <row r="286" spans="1:14" ht="30" x14ac:dyDescent="0.25">
      <c r="A286" s="2">
        <v>43380</v>
      </c>
      <c r="B286" s="52" t="s">
        <v>45</v>
      </c>
      <c r="C286" s="21">
        <v>36</v>
      </c>
      <c r="D286" s="20">
        <v>0.9</v>
      </c>
      <c r="E286" s="21">
        <v>16.62</v>
      </c>
      <c r="F286" s="20">
        <v>0.33200000000000002</v>
      </c>
      <c r="G286" s="20"/>
      <c r="H286" s="20"/>
      <c r="I286" s="30">
        <f t="shared" si="27"/>
        <v>52.620000000000005</v>
      </c>
      <c r="J286" s="20">
        <f t="shared" si="28"/>
        <v>1.232</v>
      </c>
      <c r="K286" s="20">
        <v>22.74</v>
      </c>
      <c r="L286" s="23">
        <f t="shared" si="29"/>
        <v>75.36</v>
      </c>
    </row>
    <row r="287" spans="1:14" ht="30" x14ac:dyDescent="0.25">
      <c r="A287" s="2">
        <v>43381</v>
      </c>
      <c r="B287" s="52" t="s">
        <v>45</v>
      </c>
      <c r="C287" s="21">
        <v>48</v>
      </c>
      <c r="D287" s="20">
        <v>1.2</v>
      </c>
      <c r="E287" s="21">
        <v>18.78</v>
      </c>
      <c r="F287" s="20">
        <v>0.376</v>
      </c>
      <c r="G287" s="20"/>
      <c r="H287" s="20"/>
      <c r="I287" s="30">
        <f t="shared" si="27"/>
        <v>66.78</v>
      </c>
      <c r="J287" s="20">
        <f t="shared" si="28"/>
        <v>1.5760000000000001</v>
      </c>
      <c r="K287" s="20">
        <v>25.41</v>
      </c>
      <c r="L287" s="23">
        <f t="shared" si="29"/>
        <v>92.19</v>
      </c>
    </row>
    <row r="288" spans="1:14" ht="30" x14ac:dyDescent="0.25">
      <c r="A288" s="2">
        <v>43382</v>
      </c>
      <c r="B288" s="52" t="s">
        <v>45</v>
      </c>
      <c r="C288" s="21">
        <v>48</v>
      </c>
      <c r="D288" s="20">
        <v>1.2</v>
      </c>
      <c r="E288" s="21">
        <v>18.78</v>
      </c>
      <c r="F288" s="20">
        <v>0.376</v>
      </c>
      <c r="G288" s="20"/>
      <c r="H288" s="20"/>
      <c r="I288" s="30">
        <f t="shared" si="27"/>
        <v>66.78</v>
      </c>
      <c r="J288" s="20">
        <f t="shared" si="28"/>
        <v>1.5760000000000001</v>
      </c>
      <c r="K288" s="20">
        <v>25.41</v>
      </c>
      <c r="L288" s="23">
        <f t="shared" si="29"/>
        <v>92.19</v>
      </c>
    </row>
    <row r="289" spans="1:12" ht="30" x14ac:dyDescent="0.25">
      <c r="A289" s="2">
        <v>43383</v>
      </c>
      <c r="B289" s="52" t="s">
        <v>45</v>
      </c>
      <c r="C289" s="21">
        <v>48</v>
      </c>
      <c r="D289" s="20">
        <v>1.2</v>
      </c>
      <c r="E289" s="21">
        <v>18.78</v>
      </c>
      <c r="F289" s="20">
        <v>0.376</v>
      </c>
      <c r="G289" s="20"/>
      <c r="H289" s="20"/>
      <c r="I289" s="30">
        <f t="shared" si="27"/>
        <v>66.78</v>
      </c>
      <c r="J289" s="20">
        <f t="shared" si="28"/>
        <v>1.5760000000000001</v>
      </c>
      <c r="K289" s="20">
        <v>25.41</v>
      </c>
      <c r="L289" s="23">
        <f t="shared" si="29"/>
        <v>92.19</v>
      </c>
    </row>
    <row r="290" spans="1:12" ht="30" x14ac:dyDescent="0.25">
      <c r="A290" s="2">
        <v>43384</v>
      </c>
      <c r="B290" s="52" t="s">
        <v>45</v>
      </c>
      <c r="C290" s="21">
        <v>48</v>
      </c>
      <c r="D290" s="20">
        <v>1.2</v>
      </c>
      <c r="E290" s="21">
        <v>18.78</v>
      </c>
      <c r="F290" s="20">
        <v>0.376</v>
      </c>
      <c r="G290" s="20"/>
      <c r="H290" s="20"/>
      <c r="I290" s="30">
        <f t="shared" si="27"/>
        <v>66.78</v>
      </c>
      <c r="J290" s="20">
        <f t="shared" si="28"/>
        <v>1.5760000000000001</v>
      </c>
      <c r="K290" s="20">
        <v>25.41</v>
      </c>
      <c r="L290" s="23">
        <f t="shared" si="29"/>
        <v>92.19</v>
      </c>
    </row>
    <row r="291" spans="1:12" ht="30" x14ac:dyDescent="0.25">
      <c r="A291" s="2">
        <v>43385</v>
      </c>
      <c r="B291" s="52" t="s">
        <v>45</v>
      </c>
      <c r="C291" s="21">
        <v>43.2</v>
      </c>
      <c r="D291" s="20">
        <v>1.08</v>
      </c>
      <c r="E291" s="10">
        <v>16</v>
      </c>
      <c r="F291" s="20">
        <v>0.32</v>
      </c>
      <c r="G291" s="20"/>
      <c r="H291" s="20"/>
      <c r="I291" s="30">
        <f t="shared" si="27"/>
        <v>59.2</v>
      </c>
      <c r="J291" s="20">
        <f t="shared" si="28"/>
        <v>1.4000000000000001</v>
      </c>
      <c r="K291" s="20">
        <v>25.41</v>
      </c>
      <c r="L291" s="23">
        <f t="shared" si="29"/>
        <v>84.61</v>
      </c>
    </row>
    <row r="292" spans="1:12" ht="30" x14ac:dyDescent="0.25">
      <c r="A292" s="2">
        <v>43386</v>
      </c>
      <c r="B292" s="52" t="s">
        <v>45</v>
      </c>
      <c r="C292" s="21">
        <v>43.2</v>
      </c>
      <c r="D292" s="20">
        <v>1.08</v>
      </c>
      <c r="E292" s="21">
        <v>16</v>
      </c>
      <c r="F292" s="20">
        <v>0.32</v>
      </c>
      <c r="G292" s="20"/>
      <c r="H292" s="20"/>
      <c r="I292" s="30">
        <f t="shared" si="27"/>
        <v>59.2</v>
      </c>
      <c r="J292" s="20">
        <f t="shared" si="28"/>
        <v>1.4000000000000001</v>
      </c>
      <c r="K292" s="20">
        <v>25.41</v>
      </c>
      <c r="L292" s="23">
        <f t="shared" si="29"/>
        <v>84.61</v>
      </c>
    </row>
    <row r="293" spans="1:12" ht="30" x14ac:dyDescent="0.25">
      <c r="A293" s="2">
        <v>43387</v>
      </c>
      <c r="B293" s="52" t="s">
        <v>45</v>
      </c>
      <c r="C293" s="21">
        <v>43.2</v>
      </c>
      <c r="D293" s="20">
        <v>1.08</v>
      </c>
      <c r="E293" s="21">
        <v>16</v>
      </c>
      <c r="F293" s="20">
        <v>0.32</v>
      </c>
      <c r="G293" s="20"/>
      <c r="H293" s="20"/>
      <c r="I293" s="30">
        <f t="shared" si="27"/>
        <v>59.2</v>
      </c>
      <c r="J293" s="20">
        <f t="shared" si="28"/>
        <v>1.4000000000000001</v>
      </c>
      <c r="K293" s="20">
        <v>25.41</v>
      </c>
      <c r="L293" s="23">
        <f t="shared" si="29"/>
        <v>84.61</v>
      </c>
    </row>
    <row r="294" spans="1:12" ht="30" x14ac:dyDescent="0.25">
      <c r="A294" s="2">
        <v>43388</v>
      </c>
      <c r="B294" s="52" t="s">
        <v>45</v>
      </c>
      <c r="C294" s="21">
        <v>48</v>
      </c>
      <c r="D294" s="20">
        <v>1.2</v>
      </c>
      <c r="E294" s="21">
        <v>16</v>
      </c>
      <c r="F294" s="20">
        <v>0.32</v>
      </c>
      <c r="G294" s="20"/>
      <c r="H294" s="20"/>
      <c r="I294" s="30">
        <f t="shared" si="27"/>
        <v>64</v>
      </c>
      <c r="J294" s="20">
        <f t="shared" si="28"/>
        <v>1.52</v>
      </c>
      <c r="K294" s="20">
        <v>25.41</v>
      </c>
      <c r="L294" s="23">
        <f t="shared" si="29"/>
        <v>89.41</v>
      </c>
    </row>
    <row r="295" spans="1:12" ht="30" x14ac:dyDescent="0.25">
      <c r="A295" s="2">
        <v>43389</v>
      </c>
      <c r="B295" s="52" t="s">
        <v>45</v>
      </c>
      <c r="C295" s="21">
        <v>48</v>
      </c>
      <c r="D295" s="20">
        <v>1.2</v>
      </c>
      <c r="E295" s="21">
        <v>16</v>
      </c>
      <c r="F295" s="20">
        <v>0.32</v>
      </c>
      <c r="G295" s="20"/>
      <c r="H295" s="20"/>
      <c r="I295" s="30">
        <f t="shared" si="27"/>
        <v>64</v>
      </c>
      <c r="J295" s="20">
        <f t="shared" si="28"/>
        <v>1.52</v>
      </c>
      <c r="K295" s="20">
        <v>25.41</v>
      </c>
      <c r="L295" s="23">
        <f t="shared" si="29"/>
        <v>89.41</v>
      </c>
    </row>
    <row r="296" spans="1:12" ht="30" x14ac:dyDescent="0.25">
      <c r="A296" s="2">
        <v>43390</v>
      </c>
      <c r="B296" s="52" t="s">
        <v>45</v>
      </c>
      <c r="C296" s="21">
        <v>48</v>
      </c>
      <c r="D296" s="20">
        <v>1.2</v>
      </c>
      <c r="E296" s="21">
        <v>16</v>
      </c>
      <c r="F296" s="20">
        <v>0.32</v>
      </c>
      <c r="G296" s="20"/>
      <c r="H296" s="20"/>
      <c r="I296" s="30">
        <f t="shared" si="27"/>
        <v>64</v>
      </c>
      <c r="J296" s="20">
        <f t="shared" si="28"/>
        <v>1.52</v>
      </c>
      <c r="K296" s="20">
        <v>25.41</v>
      </c>
      <c r="L296" s="23">
        <f t="shared" si="29"/>
        <v>89.41</v>
      </c>
    </row>
    <row r="297" spans="1:12" ht="30" x14ac:dyDescent="0.25">
      <c r="A297" s="2">
        <v>43391</v>
      </c>
      <c r="B297" s="52" t="s">
        <v>45</v>
      </c>
      <c r="C297" s="21">
        <v>48</v>
      </c>
      <c r="D297" s="20">
        <v>1.2</v>
      </c>
      <c r="E297" s="21">
        <v>16</v>
      </c>
      <c r="F297" s="20">
        <v>0.32</v>
      </c>
      <c r="G297" s="20"/>
      <c r="H297" s="20"/>
      <c r="I297" s="30">
        <f t="shared" si="27"/>
        <v>64</v>
      </c>
      <c r="J297" s="20">
        <f t="shared" si="28"/>
        <v>1.52</v>
      </c>
      <c r="K297" s="20">
        <v>25.41</v>
      </c>
      <c r="L297" s="23">
        <f t="shared" si="29"/>
        <v>89.41</v>
      </c>
    </row>
    <row r="298" spans="1:12" ht="30" x14ac:dyDescent="0.25">
      <c r="A298" s="2">
        <v>43392</v>
      </c>
      <c r="B298" s="52" t="s">
        <v>45</v>
      </c>
      <c r="C298" s="21">
        <v>432</v>
      </c>
      <c r="D298" s="20">
        <v>10.8</v>
      </c>
      <c r="E298" s="21">
        <v>432</v>
      </c>
      <c r="F298" s="20">
        <v>8.64</v>
      </c>
      <c r="G298" s="20"/>
      <c r="H298" s="20"/>
      <c r="I298" s="30">
        <f t="shared" si="27"/>
        <v>864</v>
      </c>
      <c r="J298" s="20">
        <f t="shared" si="28"/>
        <v>19.440000000000001</v>
      </c>
      <c r="K298" s="20">
        <v>30.86</v>
      </c>
      <c r="L298" s="23">
        <f t="shared" si="29"/>
        <v>894.86</v>
      </c>
    </row>
    <row r="299" spans="1:12" ht="30" x14ac:dyDescent="0.25">
      <c r="A299" s="2">
        <v>43393</v>
      </c>
      <c r="B299" s="52" t="s">
        <v>45</v>
      </c>
      <c r="C299" s="21">
        <v>48</v>
      </c>
      <c r="D299" s="20">
        <v>1.2</v>
      </c>
      <c r="E299" s="21">
        <v>18</v>
      </c>
      <c r="F299" s="20">
        <v>0.36</v>
      </c>
      <c r="G299" s="20"/>
      <c r="H299" s="20"/>
      <c r="I299" s="30">
        <f t="shared" si="27"/>
        <v>66</v>
      </c>
      <c r="J299" s="20">
        <f t="shared" si="28"/>
        <v>1.56</v>
      </c>
      <c r="K299" s="20">
        <v>21.6</v>
      </c>
      <c r="L299" s="23">
        <f t="shared" si="29"/>
        <v>87.6</v>
      </c>
    </row>
    <row r="300" spans="1:12" ht="30" x14ac:dyDescent="0.25">
      <c r="A300" s="2">
        <v>43394</v>
      </c>
      <c r="B300" s="52" t="s">
        <v>45</v>
      </c>
      <c r="C300" s="21">
        <v>48</v>
      </c>
      <c r="D300" s="20">
        <v>1.2</v>
      </c>
      <c r="E300" s="21">
        <v>18</v>
      </c>
      <c r="F300" s="20">
        <v>0.36</v>
      </c>
      <c r="G300" s="20"/>
      <c r="H300" s="20"/>
      <c r="I300" s="30">
        <f t="shared" si="27"/>
        <v>66</v>
      </c>
      <c r="J300" s="20">
        <f t="shared" si="28"/>
        <v>1.56</v>
      </c>
      <c r="K300" s="20">
        <v>21.6</v>
      </c>
      <c r="L300" s="23">
        <f t="shared" si="29"/>
        <v>87.6</v>
      </c>
    </row>
    <row r="301" spans="1:12" ht="30" x14ac:dyDescent="0.25">
      <c r="A301" s="2">
        <v>43395</v>
      </c>
      <c r="B301" s="52" t="s">
        <v>45</v>
      </c>
      <c r="C301" s="21">
        <v>43.2</v>
      </c>
      <c r="D301" s="20">
        <v>1.08</v>
      </c>
      <c r="E301" s="21">
        <v>17.28</v>
      </c>
      <c r="F301" s="20">
        <v>0.34599999999999997</v>
      </c>
      <c r="G301" s="20"/>
      <c r="H301" s="20"/>
      <c r="I301" s="30">
        <f t="shared" si="27"/>
        <v>60.480000000000004</v>
      </c>
      <c r="J301" s="20">
        <f t="shared" si="28"/>
        <v>1.4260000000000002</v>
      </c>
      <c r="K301" s="20">
        <v>27</v>
      </c>
      <c r="L301" s="23">
        <f t="shared" si="29"/>
        <v>87.48</v>
      </c>
    </row>
    <row r="302" spans="1:12" ht="30" x14ac:dyDescent="0.25">
      <c r="A302" s="2">
        <v>43396</v>
      </c>
      <c r="B302" s="52" t="s">
        <v>45</v>
      </c>
      <c r="C302" s="21">
        <v>43.2</v>
      </c>
      <c r="D302" s="20">
        <v>1.08</v>
      </c>
      <c r="E302" s="21">
        <v>17.28</v>
      </c>
      <c r="F302" s="20">
        <v>0.34599999999999997</v>
      </c>
      <c r="G302" s="20"/>
      <c r="H302" s="20"/>
      <c r="I302" s="30">
        <f t="shared" si="27"/>
        <v>60.480000000000004</v>
      </c>
      <c r="J302" s="20">
        <f t="shared" si="28"/>
        <v>1.4260000000000002</v>
      </c>
      <c r="K302" s="20">
        <v>27</v>
      </c>
      <c r="L302" s="23">
        <f t="shared" si="29"/>
        <v>87.48</v>
      </c>
    </row>
    <row r="303" spans="1:12" ht="30" x14ac:dyDescent="0.25">
      <c r="A303" s="2">
        <v>43397</v>
      </c>
      <c r="B303" s="52" t="s">
        <v>45</v>
      </c>
      <c r="C303" s="21">
        <v>43.2</v>
      </c>
      <c r="D303" s="20">
        <v>1.08</v>
      </c>
      <c r="E303" s="21">
        <v>17.28</v>
      </c>
      <c r="F303" s="20">
        <v>0.34599999999999997</v>
      </c>
      <c r="G303" s="20"/>
      <c r="H303" s="20"/>
      <c r="I303" s="30">
        <f t="shared" si="27"/>
        <v>60.480000000000004</v>
      </c>
      <c r="J303" s="20">
        <f t="shared" si="28"/>
        <v>1.4260000000000002</v>
      </c>
      <c r="K303" s="20">
        <v>27</v>
      </c>
      <c r="L303" s="23">
        <f t="shared" si="29"/>
        <v>87.48</v>
      </c>
    </row>
    <row r="304" spans="1:12" ht="30" x14ac:dyDescent="0.25">
      <c r="A304" s="2">
        <v>43398</v>
      </c>
      <c r="B304" s="52" t="s">
        <v>45</v>
      </c>
      <c r="C304" s="21">
        <v>39.270000000000003</v>
      </c>
      <c r="D304" s="20">
        <v>0.98199999999999998</v>
      </c>
      <c r="E304" s="21">
        <v>16.62</v>
      </c>
      <c r="F304" s="20">
        <v>0.33200000000000002</v>
      </c>
      <c r="G304" s="20"/>
      <c r="H304" s="20"/>
      <c r="I304" s="30">
        <f t="shared" si="27"/>
        <v>55.89</v>
      </c>
      <c r="J304" s="20">
        <f t="shared" si="28"/>
        <v>1.3140000000000001</v>
      </c>
      <c r="K304" s="20">
        <v>25.41</v>
      </c>
      <c r="L304" s="23">
        <f t="shared" si="29"/>
        <v>81.3</v>
      </c>
    </row>
    <row r="305" spans="1:14" ht="30" x14ac:dyDescent="0.25">
      <c r="A305" s="2">
        <v>43399</v>
      </c>
      <c r="B305" s="52" t="s">
        <v>45</v>
      </c>
      <c r="C305" s="21">
        <v>39.270000000000003</v>
      </c>
      <c r="D305" s="20">
        <v>0.92800000000000005</v>
      </c>
      <c r="E305" s="21">
        <v>16.62</v>
      </c>
      <c r="F305" s="20">
        <v>0.33200000000000002</v>
      </c>
      <c r="G305" s="20"/>
      <c r="H305" s="20"/>
      <c r="I305" s="30">
        <f t="shared" si="27"/>
        <v>55.89</v>
      </c>
      <c r="J305" s="20">
        <f t="shared" si="28"/>
        <v>1.26</v>
      </c>
      <c r="K305" s="20">
        <v>25.41</v>
      </c>
      <c r="L305" s="23">
        <f t="shared" si="29"/>
        <v>81.3</v>
      </c>
    </row>
    <row r="306" spans="1:14" ht="30" x14ac:dyDescent="0.25">
      <c r="A306" s="2">
        <v>43400</v>
      </c>
      <c r="B306" s="52" t="s">
        <v>45</v>
      </c>
      <c r="C306" s="21">
        <v>43.2</v>
      </c>
      <c r="D306" s="20">
        <v>1.08</v>
      </c>
      <c r="E306" s="21">
        <v>18</v>
      </c>
      <c r="F306" s="20">
        <v>0.36</v>
      </c>
      <c r="G306" s="20"/>
      <c r="H306" s="20"/>
      <c r="I306" s="30">
        <f t="shared" si="27"/>
        <v>61.2</v>
      </c>
      <c r="J306" s="20">
        <f t="shared" si="28"/>
        <v>1.44</v>
      </c>
      <c r="K306" s="20">
        <v>25.41</v>
      </c>
      <c r="L306" s="23">
        <f t="shared" si="29"/>
        <v>86.61</v>
      </c>
    </row>
    <row r="307" spans="1:14" ht="30" x14ac:dyDescent="0.25">
      <c r="A307" s="2">
        <v>43401</v>
      </c>
      <c r="B307" s="52" t="s">
        <v>45</v>
      </c>
      <c r="C307" s="21">
        <v>43.2</v>
      </c>
      <c r="D307" s="20">
        <v>1.08</v>
      </c>
      <c r="E307" s="21">
        <v>18</v>
      </c>
      <c r="F307" s="20">
        <v>0.36</v>
      </c>
      <c r="G307" s="20"/>
      <c r="H307" s="20"/>
      <c r="I307" s="30">
        <f t="shared" si="27"/>
        <v>61.2</v>
      </c>
      <c r="J307" s="20">
        <f t="shared" si="28"/>
        <v>1.44</v>
      </c>
      <c r="K307" s="20">
        <v>25.41</v>
      </c>
      <c r="L307" s="23">
        <f t="shared" si="29"/>
        <v>86.61</v>
      </c>
    </row>
    <row r="308" spans="1:14" ht="30" x14ac:dyDescent="0.25">
      <c r="A308" s="2">
        <v>43402</v>
      </c>
      <c r="B308" s="52" t="s">
        <v>45</v>
      </c>
      <c r="C308" s="21">
        <v>43.2</v>
      </c>
      <c r="D308" s="20">
        <v>1.08</v>
      </c>
      <c r="E308" s="21">
        <v>18</v>
      </c>
      <c r="F308" s="20">
        <v>0.36</v>
      </c>
      <c r="G308" s="20"/>
      <c r="H308" s="20"/>
      <c r="I308" s="30">
        <f t="shared" si="27"/>
        <v>61.2</v>
      </c>
      <c r="J308" s="20">
        <f t="shared" si="28"/>
        <v>1.44</v>
      </c>
      <c r="K308" s="20">
        <v>25.41</v>
      </c>
      <c r="L308" s="23">
        <f t="shared" si="29"/>
        <v>86.61</v>
      </c>
    </row>
    <row r="309" spans="1:14" ht="30" x14ac:dyDescent="0.25">
      <c r="A309" s="2">
        <v>43403</v>
      </c>
      <c r="B309" s="52" t="s">
        <v>45</v>
      </c>
      <c r="C309" s="21">
        <v>43.2</v>
      </c>
      <c r="D309" s="20">
        <v>1.08</v>
      </c>
      <c r="E309" s="21">
        <v>18</v>
      </c>
      <c r="F309" s="20">
        <v>0.36</v>
      </c>
      <c r="G309" s="20"/>
      <c r="H309" s="20"/>
      <c r="I309" s="30">
        <f t="shared" si="27"/>
        <v>61.2</v>
      </c>
      <c r="J309" s="20">
        <f t="shared" si="28"/>
        <v>1.44</v>
      </c>
      <c r="K309" s="20">
        <v>25.41</v>
      </c>
      <c r="L309" s="23">
        <f t="shared" si="29"/>
        <v>86.61</v>
      </c>
    </row>
    <row r="310" spans="1:14" s="27" customFormat="1" ht="30" x14ac:dyDescent="0.25">
      <c r="A310" s="50">
        <v>43404</v>
      </c>
      <c r="B310" s="42" t="s">
        <v>45</v>
      </c>
      <c r="C310" s="24">
        <v>43.2</v>
      </c>
      <c r="D310" s="24">
        <v>1.08</v>
      </c>
      <c r="E310" s="24">
        <v>18</v>
      </c>
      <c r="F310" s="24">
        <v>0.36</v>
      </c>
      <c r="G310" s="24"/>
      <c r="H310" s="24"/>
      <c r="I310" s="24">
        <f t="shared" si="27"/>
        <v>61.2</v>
      </c>
      <c r="J310" s="24">
        <f t="shared" si="28"/>
        <v>1.44</v>
      </c>
      <c r="K310" s="24">
        <v>25.41</v>
      </c>
      <c r="L310" s="34">
        <f t="shared" si="29"/>
        <v>86.61</v>
      </c>
      <c r="M310" s="27" t="s">
        <v>30</v>
      </c>
      <c r="N310" s="27">
        <f>SUM(L280:L310)</f>
        <v>3450.9900000000011</v>
      </c>
    </row>
    <row r="311" spans="1:14" ht="30" x14ac:dyDescent="0.25">
      <c r="A311" s="2">
        <v>43405</v>
      </c>
      <c r="B311" s="52" t="s">
        <v>45</v>
      </c>
      <c r="C311" s="10">
        <v>43.2</v>
      </c>
      <c r="D311" s="1">
        <v>1.08</v>
      </c>
      <c r="E311" s="10">
        <v>16.62</v>
      </c>
      <c r="F311" s="20">
        <v>0.33200000000000002</v>
      </c>
      <c r="G311" s="20"/>
      <c r="H311" s="20"/>
      <c r="I311" s="30">
        <f t="shared" si="27"/>
        <v>59.820000000000007</v>
      </c>
      <c r="J311" s="20">
        <f t="shared" si="28"/>
        <v>1.4120000000000001</v>
      </c>
      <c r="K311" s="1">
        <v>25.41</v>
      </c>
      <c r="L311" s="23">
        <f t="shared" si="29"/>
        <v>85.23</v>
      </c>
    </row>
    <row r="312" spans="1:14" ht="30" x14ac:dyDescent="0.25">
      <c r="A312" s="2">
        <v>43406</v>
      </c>
      <c r="B312" s="52" t="s">
        <v>45</v>
      </c>
      <c r="C312" s="21">
        <v>43.2</v>
      </c>
      <c r="D312" s="20">
        <v>1.08</v>
      </c>
      <c r="E312" s="10">
        <v>33.229999999999997</v>
      </c>
      <c r="F312" s="20">
        <v>0.66500000000000004</v>
      </c>
      <c r="G312" s="20"/>
      <c r="H312" s="20"/>
      <c r="I312" s="30">
        <f t="shared" si="27"/>
        <v>76.430000000000007</v>
      </c>
      <c r="J312" s="20">
        <f t="shared" si="28"/>
        <v>1.7450000000000001</v>
      </c>
      <c r="K312" s="1">
        <v>21.6</v>
      </c>
      <c r="L312" s="23">
        <f t="shared" si="29"/>
        <v>98.03</v>
      </c>
    </row>
    <row r="313" spans="1:14" ht="30" x14ac:dyDescent="0.25">
      <c r="A313" s="2">
        <v>43407</v>
      </c>
      <c r="B313" s="52" t="s">
        <v>45</v>
      </c>
      <c r="C313" s="21">
        <v>43.2</v>
      </c>
      <c r="D313" s="20">
        <v>1.08</v>
      </c>
      <c r="E313" s="10">
        <v>33.229999999999997</v>
      </c>
      <c r="F313" s="20">
        <v>0.66500000000000004</v>
      </c>
      <c r="G313" s="20"/>
      <c r="H313" s="20"/>
      <c r="I313" s="30">
        <f t="shared" si="27"/>
        <v>76.430000000000007</v>
      </c>
      <c r="J313" s="20">
        <f t="shared" si="28"/>
        <v>1.7450000000000001</v>
      </c>
      <c r="K313" s="1">
        <v>21.6</v>
      </c>
      <c r="L313" s="23">
        <f t="shared" si="29"/>
        <v>98.03</v>
      </c>
    </row>
    <row r="314" spans="1:14" ht="30" x14ac:dyDescent="0.25">
      <c r="A314" s="2">
        <v>43408</v>
      </c>
      <c r="B314" s="52" t="s">
        <v>45</v>
      </c>
      <c r="C314" s="21">
        <v>43.2</v>
      </c>
      <c r="D314" s="20">
        <v>1.08</v>
      </c>
      <c r="E314" s="10">
        <v>33.229999999999997</v>
      </c>
      <c r="F314" s="20">
        <v>0.66500000000000004</v>
      </c>
      <c r="G314" s="20"/>
      <c r="H314" s="20"/>
      <c r="I314" s="30">
        <f t="shared" si="27"/>
        <v>76.430000000000007</v>
      </c>
      <c r="J314" s="20">
        <f t="shared" si="28"/>
        <v>1.7450000000000001</v>
      </c>
      <c r="K314" s="1">
        <v>21.6</v>
      </c>
      <c r="L314" s="23">
        <f t="shared" si="29"/>
        <v>98.03</v>
      </c>
    </row>
    <row r="315" spans="1:14" ht="30" x14ac:dyDescent="0.25">
      <c r="A315" s="2">
        <v>43409</v>
      </c>
      <c r="B315" s="52" t="s">
        <v>45</v>
      </c>
      <c r="C315" s="21">
        <v>43.2</v>
      </c>
      <c r="D315" s="20">
        <v>1.08</v>
      </c>
      <c r="E315" s="10">
        <v>33.229999999999997</v>
      </c>
      <c r="F315" s="20">
        <v>0.66500000000000004</v>
      </c>
      <c r="G315" s="20"/>
      <c r="H315" s="20"/>
      <c r="I315" s="30">
        <f t="shared" si="27"/>
        <v>76.430000000000007</v>
      </c>
      <c r="J315" s="20">
        <f t="shared" si="28"/>
        <v>1.7450000000000001</v>
      </c>
      <c r="K315" s="1">
        <v>25.41</v>
      </c>
      <c r="L315" s="23">
        <f t="shared" si="29"/>
        <v>101.84</v>
      </c>
    </row>
    <row r="316" spans="1:14" ht="30" x14ac:dyDescent="0.25">
      <c r="A316" s="2">
        <v>43410</v>
      </c>
      <c r="B316" s="52" t="s">
        <v>45</v>
      </c>
      <c r="C316" s="21">
        <v>43.2</v>
      </c>
      <c r="D316" s="20">
        <v>1.08</v>
      </c>
      <c r="E316" s="10">
        <v>16</v>
      </c>
      <c r="F316" s="20">
        <v>0.32</v>
      </c>
      <c r="G316" s="20"/>
      <c r="H316" s="20"/>
      <c r="I316" s="30">
        <f t="shared" si="27"/>
        <v>59.2</v>
      </c>
      <c r="J316" s="20">
        <f t="shared" si="28"/>
        <v>1.4000000000000001</v>
      </c>
      <c r="K316" s="20">
        <v>25.41</v>
      </c>
      <c r="L316" s="23">
        <f t="shared" si="29"/>
        <v>84.61</v>
      </c>
    </row>
    <row r="317" spans="1:14" ht="30" x14ac:dyDescent="0.25">
      <c r="A317" s="2">
        <v>43411</v>
      </c>
      <c r="B317" s="52" t="s">
        <v>45</v>
      </c>
      <c r="C317" s="21">
        <v>43.2</v>
      </c>
      <c r="D317" s="20">
        <v>1.08</v>
      </c>
      <c r="E317" s="21">
        <v>16</v>
      </c>
      <c r="F317" s="20">
        <v>0.32</v>
      </c>
      <c r="G317" s="20"/>
      <c r="H317" s="20"/>
      <c r="I317" s="30">
        <f t="shared" si="27"/>
        <v>59.2</v>
      </c>
      <c r="J317" s="20">
        <f t="shared" si="28"/>
        <v>1.4000000000000001</v>
      </c>
      <c r="K317" s="20">
        <v>25.41</v>
      </c>
      <c r="L317" s="23">
        <f t="shared" si="29"/>
        <v>84.61</v>
      </c>
    </row>
    <row r="318" spans="1:14" ht="30" x14ac:dyDescent="0.25">
      <c r="A318" s="2">
        <v>43412</v>
      </c>
      <c r="B318" s="52" t="s">
        <v>45</v>
      </c>
      <c r="C318" s="21">
        <v>43.2</v>
      </c>
      <c r="D318" s="20">
        <v>1.08</v>
      </c>
      <c r="E318" s="21">
        <v>16</v>
      </c>
      <c r="F318" s="20">
        <v>0.32</v>
      </c>
      <c r="G318" s="20"/>
      <c r="H318" s="20"/>
      <c r="I318" s="30">
        <f t="shared" si="27"/>
        <v>59.2</v>
      </c>
      <c r="J318" s="20">
        <f t="shared" si="28"/>
        <v>1.4000000000000001</v>
      </c>
      <c r="K318" s="20">
        <v>25.41</v>
      </c>
      <c r="L318" s="23">
        <f t="shared" si="29"/>
        <v>84.61</v>
      </c>
    </row>
    <row r="319" spans="1:14" ht="30" x14ac:dyDescent="0.25">
      <c r="A319" s="2">
        <v>43413</v>
      </c>
      <c r="B319" s="52" t="s">
        <v>45</v>
      </c>
      <c r="C319" s="21">
        <v>43.2</v>
      </c>
      <c r="D319" s="20">
        <v>1.08</v>
      </c>
      <c r="E319" s="21">
        <v>16</v>
      </c>
      <c r="F319" s="20">
        <v>0.32</v>
      </c>
      <c r="G319" s="20"/>
      <c r="H319" s="20"/>
      <c r="I319" s="30">
        <f t="shared" si="27"/>
        <v>59.2</v>
      </c>
      <c r="J319" s="20">
        <f t="shared" si="28"/>
        <v>1.4000000000000001</v>
      </c>
      <c r="K319" s="20">
        <v>25.41</v>
      </c>
      <c r="L319" s="23">
        <f t="shared" si="29"/>
        <v>84.61</v>
      </c>
    </row>
    <row r="320" spans="1:14" ht="30" x14ac:dyDescent="0.25">
      <c r="A320" s="2">
        <v>43414</v>
      </c>
      <c r="B320" s="52" t="s">
        <v>45</v>
      </c>
      <c r="C320" s="21">
        <v>43.2</v>
      </c>
      <c r="D320" s="20">
        <v>1.08</v>
      </c>
      <c r="E320" s="21">
        <v>16</v>
      </c>
      <c r="F320" s="20">
        <v>0.32</v>
      </c>
      <c r="G320" s="20"/>
      <c r="H320" s="20"/>
      <c r="I320" s="30">
        <f t="shared" si="27"/>
        <v>59.2</v>
      </c>
      <c r="J320" s="20">
        <f t="shared" si="28"/>
        <v>1.4000000000000001</v>
      </c>
      <c r="K320" s="20">
        <v>25.41</v>
      </c>
      <c r="L320" s="23">
        <f t="shared" si="29"/>
        <v>84.61</v>
      </c>
    </row>
    <row r="321" spans="1:12" ht="30" x14ac:dyDescent="0.25">
      <c r="A321" s="2">
        <v>43415</v>
      </c>
      <c r="B321" s="52" t="s">
        <v>45</v>
      </c>
      <c r="C321" s="21">
        <v>43.2</v>
      </c>
      <c r="D321" s="20">
        <v>1.08</v>
      </c>
      <c r="E321" s="21">
        <v>16</v>
      </c>
      <c r="F321" s="20">
        <v>0.32</v>
      </c>
      <c r="G321" s="20"/>
      <c r="H321" s="20"/>
      <c r="I321" s="30">
        <f t="shared" si="27"/>
        <v>59.2</v>
      </c>
      <c r="J321" s="20">
        <f t="shared" si="28"/>
        <v>1.4000000000000001</v>
      </c>
      <c r="K321" s="20">
        <v>25.41</v>
      </c>
      <c r="L321" s="23">
        <f t="shared" si="29"/>
        <v>84.61</v>
      </c>
    </row>
    <row r="322" spans="1:12" ht="30" x14ac:dyDescent="0.25">
      <c r="A322" s="2">
        <v>43416</v>
      </c>
      <c r="B322" s="52" t="s">
        <v>45</v>
      </c>
      <c r="C322" s="21">
        <v>43.2</v>
      </c>
      <c r="D322" s="20">
        <v>1.08</v>
      </c>
      <c r="E322" s="21">
        <v>16</v>
      </c>
      <c r="F322" s="20">
        <v>0.32</v>
      </c>
      <c r="G322" s="20"/>
      <c r="H322" s="20"/>
      <c r="I322" s="30">
        <f t="shared" si="27"/>
        <v>59.2</v>
      </c>
      <c r="J322" s="20">
        <f t="shared" si="28"/>
        <v>1.4000000000000001</v>
      </c>
      <c r="K322" s="1">
        <v>20.57</v>
      </c>
      <c r="L322" s="23">
        <f t="shared" si="29"/>
        <v>79.77000000000001</v>
      </c>
    </row>
    <row r="323" spans="1:12" ht="30" x14ac:dyDescent="0.25">
      <c r="A323" s="2">
        <v>43417</v>
      </c>
      <c r="B323" s="52" t="s">
        <v>45</v>
      </c>
      <c r="C323" s="10">
        <v>54</v>
      </c>
      <c r="D323" s="20">
        <v>1.345</v>
      </c>
      <c r="E323" s="10">
        <v>28.8</v>
      </c>
      <c r="F323" s="20">
        <v>0.57599999999999996</v>
      </c>
      <c r="G323" s="20"/>
      <c r="H323" s="20"/>
      <c r="I323" s="30">
        <f t="shared" si="27"/>
        <v>82.8</v>
      </c>
      <c r="J323" s="20">
        <f t="shared" si="28"/>
        <v>1.9209999999999998</v>
      </c>
      <c r="K323" s="1">
        <v>36</v>
      </c>
      <c r="L323" s="23">
        <f t="shared" si="29"/>
        <v>118.8</v>
      </c>
    </row>
    <row r="324" spans="1:12" ht="30" x14ac:dyDescent="0.25">
      <c r="A324" s="2">
        <v>43418</v>
      </c>
      <c r="B324" s="52" t="s">
        <v>45</v>
      </c>
      <c r="C324" s="10">
        <v>216</v>
      </c>
      <c r="D324" s="20">
        <v>5.4</v>
      </c>
      <c r="E324" s="10">
        <v>144</v>
      </c>
      <c r="F324" s="20">
        <v>2.88</v>
      </c>
      <c r="G324" s="20"/>
      <c r="H324" s="20"/>
      <c r="I324" s="30">
        <f t="shared" si="27"/>
        <v>360</v>
      </c>
      <c r="J324" s="20">
        <f t="shared" si="28"/>
        <v>8.2800000000000011</v>
      </c>
      <c r="K324" s="1">
        <v>144</v>
      </c>
      <c r="L324" s="23">
        <f t="shared" si="29"/>
        <v>504</v>
      </c>
    </row>
    <row r="325" spans="1:12" ht="30" x14ac:dyDescent="0.25">
      <c r="A325" s="2">
        <v>43419</v>
      </c>
      <c r="B325" s="52" t="s">
        <v>45</v>
      </c>
      <c r="C325" s="10">
        <v>86.4</v>
      </c>
      <c r="D325" s="20">
        <v>2.16</v>
      </c>
      <c r="E325" s="10">
        <v>48</v>
      </c>
      <c r="F325" s="20">
        <v>0.96</v>
      </c>
      <c r="G325" s="20"/>
      <c r="H325" s="20"/>
      <c r="I325" s="30">
        <f t="shared" si="27"/>
        <v>134.4</v>
      </c>
      <c r="J325" s="20">
        <f t="shared" si="28"/>
        <v>3.12</v>
      </c>
      <c r="K325" s="1">
        <v>48</v>
      </c>
      <c r="L325" s="23">
        <f t="shared" si="29"/>
        <v>182.4</v>
      </c>
    </row>
    <row r="326" spans="1:12" ht="30" x14ac:dyDescent="0.25">
      <c r="A326" s="2">
        <v>43420</v>
      </c>
      <c r="B326" s="52" t="s">
        <v>45</v>
      </c>
      <c r="C326" s="10">
        <v>432</v>
      </c>
      <c r="D326" s="20">
        <v>1.08</v>
      </c>
      <c r="E326" s="10">
        <v>432</v>
      </c>
      <c r="F326" s="20"/>
      <c r="G326" s="20"/>
      <c r="H326" s="20"/>
      <c r="I326" s="30">
        <f t="shared" si="27"/>
        <v>864</v>
      </c>
      <c r="J326" s="20">
        <f t="shared" si="28"/>
        <v>1.08</v>
      </c>
      <c r="K326" s="1">
        <v>432</v>
      </c>
      <c r="L326" s="23">
        <f t="shared" si="29"/>
        <v>1296</v>
      </c>
    </row>
    <row r="327" spans="1:12" ht="30" x14ac:dyDescent="0.25">
      <c r="A327" s="2">
        <v>43421</v>
      </c>
      <c r="B327" s="52" t="s">
        <v>45</v>
      </c>
      <c r="C327" s="10"/>
      <c r="D327" s="20"/>
      <c r="E327" s="10">
        <v>432</v>
      </c>
      <c r="F327" s="20"/>
      <c r="G327" s="20">
        <v>432</v>
      </c>
      <c r="H327" s="20">
        <v>1.08</v>
      </c>
      <c r="I327" s="30">
        <f>C327+E327+G327</f>
        <v>864</v>
      </c>
      <c r="J327" s="20">
        <f t="shared" si="28"/>
        <v>0</v>
      </c>
      <c r="K327" s="1">
        <v>432</v>
      </c>
      <c r="L327" s="23">
        <f t="shared" si="29"/>
        <v>1296</v>
      </c>
    </row>
    <row r="328" spans="1:12" ht="30" x14ac:dyDescent="0.25">
      <c r="A328" s="2">
        <v>43422</v>
      </c>
      <c r="B328" s="52" t="s">
        <v>45</v>
      </c>
      <c r="C328" s="10"/>
      <c r="D328" s="20"/>
      <c r="E328" s="10">
        <v>86.4</v>
      </c>
      <c r="F328" s="20"/>
      <c r="G328" s="20">
        <v>432</v>
      </c>
      <c r="H328" s="20">
        <v>1.08</v>
      </c>
      <c r="I328" s="30">
        <f t="shared" ref="I328:I332" si="30">C328+E328+G328</f>
        <v>518.4</v>
      </c>
      <c r="J328" s="20">
        <f t="shared" ref="J328:J371" si="31">D328+F328</f>
        <v>0</v>
      </c>
      <c r="K328" s="1">
        <v>432</v>
      </c>
      <c r="L328" s="23">
        <f t="shared" ref="L328:L371" si="32">I328+K328</f>
        <v>950.4</v>
      </c>
    </row>
    <row r="329" spans="1:12" ht="30" x14ac:dyDescent="0.25">
      <c r="A329" s="2">
        <v>43423</v>
      </c>
      <c r="B329" s="52" t="s">
        <v>45</v>
      </c>
      <c r="C329" s="10"/>
      <c r="D329" s="20"/>
      <c r="E329" s="10">
        <v>432</v>
      </c>
      <c r="F329" s="20"/>
      <c r="G329" s="20">
        <v>144</v>
      </c>
      <c r="H329" s="20">
        <v>1.08</v>
      </c>
      <c r="I329" s="30">
        <f t="shared" si="30"/>
        <v>576</v>
      </c>
      <c r="J329" s="20">
        <f t="shared" si="31"/>
        <v>0</v>
      </c>
      <c r="K329" s="1">
        <v>86.4</v>
      </c>
      <c r="L329" s="23">
        <f t="shared" si="32"/>
        <v>662.4</v>
      </c>
    </row>
    <row r="330" spans="1:12" ht="30" x14ac:dyDescent="0.25">
      <c r="A330" s="2">
        <v>43424</v>
      </c>
      <c r="B330" s="52" t="s">
        <v>45</v>
      </c>
      <c r="C330" s="10"/>
      <c r="D330" s="20"/>
      <c r="E330" s="10">
        <v>432</v>
      </c>
      <c r="F330" s="20"/>
      <c r="G330" s="20">
        <v>432</v>
      </c>
      <c r="H330" s="20">
        <v>1.08</v>
      </c>
      <c r="I330" s="30">
        <f t="shared" si="30"/>
        <v>864</v>
      </c>
      <c r="J330" s="20">
        <f t="shared" si="31"/>
        <v>0</v>
      </c>
      <c r="K330" s="1">
        <v>432</v>
      </c>
      <c r="L330" s="23">
        <f t="shared" si="32"/>
        <v>1296</v>
      </c>
    </row>
    <row r="331" spans="1:12" ht="30" x14ac:dyDescent="0.25">
      <c r="A331" s="2">
        <v>43425</v>
      </c>
      <c r="B331" s="52" t="s">
        <v>45</v>
      </c>
      <c r="C331" s="10"/>
      <c r="D331" s="20"/>
      <c r="E331" s="10">
        <v>72</v>
      </c>
      <c r="F331" s="20"/>
      <c r="G331" s="20">
        <v>108</v>
      </c>
      <c r="H331" s="20">
        <v>1.08</v>
      </c>
      <c r="I331" s="30">
        <f t="shared" si="30"/>
        <v>180</v>
      </c>
      <c r="J331" s="20">
        <f t="shared" si="31"/>
        <v>0</v>
      </c>
      <c r="K331" s="1">
        <v>108</v>
      </c>
      <c r="L331" s="23">
        <f t="shared" si="32"/>
        <v>288</v>
      </c>
    </row>
    <row r="332" spans="1:12" ht="30" x14ac:dyDescent="0.25">
      <c r="A332" s="2">
        <v>43426</v>
      </c>
      <c r="B332" s="52" t="s">
        <v>45</v>
      </c>
      <c r="C332" s="10"/>
      <c r="D332" s="20"/>
      <c r="E332" s="10">
        <v>39.270000000000003</v>
      </c>
      <c r="F332" s="20"/>
      <c r="G332" s="20">
        <v>144</v>
      </c>
      <c r="H332" s="20">
        <v>1.08</v>
      </c>
      <c r="I332" s="30">
        <f t="shared" si="30"/>
        <v>183.27</v>
      </c>
      <c r="J332" s="20">
        <f t="shared" si="31"/>
        <v>0</v>
      </c>
      <c r="K332" s="1">
        <v>86.4</v>
      </c>
      <c r="L332" s="23">
        <f t="shared" si="32"/>
        <v>269.67</v>
      </c>
    </row>
    <row r="333" spans="1:12" ht="30" x14ac:dyDescent="0.25">
      <c r="A333" s="2">
        <v>43427</v>
      </c>
      <c r="B333" s="52" t="s">
        <v>45</v>
      </c>
      <c r="C333" s="10">
        <v>108</v>
      </c>
      <c r="D333" s="20">
        <v>1.08</v>
      </c>
      <c r="E333" s="10">
        <v>36</v>
      </c>
      <c r="F333" s="20"/>
      <c r="G333" s="20"/>
      <c r="H333" s="20"/>
      <c r="I333" s="30">
        <f t="shared" ref="I333:I371" si="33">C333+E333</f>
        <v>144</v>
      </c>
      <c r="J333" s="20">
        <f t="shared" si="31"/>
        <v>1.08</v>
      </c>
      <c r="K333" s="1">
        <v>144</v>
      </c>
      <c r="L333" s="23">
        <f t="shared" si="32"/>
        <v>288</v>
      </c>
    </row>
    <row r="334" spans="1:12" ht="30" x14ac:dyDescent="0.25">
      <c r="A334" s="2">
        <v>43428</v>
      </c>
      <c r="B334" s="52" t="s">
        <v>45</v>
      </c>
      <c r="C334" s="10">
        <v>86.4</v>
      </c>
      <c r="D334" s="20">
        <v>1.08</v>
      </c>
      <c r="E334" s="10">
        <v>61.71</v>
      </c>
      <c r="F334" s="20"/>
      <c r="G334" s="20"/>
      <c r="H334" s="20"/>
      <c r="I334" s="30">
        <f t="shared" si="33"/>
        <v>148.11000000000001</v>
      </c>
      <c r="J334" s="20">
        <f t="shared" si="31"/>
        <v>1.08</v>
      </c>
      <c r="K334" s="1">
        <v>61.71</v>
      </c>
      <c r="L334" s="23">
        <f t="shared" si="32"/>
        <v>209.82000000000002</v>
      </c>
    </row>
    <row r="335" spans="1:12" ht="30" x14ac:dyDescent="0.25">
      <c r="A335" s="2">
        <v>43429</v>
      </c>
      <c r="B335" s="52" t="s">
        <v>45</v>
      </c>
      <c r="C335" s="21">
        <v>86.4</v>
      </c>
      <c r="D335" s="20">
        <v>1.08</v>
      </c>
      <c r="E335" s="10">
        <v>61.71</v>
      </c>
      <c r="F335" s="20"/>
      <c r="G335" s="20"/>
      <c r="H335" s="20"/>
      <c r="I335" s="30">
        <f t="shared" si="33"/>
        <v>148.11000000000001</v>
      </c>
      <c r="J335" s="20">
        <f t="shared" si="31"/>
        <v>1.08</v>
      </c>
      <c r="K335" s="1">
        <v>61.71</v>
      </c>
      <c r="L335" s="23">
        <f t="shared" si="32"/>
        <v>209.82000000000002</v>
      </c>
    </row>
    <row r="336" spans="1:12" ht="30" x14ac:dyDescent="0.25">
      <c r="A336" s="2">
        <v>43430</v>
      </c>
      <c r="B336" s="52" t="s">
        <v>45</v>
      </c>
      <c r="C336" s="21">
        <v>86.4</v>
      </c>
      <c r="D336" s="20">
        <v>1.08</v>
      </c>
      <c r="E336" s="10">
        <v>61.71</v>
      </c>
      <c r="F336" s="20"/>
      <c r="G336" s="20"/>
      <c r="H336" s="20"/>
      <c r="I336" s="30">
        <f t="shared" si="33"/>
        <v>148.11000000000001</v>
      </c>
      <c r="J336" s="20">
        <f t="shared" si="31"/>
        <v>1.08</v>
      </c>
      <c r="K336" s="1">
        <v>61.71</v>
      </c>
      <c r="L336" s="23">
        <f t="shared" si="32"/>
        <v>209.82000000000002</v>
      </c>
    </row>
    <row r="337" spans="1:14" ht="30" x14ac:dyDescent="0.25">
      <c r="A337" s="2">
        <v>43431</v>
      </c>
      <c r="B337" s="52" t="s">
        <v>45</v>
      </c>
      <c r="C337" s="21">
        <v>86.4</v>
      </c>
      <c r="D337" s="20">
        <v>1.08</v>
      </c>
      <c r="E337" s="10">
        <v>30.86</v>
      </c>
      <c r="F337" s="20"/>
      <c r="G337" s="20"/>
      <c r="H337" s="20"/>
      <c r="I337" s="30">
        <f t="shared" si="33"/>
        <v>117.26</v>
      </c>
      <c r="J337" s="20">
        <f t="shared" si="31"/>
        <v>1.08</v>
      </c>
      <c r="K337" s="20">
        <v>61.71</v>
      </c>
      <c r="L337" s="23">
        <f t="shared" si="32"/>
        <v>178.97</v>
      </c>
    </row>
    <row r="338" spans="1:14" ht="30" x14ac:dyDescent="0.25">
      <c r="A338" s="2">
        <v>43432</v>
      </c>
      <c r="B338" s="52" t="s">
        <v>45</v>
      </c>
      <c r="C338" s="21">
        <v>86.4</v>
      </c>
      <c r="D338" s="20">
        <v>1.08</v>
      </c>
      <c r="E338" s="10">
        <v>57</v>
      </c>
      <c r="F338" s="20"/>
      <c r="G338" s="20"/>
      <c r="H338" s="20"/>
      <c r="I338" s="30">
        <f t="shared" si="33"/>
        <v>143.4</v>
      </c>
      <c r="J338" s="20">
        <f t="shared" si="31"/>
        <v>1.08</v>
      </c>
      <c r="K338" s="20">
        <v>61.71</v>
      </c>
      <c r="L338" s="23">
        <f t="shared" si="32"/>
        <v>205.11</v>
      </c>
    </row>
    <row r="339" spans="1:14" ht="30" x14ac:dyDescent="0.25">
      <c r="A339" s="2">
        <v>43433</v>
      </c>
      <c r="B339" s="52" t="s">
        <v>45</v>
      </c>
      <c r="C339" s="21">
        <v>144</v>
      </c>
      <c r="D339" s="20">
        <v>1.08</v>
      </c>
      <c r="E339" s="10">
        <v>36</v>
      </c>
      <c r="F339" s="20"/>
      <c r="G339" s="20"/>
      <c r="H339" s="20"/>
      <c r="I339" s="30">
        <f t="shared" si="33"/>
        <v>180</v>
      </c>
      <c r="J339" s="20">
        <f t="shared" si="31"/>
        <v>1.08</v>
      </c>
      <c r="K339" s="1">
        <v>72</v>
      </c>
      <c r="L339" s="23">
        <f t="shared" si="32"/>
        <v>252</v>
      </c>
    </row>
    <row r="340" spans="1:14" s="27" customFormat="1" ht="30" x14ac:dyDescent="0.25">
      <c r="A340" s="50">
        <v>43434</v>
      </c>
      <c r="B340" s="42" t="s">
        <v>45</v>
      </c>
      <c r="C340" s="24">
        <v>86.4</v>
      </c>
      <c r="D340" s="24">
        <v>1.08</v>
      </c>
      <c r="E340" s="24">
        <v>33.229999999999997</v>
      </c>
      <c r="F340" s="24"/>
      <c r="G340" s="24"/>
      <c r="H340" s="24"/>
      <c r="I340" s="24">
        <f t="shared" si="33"/>
        <v>119.63</v>
      </c>
      <c r="J340" s="24">
        <f t="shared" si="31"/>
        <v>1.08</v>
      </c>
      <c r="K340" s="24">
        <v>54</v>
      </c>
      <c r="L340" s="34">
        <f t="shared" si="32"/>
        <v>173.63</v>
      </c>
      <c r="M340" s="27" t="s">
        <v>31</v>
      </c>
      <c r="N340" s="51">
        <f>SUM(L311:L340)</f>
        <v>9659.4299999999967</v>
      </c>
    </row>
    <row r="341" spans="1:14" ht="30" x14ac:dyDescent="0.25">
      <c r="A341" s="2">
        <v>43435</v>
      </c>
      <c r="B341" s="52" t="s">
        <v>45</v>
      </c>
      <c r="C341" s="10">
        <v>86.4</v>
      </c>
      <c r="D341" s="1">
        <v>1.08</v>
      </c>
      <c r="E341" s="10">
        <v>33.229999999999997</v>
      </c>
      <c r="F341" s="1"/>
      <c r="G341" s="20"/>
      <c r="H341" s="20"/>
      <c r="I341" s="30">
        <f t="shared" si="33"/>
        <v>119.63</v>
      </c>
      <c r="J341" s="20">
        <f t="shared" si="31"/>
        <v>1.08</v>
      </c>
      <c r="K341" s="1">
        <v>54</v>
      </c>
      <c r="L341" s="23">
        <f t="shared" si="32"/>
        <v>173.63</v>
      </c>
    </row>
    <row r="342" spans="1:14" ht="30" x14ac:dyDescent="0.25">
      <c r="A342" s="2">
        <v>43436</v>
      </c>
      <c r="B342" s="52" t="s">
        <v>45</v>
      </c>
      <c r="C342" s="10">
        <v>86.4</v>
      </c>
      <c r="D342" s="20">
        <v>1.08</v>
      </c>
      <c r="E342" s="10">
        <v>33.229999999999997</v>
      </c>
      <c r="F342" s="1"/>
      <c r="G342" s="20"/>
      <c r="H342" s="20"/>
      <c r="I342" s="30">
        <f t="shared" si="33"/>
        <v>119.63</v>
      </c>
      <c r="J342" s="20">
        <f t="shared" si="31"/>
        <v>1.08</v>
      </c>
      <c r="K342" s="1">
        <v>48</v>
      </c>
      <c r="L342" s="23">
        <f t="shared" si="32"/>
        <v>167.63</v>
      </c>
    </row>
    <row r="343" spans="1:14" ht="30" x14ac:dyDescent="0.25">
      <c r="A343" s="2">
        <v>43437</v>
      </c>
      <c r="B343" s="52" t="s">
        <v>45</v>
      </c>
      <c r="C343" s="10">
        <v>54</v>
      </c>
      <c r="D343" s="20">
        <v>1.08</v>
      </c>
      <c r="E343" s="10">
        <v>27</v>
      </c>
      <c r="F343" s="1"/>
      <c r="G343" s="20"/>
      <c r="H343" s="20"/>
      <c r="I343" s="30">
        <f t="shared" si="33"/>
        <v>81</v>
      </c>
      <c r="J343" s="20">
        <f t="shared" si="31"/>
        <v>1.08</v>
      </c>
      <c r="K343" s="1">
        <v>48</v>
      </c>
      <c r="L343" s="23">
        <f t="shared" si="32"/>
        <v>129</v>
      </c>
    </row>
    <row r="344" spans="1:14" ht="30" x14ac:dyDescent="0.25">
      <c r="A344" s="2">
        <v>43438</v>
      </c>
      <c r="B344" s="52" t="s">
        <v>45</v>
      </c>
      <c r="C344" s="10">
        <v>54</v>
      </c>
      <c r="D344" s="20">
        <v>1.08</v>
      </c>
      <c r="E344" s="10">
        <v>24</v>
      </c>
      <c r="F344" s="1"/>
      <c r="G344" s="20"/>
      <c r="H344" s="20"/>
      <c r="I344" s="30">
        <f t="shared" si="33"/>
        <v>78</v>
      </c>
      <c r="J344" s="20">
        <f t="shared" si="31"/>
        <v>1.08</v>
      </c>
      <c r="K344" s="1">
        <v>48</v>
      </c>
      <c r="L344" s="23">
        <f t="shared" si="32"/>
        <v>126</v>
      </c>
    </row>
    <row r="345" spans="1:14" ht="30" x14ac:dyDescent="0.25">
      <c r="A345" s="2">
        <v>43439</v>
      </c>
      <c r="B345" s="52" t="s">
        <v>45</v>
      </c>
      <c r="C345" s="10">
        <v>54</v>
      </c>
      <c r="D345" s="20">
        <v>1.08</v>
      </c>
      <c r="E345" s="10">
        <v>24</v>
      </c>
      <c r="F345" s="1"/>
      <c r="G345" s="20"/>
      <c r="H345" s="20"/>
      <c r="I345" s="30">
        <f t="shared" si="33"/>
        <v>78</v>
      </c>
      <c r="J345" s="20">
        <f t="shared" si="31"/>
        <v>1.08</v>
      </c>
      <c r="K345" s="1">
        <v>43.2</v>
      </c>
      <c r="L345" s="23">
        <f t="shared" si="32"/>
        <v>121.2</v>
      </c>
    </row>
    <row r="346" spans="1:14" ht="30" x14ac:dyDescent="0.25">
      <c r="A346" s="2">
        <v>43440</v>
      </c>
      <c r="B346" s="52" t="s">
        <v>45</v>
      </c>
      <c r="C346" s="10">
        <v>86.4</v>
      </c>
      <c r="D346" s="20">
        <v>1.08</v>
      </c>
      <c r="E346" s="10">
        <v>25.41</v>
      </c>
      <c r="F346" s="1"/>
      <c r="G346" s="20"/>
      <c r="H346" s="20"/>
      <c r="I346" s="30">
        <f t="shared" si="33"/>
        <v>111.81</v>
      </c>
      <c r="J346" s="20">
        <f t="shared" si="31"/>
        <v>1.08</v>
      </c>
      <c r="K346" s="1">
        <v>43.2</v>
      </c>
      <c r="L346" s="23">
        <f t="shared" si="32"/>
        <v>155.01</v>
      </c>
    </row>
    <row r="347" spans="1:14" ht="30" x14ac:dyDescent="0.25">
      <c r="A347" s="2">
        <v>43441</v>
      </c>
      <c r="B347" s="52" t="s">
        <v>45</v>
      </c>
      <c r="C347" s="10">
        <v>72</v>
      </c>
      <c r="D347" s="20">
        <v>1.08</v>
      </c>
      <c r="E347" s="10">
        <v>25.41</v>
      </c>
      <c r="F347" s="1"/>
      <c r="G347" s="20"/>
      <c r="H347" s="20"/>
      <c r="I347" s="30">
        <f t="shared" si="33"/>
        <v>97.41</v>
      </c>
      <c r="J347" s="20">
        <f t="shared" si="31"/>
        <v>1.08</v>
      </c>
      <c r="K347" s="1">
        <v>48</v>
      </c>
      <c r="L347" s="23">
        <f t="shared" si="32"/>
        <v>145.41</v>
      </c>
    </row>
    <row r="348" spans="1:14" ht="30" x14ac:dyDescent="0.25">
      <c r="A348" s="2">
        <v>43442</v>
      </c>
      <c r="B348" s="52" t="s">
        <v>45</v>
      </c>
      <c r="C348" s="10">
        <v>72</v>
      </c>
      <c r="D348" s="20">
        <v>1.08</v>
      </c>
      <c r="E348" s="10">
        <v>25.41</v>
      </c>
      <c r="F348" s="1"/>
      <c r="G348" s="20"/>
      <c r="H348" s="20"/>
      <c r="I348" s="30">
        <f t="shared" si="33"/>
        <v>97.41</v>
      </c>
      <c r="J348" s="20">
        <f t="shared" si="31"/>
        <v>1.08</v>
      </c>
      <c r="K348" s="1">
        <v>43.2</v>
      </c>
      <c r="L348" s="23">
        <f t="shared" si="32"/>
        <v>140.61000000000001</v>
      </c>
    </row>
    <row r="349" spans="1:14" ht="30" x14ac:dyDescent="0.25">
      <c r="A349" s="2">
        <v>43443</v>
      </c>
      <c r="B349" s="52" t="s">
        <v>45</v>
      </c>
      <c r="C349" s="10">
        <v>72</v>
      </c>
      <c r="D349" s="20">
        <v>1.08</v>
      </c>
      <c r="E349" s="10">
        <v>24</v>
      </c>
      <c r="F349" s="1"/>
      <c r="G349" s="20"/>
      <c r="H349" s="20"/>
      <c r="I349" s="30">
        <f t="shared" si="33"/>
        <v>96</v>
      </c>
      <c r="J349" s="20">
        <f t="shared" si="31"/>
        <v>1.08</v>
      </c>
      <c r="K349" s="1">
        <v>43.2</v>
      </c>
      <c r="L349" s="23">
        <f t="shared" si="32"/>
        <v>139.19999999999999</v>
      </c>
    </row>
    <row r="350" spans="1:14" ht="30" x14ac:dyDescent="0.25">
      <c r="A350" s="2">
        <v>43444</v>
      </c>
      <c r="B350" s="52" t="s">
        <v>45</v>
      </c>
      <c r="C350" s="10">
        <v>72</v>
      </c>
      <c r="D350" s="20">
        <v>1.08</v>
      </c>
      <c r="E350" s="10">
        <v>24</v>
      </c>
      <c r="F350" s="1"/>
      <c r="G350" s="20"/>
      <c r="H350" s="20"/>
      <c r="I350" s="30">
        <f t="shared" si="33"/>
        <v>96</v>
      </c>
      <c r="J350" s="20">
        <f t="shared" si="31"/>
        <v>1.08</v>
      </c>
      <c r="K350" s="1">
        <v>43.2</v>
      </c>
      <c r="L350" s="23">
        <f t="shared" si="32"/>
        <v>139.19999999999999</v>
      </c>
    </row>
    <row r="351" spans="1:14" ht="30" x14ac:dyDescent="0.25">
      <c r="A351" s="2">
        <v>43445</v>
      </c>
      <c r="B351" s="52" t="s">
        <v>45</v>
      </c>
      <c r="C351" s="10">
        <v>86.4</v>
      </c>
      <c r="D351" s="20">
        <v>1.08</v>
      </c>
      <c r="E351" s="10">
        <v>30.86</v>
      </c>
      <c r="F351" s="1"/>
      <c r="G351" s="20"/>
      <c r="H351" s="20"/>
      <c r="I351" s="30">
        <f t="shared" si="33"/>
        <v>117.26</v>
      </c>
      <c r="J351" s="20">
        <f t="shared" si="31"/>
        <v>1.08</v>
      </c>
      <c r="K351" s="1">
        <v>48</v>
      </c>
      <c r="L351" s="23">
        <f t="shared" si="32"/>
        <v>165.26</v>
      </c>
    </row>
    <row r="352" spans="1:14" ht="30" x14ac:dyDescent="0.25">
      <c r="A352" s="2">
        <v>43446</v>
      </c>
      <c r="B352" s="52" t="s">
        <v>45</v>
      </c>
      <c r="C352" s="10">
        <v>86.4</v>
      </c>
      <c r="D352" s="20">
        <v>1.08</v>
      </c>
      <c r="E352" s="10">
        <v>30.86</v>
      </c>
      <c r="F352" s="1"/>
      <c r="G352" s="20"/>
      <c r="H352" s="20"/>
      <c r="I352" s="30">
        <f t="shared" si="33"/>
        <v>117.26</v>
      </c>
      <c r="J352" s="20">
        <f t="shared" si="31"/>
        <v>1.08</v>
      </c>
      <c r="K352" s="1">
        <v>48</v>
      </c>
      <c r="L352" s="23">
        <f t="shared" si="32"/>
        <v>165.26</v>
      </c>
    </row>
    <row r="353" spans="1:12" ht="30" x14ac:dyDescent="0.25">
      <c r="A353" s="2">
        <v>43447</v>
      </c>
      <c r="B353" s="52" t="s">
        <v>45</v>
      </c>
      <c r="C353" s="10">
        <v>86.4</v>
      </c>
      <c r="D353" s="20">
        <v>1.08</v>
      </c>
      <c r="E353" s="10">
        <v>24</v>
      </c>
      <c r="F353" s="1"/>
      <c r="G353" s="20"/>
      <c r="H353" s="20"/>
      <c r="I353" s="30">
        <f t="shared" si="33"/>
        <v>110.4</v>
      </c>
      <c r="J353" s="20">
        <f t="shared" si="31"/>
        <v>1.08</v>
      </c>
      <c r="K353" s="1">
        <v>43.2</v>
      </c>
      <c r="L353" s="23">
        <f t="shared" si="32"/>
        <v>153.60000000000002</v>
      </c>
    </row>
    <row r="354" spans="1:12" ht="30" x14ac:dyDescent="0.25">
      <c r="A354" s="2">
        <v>43448</v>
      </c>
      <c r="B354" s="52" t="s">
        <v>45</v>
      </c>
      <c r="C354" s="10">
        <v>61.71</v>
      </c>
      <c r="D354" s="20">
        <v>1.08</v>
      </c>
      <c r="E354" s="10">
        <v>24</v>
      </c>
      <c r="F354" s="1"/>
      <c r="G354" s="20"/>
      <c r="H354" s="20"/>
      <c r="I354" s="30">
        <f t="shared" si="33"/>
        <v>85.710000000000008</v>
      </c>
      <c r="J354" s="20">
        <f t="shared" si="31"/>
        <v>1.08</v>
      </c>
      <c r="K354" s="1">
        <v>43.2</v>
      </c>
      <c r="L354" s="23">
        <f t="shared" si="32"/>
        <v>128.91000000000003</v>
      </c>
    </row>
    <row r="355" spans="1:12" ht="30" x14ac:dyDescent="0.25">
      <c r="A355" s="2">
        <v>43449</v>
      </c>
      <c r="B355" s="52" t="s">
        <v>45</v>
      </c>
      <c r="C355" s="21">
        <v>61.71</v>
      </c>
      <c r="D355" s="20">
        <v>1.08</v>
      </c>
      <c r="E355" s="10">
        <v>24</v>
      </c>
      <c r="F355" s="1"/>
      <c r="G355" s="20"/>
      <c r="H355" s="20"/>
      <c r="I355" s="30">
        <f t="shared" si="33"/>
        <v>85.710000000000008</v>
      </c>
      <c r="J355" s="20">
        <f t="shared" si="31"/>
        <v>1.08</v>
      </c>
      <c r="K355" s="1">
        <v>43.2</v>
      </c>
      <c r="L355" s="23">
        <f t="shared" si="32"/>
        <v>128.91000000000003</v>
      </c>
    </row>
    <row r="356" spans="1:12" ht="30" x14ac:dyDescent="0.25">
      <c r="A356" s="2">
        <v>43450</v>
      </c>
      <c r="B356" s="52" t="s">
        <v>45</v>
      </c>
      <c r="C356" s="21">
        <v>61.71</v>
      </c>
      <c r="D356" s="20">
        <v>1.08</v>
      </c>
      <c r="E356" s="10">
        <v>24</v>
      </c>
      <c r="F356" s="1"/>
      <c r="G356" s="20"/>
      <c r="H356" s="20"/>
      <c r="I356" s="30">
        <f t="shared" si="33"/>
        <v>85.710000000000008</v>
      </c>
      <c r="J356" s="20">
        <f t="shared" si="31"/>
        <v>1.08</v>
      </c>
      <c r="K356" s="1">
        <v>33.229999999999997</v>
      </c>
      <c r="L356" s="23">
        <f t="shared" si="32"/>
        <v>118.94</v>
      </c>
    </row>
    <row r="357" spans="1:12" ht="30" x14ac:dyDescent="0.25">
      <c r="A357" s="2">
        <v>43451</v>
      </c>
      <c r="B357" s="52" t="s">
        <v>45</v>
      </c>
      <c r="C357" s="21">
        <v>61.71</v>
      </c>
      <c r="D357" s="20">
        <v>1.08</v>
      </c>
      <c r="E357" s="10">
        <v>22.74</v>
      </c>
      <c r="F357" s="1"/>
      <c r="G357" s="20"/>
      <c r="H357" s="20"/>
      <c r="I357" s="30">
        <f t="shared" si="33"/>
        <v>84.45</v>
      </c>
      <c r="J357" s="20">
        <f t="shared" si="31"/>
        <v>1.08</v>
      </c>
      <c r="K357" s="1">
        <v>33.229999999999997</v>
      </c>
      <c r="L357" s="23">
        <f t="shared" si="32"/>
        <v>117.68</v>
      </c>
    </row>
    <row r="358" spans="1:12" ht="30" x14ac:dyDescent="0.25">
      <c r="A358" s="2">
        <v>43452</v>
      </c>
      <c r="B358" s="52" t="s">
        <v>45</v>
      </c>
      <c r="C358" s="21">
        <v>61.71</v>
      </c>
      <c r="D358" s="20">
        <v>1.08</v>
      </c>
      <c r="E358" s="10">
        <v>22.74</v>
      </c>
      <c r="F358" s="1"/>
      <c r="G358" s="20"/>
      <c r="H358" s="20"/>
      <c r="I358" s="30">
        <f t="shared" si="33"/>
        <v>84.45</v>
      </c>
      <c r="J358" s="20">
        <f t="shared" si="31"/>
        <v>1.08</v>
      </c>
      <c r="K358" s="1">
        <v>33.229999999999997</v>
      </c>
      <c r="L358" s="23">
        <f t="shared" si="32"/>
        <v>117.68</v>
      </c>
    </row>
    <row r="359" spans="1:12" ht="30" x14ac:dyDescent="0.25">
      <c r="A359" s="2">
        <v>43453</v>
      </c>
      <c r="B359" s="52" t="s">
        <v>45</v>
      </c>
      <c r="C359" s="21">
        <v>61.71</v>
      </c>
      <c r="D359" s="20">
        <v>1.08</v>
      </c>
      <c r="E359" s="10">
        <v>22.74</v>
      </c>
      <c r="F359" s="1"/>
      <c r="G359" s="20"/>
      <c r="H359" s="20"/>
      <c r="I359" s="30">
        <f t="shared" si="33"/>
        <v>84.45</v>
      </c>
      <c r="J359" s="20">
        <f t="shared" si="31"/>
        <v>1.08</v>
      </c>
      <c r="K359" s="1">
        <v>33.229999999999997</v>
      </c>
      <c r="L359" s="23">
        <f t="shared" si="32"/>
        <v>117.68</v>
      </c>
    </row>
    <row r="360" spans="1:12" ht="30" x14ac:dyDescent="0.25">
      <c r="A360" s="2">
        <v>43454</v>
      </c>
      <c r="B360" s="52" t="s">
        <v>45</v>
      </c>
      <c r="C360" s="21">
        <v>61.71</v>
      </c>
      <c r="D360" s="20">
        <v>1.08</v>
      </c>
      <c r="E360" s="10">
        <v>21.6</v>
      </c>
      <c r="F360" s="1"/>
      <c r="G360" s="20"/>
      <c r="H360" s="20"/>
      <c r="I360" s="30">
        <f t="shared" si="33"/>
        <v>83.31</v>
      </c>
      <c r="J360" s="20">
        <f t="shared" si="31"/>
        <v>1.08</v>
      </c>
      <c r="K360" s="1">
        <v>36</v>
      </c>
      <c r="L360" s="23">
        <f t="shared" si="32"/>
        <v>119.31</v>
      </c>
    </row>
    <row r="361" spans="1:12" ht="30" x14ac:dyDescent="0.25">
      <c r="A361" s="2">
        <v>43455</v>
      </c>
      <c r="B361" s="52" t="s">
        <v>45</v>
      </c>
      <c r="C361" s="21">
        <v>108</v>
      </c>
      <c r="D361" s="20">
        <v>1.08</v>
      </c>
      <c r="E361" s="21">
        <v>27</v>
      </c>
      <c r="F361" s="1"/>
      <c r="G361" s="20"/>
      <c r="H361" s="20"/>
      <c r="I361" s="30">
        <f t="shared" si="33"/>
        <v>135</v>
      </c>
      <c r="J361" s="20">
        <f t="shared" si="31"/>
        <v>1.08</v>
      </c>
      <c r="K361" s="20">
        <v>36</v>
      </c>
      <c r="L361" s="23">
        <f t="shared" si="32"/>
        <v>171</v>
      </c>
    </row>
    <row r="362" spans="1:12" ht="30" x14ac:dyDescent="0.25">
      <c r="A362" s="2">
        <v>43456</v>
      </c>
      <c r="B362" s="52" t="s">
        <v>45</v>
      </c>
      <c r="C362" s="21">
        <v>108</v>
      </c>
      <c r="D362" s="20">
        <v>1.08</v>
      </c>
      <c r="E362" s="21">
        <v>27</v>
      </c>
      <c r="F362" s="20"/>
      <c r="G362" s="20"/>
      <c r="H362" s="20"/>
      <c r="I362" s="30">
        <f t="shared" si="33"/>
        <v>135</v>
      </c>
      <c r="J362" s="20">
        <f t="shared" si="31"/>
        <v>1.08</v>
      </c>
      <c r="K362" s="20">
        <v>30.86</v>
      </c>
      <c r="L362" s="23">
        <f t="shared" si="32"/>
        <v>165.86</v>
      </c>
    </row>
    <row r="363" spans="1:12" ht="30" x14ac:dyDescent="0.25">
      <c r="A363" s="2">
        <v>43457</v>
      </c>
      <c r="B363" s="52" t="s">
        <v>45</v>
      </c>
      <c r="C363" s="30">
        <v>108</v>
      </c>
      <c r="D363" s="20">
        <v>1.08</v>
      </c>
      <c r="E363" s="30">
        <v>27</v>
      </c>
      <c r="F363" s="30"/>
      <c r="G363" s="30"/>
      <c r="H363" s="30"/>
      <c r="I363" s="30">
        <f t="shared" si="33"/>
        <v>135</v>
      </c>
      <c r="J363" s="20">
        <f t="shared" si="31"/>
        <v>1.08</v>
      </c>
      <c r="K363" s="30">
        <v>30.86</v>
      </c>
      <c r="L363" s="23">
        <f t="shared" si="32"/>
        <v>165.86</v>
      </c>
    </row>
    <row r="364" spans="1:12" ht="30" x14ac:dyDescent="0.25">
      <c r="A364" s="2">
        <v>43458</v>
      </c>
      <c r="B364" s="52" t="s">
        <v>45</v>
      </c>
      <c r="C364" s="21">
        <v>72</v>
      </c>
      <c r="D364" s="20">
        <v>1.08</v>
      </c>
      <c r="E364" s="21">
        <v>24</v>
      </c>
      <c r="F364" s="20"/>
      <c r="G364" s="20"/>
      <c r="H364" s="20"/>
      <c r="I364" s="30">
        <f t="shared" si="33"/>
        <v>96</v>
      </c>
      <c r="J364" s="20">
        <f t="shared" si="31"/>
        <v>1.08</v>
      </c>
      <c r="K364" s="20">
        <v>30.86</v>
      </c>
      <c r="L364" s="23">
        <f t="shared" si="32"/>
        <v>126.86</v>
      </c>
    </row>
    <row r="365" spans="1:12" ht="30" x14ac:dyDescent="0.25">
      <c r="A365" s="2">
        <v>43459</v>
      </c>
      <c r="B365" s="52" t="s">
        <v>45</v>
      </c>
      <c r="C365" s="21">
        <v>72</v>
      </c>
      <c r="D365" s="20">
        <v>1.08</v>
      </c>
      <c r="E365" s="10">
        <v>24</v>
      </c>
      <c r="F365" s="20"/>
      <c r="G365" s="20"/>
      <c r="H365" s="20"/>
      <c r="I365" s="30">
        <f t="shared" si="33"/>
        <v>96</v>
      </c>
      <c r="J365" s="20">
        <f t="shared" si="31"/>
        <v>1.08</v>
      </c>
      <c r="K365" s="20">
        <v>30.86</v>
      </c>
      <c r="L365" s="23">
        <f t="shared" si="32"/>
        <v>126.86</v>
      </c>
    </row>
    <row r="366" spans="1:12" ht="30" x14ac:dyDescent="0.25">
      <c r="A366" s="2">
        <v>43460</v>
      </c>
      <c r="B366" s="52" t="s">
        <v>45</v>
      </c>
      <c r="C366" s="21">
        <v>72</v>
      </c>
      <c r="D366" s="20">
        <v>1.08</v>
      </c>
      <c r="E366" s="10">
        <v>33.229999999999997</v>
      </c>
      <c r="F366" s="1"/>
      <c r="G366" s="20"/>
      <c r="H366" s="20"/>
      <c r="I366" s="30">
        <f t="shared" si="33"/>
        <v>105.22999999999999</v>
      </c>
      <c r="J366" s="20">
        <f t="shared" si="31"/>
        <v>1.08</v>
      </c>
      <c r="K366" s="1">
        <v>33.229999999999997</v>
      </c>
      <c r="L366" s="23">
        <f t="shared" si="32"/>
        <v>138.45999999999998</v>
      </c>
    </row>
    <row r="367" spans="1:12" ht="30" x14ac:dyDescent="0.25">
      <c r="A367" s="2">
        <v>43461</v>
      </c>
      <c r="B367" s="52" t="s">
        <v>45</v>
      </c>
      <c r="C367" s="21">
        <v>72</v>
      </c>
      <c r="D367" s="20">
        <v>1.08</v>
      </c>
      <c r="E367" s="21">
        <v>33.229999999999997</v>
      </c>
      <c r="F367" s="1"/>
      <c r="G367" s="20"/>
      <c r="H367" s="20"/>
      <c r="I367" s="30">
        <f t="shared" si="33"/>
        <v>105.22999999999999</v>
      </c>
      <c r="J367" s="20">
        <f t="shared" si="31"/>
        <v>1.08</v>
      </c>
      <c r="K367" s="1">
        <v>33.229999999999997</v>
      </c>
      <c r="L367" s="23">
        <f t="shared" si="32"/>
        <v>138.45999999999998</v>
      </c>
    </row>
    <row r="368" spans="1:12" ht="30" x14ac:dyDescent="0.25">
      <c r="A368" s="2">
        <v>43462</v>
      </c>
      <c r="B368" s="52" t="s">
        <v>45</v>
      </c>
      <c r="C368" s="21">
        <v>72</v>
      </c>
      <c r="D368" s="20">
        <v>1.08</v>
      </c>
      <c r="E368" s="21">
        <v>33.229999999999997</v>
      </c>
      <c r="F368" s="1"/>
      <c r="G368" s="20"/>
      <c r="H368" s="20"/>
      <c r="I368" s="30">
        <f t="shared" si="33"/>
        <v>105.22999999999999</v>
      </c>
      <c r="J368" s="20">
        <f t="shared" si="31"/>
        <v>1.08</v>
      </c>
      <c r="K368" s="1">
        <v>33.229999999999997</v>
      </c>
      <c r="L368" s="23">
        <f t="shared" si="32"/>
        <v>138.45999999999998</v>
      </c>
    </row>
    <row r="369" spans="1:14" ht="30" x14ac:dyDescent="0.25">
      <c r="A369" s="2">
        <v>43463</v>
      </c>
      <c r="B369" s="52" t="s">
        <v>45</v>
      </c>
      <c r="C369" s="21">
        <v>72</v>
      </c>
      <c r="D369" s="20">
        <v>1.08</v>
      </c>
      <c r="E369" s="21">
        <v>33.229999999999997</v>
      </c>
      <c r="F369" s="1"/>
      <c r="G369" s="20"/>
      <c r="H369" s="20"/>
      <c r="I369" s="30">
        <f t="shared" si="33"/>
        <v>105.22999999999999</v>
      </c>
      <c r="J369" s="20">
        <f t="shared" si="31"/>
        <v>1.08</v>
      </c>
      <c r="K369" s="1">
        <v>33.229999999999997</v>
      </c>
      <c r="L369" s="23">
        <f t="shared" si="32"/>
        <v>138.45999999999998</v>
      </c>
    </row>
    <row r="370" spans="1:14" ht="30" x14ac:dyDescent="0.25">
      <c r="A370" s="2">
        <v>43464</v>
      </c>
      <c r="B370" s="52" t="s">
        <v>45</v>
      </c>
      <c r="C370" s="21">
        <v>72</v>
      </c>
      <c r="D370" s="20">
        <v>1.08</v>
      </c>
      <c r="E370" s="21">
        <v>33.229999999999997</v>
      </c>
      <c r="F370" s="1"/>
      <c r="G370" s="20"/>
      <c r="H370" s="20"/>
      <c r="I370" s="30">
        <f t="shared" si="33"/>
        <v>105.22999999999999</v>
      </c>
      <c r="J370" s="20">
        <f t="shared" si="31"/>
        <v>1.08</v>
      </c>
      <c r="K370" s="1">
        <v>33.229999999999997</v>
      </c>
      <c r="L370" s="23">
        <f t="shared" si="32"/>
        <v>138.45999999999998</v>
      </c>
    </row>
    <row r="371" spans="1:14" ht="30.75" thickBot="1" x14ac:dyDescent="0.3">
      <c r="A371" s="2">
        <v>43465</v>
      </c>
      <c r="B371" s="42" t="s">
        <v>45</v>
      </c>
      <c r="C371" s="24">
        <v>72</v>
      </c>
      <c r="D371" s="24">
        <v>1.08</v>
      </c>
      <c r="E371" s="24">
        <v>33.229999999999997</v>
      </c>
      <c r="F371" s="24"/>
      <c r="G371" s="24"/>
      <c r="H371" s="24"/>
      <c r="I371" s="24">
        <f t="shared" si="33"/>
        <v>105.22999999999999</v>
      </c>
      <c r="J371" s="24">
        <f t="shared" si="31"/>
        <v>1.08</v>
      </c>
      <c r="K371" s="32">
        <v>33.229999999999997</v>
      </c>
      <c r="L371" s="34">
        <f t="shared" si="32"/>
        <v>138.45999999999998</v>
      </c>
      <c r="M371" s="27" t="s">
        <v>32</v>
      </c>
      <c r="N371" s="51">
        <f>SUM(L341:L371)</f>
        <v>4357.32</v>
      </c>
    </row>
    <row r="372" spans="1:14" ht="15.75" thickBot="1" x14ac:dyDescent="0.3">
      <c r="C372" s="12">
        <f>SUM(C344:C371)</f>
        <v>2073.5700000000002</v>
      </c>
      <c r="D372" s="12">
        <f t="shared" ref="D372:L372" si="34">SUM(D344:D371)</f>
        <v>30.239999999999981</v>
      </c>
      <c r="E372" s="12">
        <f t="shared" si="34"/>
        <v>748.15000000000009</v>
      </c>
      <c r="F372" s="12">
        <f t="shared" si="34"/>
        <v>0</v>
      </c>
      <c r="G372" s="12"/>
      <c r="H372" s="12"/>
      <c r="I372" s="48">
        <f t="shared" si="34"/>
        <v>2821.7200000000003</v>
      </c>
      <c r="J372" s="12">
        <f t="shared" si="34"/>
        <v>30.239999999999981</v>
      </c>
      <c r="K372" s="12">
        <f t="shared" si="34"/>
        <v>1065.3400000000001</v>
      </c>
      <c r="L372" s="66">
        <f>SUM(L7:L371)</f>
        <v>51278.369999999988</v>
      </c>
    </row>
    <row r="373" spans="1:14" x14ac:dyDescent="0.25">
      <c r="D373" s="7"/>
      <c r="F373" s="7"/>
      <c r="G373" s="7"/>
      <c r="H373" s="7"/>
      <c r="I373" s="11"/>
      <c r="J373" s="11"/>
    </row>
    <row r="374" spans="1:14" x14ac:dyDescent="0.25">
      <c r="N374" s="19">
        <f>+N371+N340+N310</f>
        <v>17467.739999999998</v>
      </c>
    </row>
    <row r="376" spans="1:14" ht="15.75" thickBot="1" x14ac:dyDescent="0.3"/>
    <row r="377" spans="1:14" ht="15.75" thickBot="1" x14ac:dyDescent="0.3">
      <c r="F377" s="56" t="s">
        <v>6</v>
      </c>
      <c r="G377" s="57"/>
      <c r="H377" s="57"/>
      <c r="I377" s="57"/>
      <c r="J377" s="58"/>
    </row>
    <row r="378" spans="1:14" x14ac:dyDescent="0.25">
      <c r="F378" s="6" t="s">
        <v>7</v>
      </c>
      <c r="G378" s="6"/>
      <c r="H378" s="6"/>
      <c r="I378" s="49">
        <f>K372</f>
        <v>1065.3400000000001</v>
      </c>
      <c r="J378" s="6" t="s">
        <v>10</v>
      </c>
    </row>
    <row r="379" spans="1:14" x14ac:dyDescent="0.25">
      <c r="F379" s="1" t="s">
        <v>8</v>
      </c>
      <c r="G379" s="20"/>
      <c r="H379" s="20"/>
      <c r="I379" s="30">
        <f>I372</f>
        <v>2821.7200000000003</v>
      </c>
      <c r="J379" s="1" t="s">
        <v>10</v>
      </c>
    </row>
    <row r="380" spans="1:14" x14ac:dyDescent="0.25">
      <c r="F380" s="1" t="s">
        <v>9</v>
      </c>
      <c r="G380" s="20"/>
      <c r="H380" s="20"/>
      <c r="I380" s="30">
        <f>L372</f>
        <v>51278.369999999988</v>
      </c>
      <c r="J380" s="1" t="s">
        <v>10</v>
      </c>
      <c r="K380">
        <f>I380/365</f>
        <v>140.48868493150681</v>
      </c>
    </row>
    <row r="381" spans="1:14" x14ac:dyDescent="0.25">
      <c r="F381" s="1" t="s">
        <v>11</v>
      </c>
      <c r="G381" s="20"/>
      <c r="H381" s="20"/>
      <c r="I381" s="30">
        <f>J372</f>
        <v>30.239999999999981</v>
      </c>
      <c r="J381" s="1" t="s">
        <v>12</v>
      </c>
    </row>
  </sheetData>
  <mergeCells count="7">
    <mergeCell ref="A2:L2"/>
    <mergeCell ref="F377:J377"/>
    <mergeCell ref="K4:K5"/>
    <mergeCell ref="A4:A6"/>
    <mergeCell ref="L4:L5"/>
    <mergeCell ref="C4:I4"/>
    <mergeCell ref="J4:J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70" zoomScaleNormal="70" workbookViewId="0">
      <selection activeCell="F37" sqref="F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Mateo Sebastián Centeno Dávila</cp:lastModifiedBy>
  <dcterms:created xsi:type="dcterms:W3CDTF">2015-05-06T16:31:28Z</dcterms:created>
  <dcterms:modified xsi:type="dcterms:W3CDTF">2019-08-22T17:20:20Z</dcterms:modified>
</cp:coreProperties>
</file>